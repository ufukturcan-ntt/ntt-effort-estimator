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86" firstSheet="0" activeTab="0" autoFilterDateGrouping="1"/>
  </bookViews>
  <sheets>
    <sheet xmlns:r="http://schemas.openxmlformats.org/officeDocument/2006/relationships" name="Project Information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Development" sheetId="3" state="visible" r:id="rId3"/>
    <sheet xmlns:r="http://schemas.openxmlformats.org/officeDocument/2006/relationships" name="Module Selection" sheetId="4" state="visible" r:id="rId4"/>
    <sheet xmlns:r="http://schemas.openxmlformats.org/officeDocument/2006/relationships" name="Localization Selection" sheetId="5" state="visible" r:id="rId5"/>
    <sheet xmlns:r="http://schemas.openxmlformats.org/officeDocument/2006/relationships" name="Hypercare &amp; Go Live Support" sheetId="6" state="visible" r:id="rId6"/>
    <sheet xmlns:r="http://schemas.openxmlformats.org/officeDocument/2006/relationships" name="Final Effort" sheetId="7" state="visible" r:id="rId7"/>
    <sheet xmlns:r="http://schemas.openxmlformats.org/officeDocument/2006/relationships" name="Translations" sheetId="8" state="hidden" r:id="rId8"/>
    <sheet xmlns:r="http://schemas.openxmlformats.org/officeDocument/2006/relationships" name="Project Definitions" sheetId="9" state="hidden" r:id="rId9"/>
    <sheet xmlns:r="http://schemas.openxmlformats.org/officeDocument/2006/relationships" name="Localization Efforts" sheetId="10" state="visible" r:id="rId10"/>
    <sheet xmlns:r="http://schemas.openxmlformats.org/officeDocument/2006/relationships" name="Fixed Days" sheetId="11" state="hidden" r:id="rId11"/>
    <sheet xmlns:r="http://schemas.openxmlformats.org/officeDocument/2006/relationships" name="Size Variables" sheetId="12" state="visible" r:id="rId12"/>
    <sheet xmlns:r="http://schemas.openxmlformats.org/officeDocument/2006/relationships" name="Variable+Module+Phase" sheetId="13" state="visible" r:id="rId13"/>
    <sheet xmlns:r="http://schemas.openxmlformats.org/officeDocument/2006/relationships" name="Question Restrictions" sheetId="14" state="visible" r:id="rId14"/>
  </sheets>
  <definedNames>
    <definedName name="ImplementationTypeList" hidden="0" function="0" vbProcedure="0">'Project Definitions'!$B$2:$B$7</definedName>
    <definedName name="IndustryList" hidden="0" function="0" vbProcedure="0">'Project Definitions'!$A$2:$A$11</definedName>
    <definedName name="ModuleList" hidden="0" function="0" vbProcedure="0">'Project Definitions'!$D$2:$D$35</definedName>
    <definedName name="SystemTypeList" hidden="0" function="0" vbProcedure="0">'Project Definitions'!$C$2:$C$6</definedName>
    <definedName name="_xlnm._FilterDatabase" localSheetId="1" hidden="1">'Scope'!$A$12:$K$59</definedName>
    <definedName name="_xlnm._FilterDatabase" localSheetId="2" hidden="1">'Development'!$A$12:$K$36</definedName>
    <definedName name="_xlnm._FilterDatabase" localSheetId="13" hidden="1">'Question Restrictions'!$A$1:$H$70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14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Aptos Narrow"/>
      <charset val="1"/>
      <family val="2"/>
      <b val="1"/>
      <color rgb="FF1F4E78"/>
      <sz val="16"/>
    </font>
    <font>
      <name val="Aptos Narrow"/>
      <charset val="1"/>
      <family val="2"/>
      <b val="1"/>
      <color rgb="FF1F4E78"/>
      <sz val="11"/>
    </font>
    <font>
      <name val="Aptos Narrow"/>
      <charset val="1"/>
      <family val="2"/>
      <b val="1"/>
      <sz val="16"/>
    </font>
    <font>
      <name val="Aptos Narrow"/>
      <charset val="1"/>
      <family val="2"/>
      <b val="1"/>
      <sz val="11"/>
    </font>
    <font>
      <name val="Aptos Narrow"/>
      <charset val="1"/>
      <family val="2"/>
      <b val="1"/>
      <sz val="12"/>
    </font>
    <font>
      <name val="Aptos Narrow"/>
      <charset val="1"/>
      <family val="2"/>
      <i val="1"/>
      <color rgb="FF595959"/>
      <sz val="11"/>
    </font>
    <font>
      <name val="Aptos Narrow"/>
      <charset val="1"/>
      <family val="2"/>
      <b val="1"/>
      <color rgb="FFFFFFFF"/>
      <sz val="11"/>
    </font>
    <font>
      <name val="Aptos Narrow"/>
      <charset val="1"/>
      <family val="2"/>
      <color rgb="FFFF0000"/>
      <sz val="11"/>
    </font>
    <font>
      <name val="Aptos Narrow"/>
      <charset val="1"/>
      <family val="2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D9EAF7"/>
        <bgColor rgb="FFDAE9F8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DCEAF7"/>
      </patternFill>
    </fill>
    <fill>
      <patternFill patternType="solid">
        <fgColor rgb="FFD9E1F2"/>
        <bgColor rgb="FFD9E2F3"/>
      </patternFill>
    </fill>
    <fill>
      <patternFill patternType="solid">
        <fgColor rgb="FF1F4E79"/>
        <bgColor rgb="FF1F4E78"/>
      </patternFill>
    </fill>
    <fill>
      <patternFill patternType="solid">
        <fgColor rgb="FF1F4E78"/>
        <bgColor rgb="FF1F4E79"/>
      </patternFill>
    </fill>
    <fill>
      <patternFill patternType="solid">
        <fgColor theme="3" tint="0.8999"/>
        <bgColor rgb="FFDAE9F8"/>
      </patternFill>
    </fill>
    <fill>
      <patternFill patternType="solid">
        <fgColor theme="2" tint="-0.1"/>
        <bgColor rgb="FFD9E1F2"/>
      </patternFill>
    </fill>
    <fill>
      <patternFill patternType="solid">
        <fgColor rgb="FFDAE9F8"/>
        <bgColor rgb="FFD9EAF7"/>
      </patternFill>
    </fill>
  </fills>
  <borders count="17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FBFBF"/>
      </bottom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pivotButton="0" quotePrefix="0" xfId="0">
      <alignment horizontal="general" vertical="center"/>
    </xf>
    <xf numFmtId="0" fontId="4" fillId="3" borderId="2" applyAlignment="1" pivotButton="0" quotePrefix="0" xfId="0">
      <alignment horizontal="general" vertical="center" wrapText="1"/>
    </xf>
    <xf numFmtId="164" fontId="4" fillId="3" borderId="2" applyAlignment="1" pivotButton="0" quotePrefix="0" xfId="0">
      <alignment horizontal="general" vertical="center" wrapText="1"/>
    </xf>
    <xf numFmtId="0" fontId="0" fillId="3" borderId="2" applyAlignment="1" pivotButton="0" quotePrefix="0" xfId="0">
      <alignment horizontal="general" vertical="center" wrapText="1"/>
    </xf>
    <xf numFmtId="0" fontId="6" fillId="2" borderId="3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8" fillId="4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general" vertical="center"/>
    </xf>
    <xf numFmtId="0" fontId="0" fillId="3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9" fillId="5" borderId="4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11" fillId="6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left" vertical="center" wrapText="1"/>
    </xf>
    <xf numFmtId="0" fontId="0" fillId="8" borderId="5" applyAlignment="1" pivotButton="0" quotePrefix="0" xfId="0">
      <alignment horizontal="general" vertical="bottom"/>
    </xf>
    <xf numFmtId="0" fontId="0" fillId="9" borderId="5" applyAlignment="1" pivotButton="0" quotePrefix="0" xfId="0">
      <alignment horizontal="left" vertical="bottom"/>
    </xf>
    <xf numFmtId="0" fontId="13" fillId="0" borderId="7" applyAlignment="1" pivotButton="0" quotePrefix="0" xfId="0">
      <alignment horizontal="general" vertical="bottom"/>
    </xf>
    <xf numFmtId="0" fontId="13" fillId="0" borderId="5" applyAlignment="1" pivotButton="0" quotePrefix="0" xfId="0">
      <alignment horizontal="general" vertical="bottom"/>
    </xf>
    <xf numFmtId="0" fontId="13" fillId="0" borderId="8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13" fillId="10" borderId="5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pivotButton="0" quotePrefix="0" xfId="0">
      <alignment horizontal="general" vertical="center"/>
    </xf>
    <xf numFmtId="0" fontId="4" fillId="3" borderId="2" applyAlignment="1" pivotButton="0" quotePrefix="0" xfId="0">
      <alignment horizontal="general" vertical="center" wrapText="1"/>
    </xf>
    <xf numFmtId="164" fontId="4" fillId="3" borderId="2" applyAlignment="1" pivotButton="0" quotePrefix="0" xfId="0">
      <alignment horizontal="general" vertical="center" wrapText="1"/>
    </xf>
    <xf numFmtId="0" fontId="0" fillId="3" borderId="2" applyAlignment="1" pivotButton="0" quotePrefix="0" xfId="0">
      <alignment horizontal="general" vertical="center" wrapText="1"/>
    </xf>
    <xf numFmtId="0" fontId="6" fillId="2" borderId="3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8" fillId="4" borderId="4" applyAlignment="1" pivotButton="0" quotePrefix="0" xfId="0">
      <alignment horizontal="center" vertical="center" wrapText="1"/>
    </xf>
    <xf numFmtId="0" fontId="0" fillId="0" borderId="16" pivotButton="0" quotePrefix="0" xfId="0"/>
    <xf numFmtId="0" fontId="8" fillId="0" borderId="4" applyAlignment="1" pivotButton="0" quotePrefix="0" xfId="0">
      <alignment horizontal="general" vertical="center"/>
    </xf>
    <xf numFmtId="0" fontId="0" fillId="3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9" fillId="5" borderId="4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11" fillId="6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left" vertical="center" wrapText="1"/>
    </xf>
    <xf numFmtId="0" fontId="0" fillId="8" borderId="5" applyAlignment="1" pivotButton="0" quotePrefix="0" xfId="0">
      <alignment horizontal="general" vertical="bottom"/>
    </xf>
    <xf numFmtId="0" fontId="0" fillId="9" borderId="5" applyAlignment="1" pivotButton="0" quotePrefix="0" xfId="0">
      <alignment horizontal="left" vertical="bottom"/>
    </xf>
    <xf numFmtId="0" fontId="13" fillId="0" borderId="7" applyAlignment="1" pivotButton="0" quotePrefix="0" xfId="0">
      <alignment horizontal="general" vertical="bottom"/>
    </xf>
    <xf numFmtId="0" fontId="13" fillId="0" borderId="5" applyAlignment="1" pivotButton="0" quotePrefix="0" xfId="0">
      <alignment horizontal="general" vertical="bottom"/>
    </xf>
    <xf numFmtId="0" fontId="13" fillId="0" borderId="8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13" fillId="10" borderId="5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DAE9F8"/>
      <rgbColor rgb="FFF2F2F2"/>
      <rgbColor rgb="FFD9E1F2"/>
      <rgbColor rgb="FFFF99CC"/>
      <rgbColor rgb="FFD9E2F3"/>
      <rgbColor rgb="FFE7E6E6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16" activeCellId="0" sqref="H16"/>
    </sheetView>
  </sheetViews>
  <sheetFormatPr baseColWidth="8" defaultColWidth="8.57421875" defaultRowHeight="15" customHeight="1" zeroHeight="0" outlineLevelRow="0"/>
  <cols>
    <col width="3" customWidth="1" style="38" min="1" max="1"/>
    <col width="28" customWidth="1" style="38" min="2" max="2"/>
    <col width="32" customWidth="1" style="38" min="3" max="4"/>
  </cols>
  <sheetData>
    <row r="1" ht="21.75" customHeight="1" s="39">
      <c r="A1" s="40" t="n"/>
      <c r="B1" s="40" t="n"/>
      <c r="C1" s="40" t="n"/>
    </row>
    <row r="2" ht="24" customHeight="1" s="39">
      <c r="A2" s="40" t="n"/>
      <c r="B2" s="41">
        <f>INDEX(Translations!$D:$ZZ,MATCH(1001,Translations!$A:$A,0),MATCH($C$4,Translations!$D$1:$ZZ$1,0))</f>
        <v/>
      </c>
    </row>
    <row r="3" ht="21.75" customHeight="1" s="39">
      <c r="A3" s="40" t="n"/>
      <c r="B3" s="40" t="n"/>
      <c r="C3" s="40" t="n"/>
    </row>
    <row r="4" ht="24" customHeight="1" s="39">
      <c r="A4" s="40" t="n"/>
      <c r="B4" s="42">
        <f>INDEX(Translations!$D:$ZZ,MATCH(1002,Translations!$A:$A,0),MATCH($C$4,Translations!$D$1:$ZZ$1,0))</f>
        <v/>
      </c>
      <c r="C4" s="43" t="inlineStr">
        <is>
          <t>TR</t>
        </is>
      </c>
    </row>
    <row r="5" ht="21.75" customHeight="1" s="39">
      <c r="A5" s="40" t="n"/>
      <c r="B5" s="40" t="n"/>
      <c r="C5" s="40" t="n"/>
    </row>
    <row r="6" ht="24" customHeight="1" s="39">
      <c r="A6" s="40" t="n"/>
      <c r="B6" s="42">
        <f>INDEX(Translations!$D:$ZZ,MATCH(1003,Translations!$A:$A,0),MATCH($C$4,Translations!$D$1:$ZZ$1,0))</f>
        <v/>
      </c>
      <c r="C6" s="43" t="inlineStr">
        <is>
          <t>Ufuk Enerji AŞ</t>
        </is>
      </c>
    </row>
    <row r="7" ht="24" customHeight="1" s="39">
      <c r="A7" s="40" t="n"/>
      <c r="B7" s="42">
        <f>INDEX(Translations!$D:$ZZ,MATCH(1004,Translations!$A:$A,0),MATCH($C$4,Translations!$D$1:$ZZ$1,0))</f>
        <v/>
      </c>
      <c r="C7" s="43" t="inlineStr">
        <is>
          <t>S4 Dönüşüm</t>
        </is>
      </c>
    </row>
    <row r="8" ht="24" customHeight="1" s="39">
      <c r="A8" s="40" t="n"/>
      <c r="B8" s="42">
        <f>INDEX(Translations!$D:$ZZ,MATCH(1005,Translations!$A:$A,0),MATCH($C$4,Translations!$D$1:$ZZ$1,0))</f>
        <v/>
      </c>
      <c r="C8" s="44" t="n">
        <v>46156.37389056713</v>
      </c>
    </row>
    <row r="9" ht="21.75" customHeight="1" s="39">
      <c r="A9" s="40" t="n"/>
      <c r="B9" s="40" t="n"/>
      <c r="C9" s="40" t="n"/>
    </row>
    <row r="10" ht="24" customHeight="1" s="39">
      <c r="A10" s="40" t="n"/>
      <c r="B10" s="42">
        <f>INDEX(Translations!$D:$ZZ,MATCH(1006,Translations!$A:$A,0),MATCH($C$4,Translations!$D$1:$ZZ$1,0))</f>
        <v/>
      </c>
      <c r="C10" s="43" t="inlineStr">
        <is>
          <t>Konfeksiyon</t>
        </is>
      </c>
    </row>
    <row r="11" ht="24" customHeight="1" s="39">
      <c r="A11" s="40" t="n"/>
      <c r="B11" s="42">
        <f>INDEX(Translations!$D:$ZZ,MATCH(1007,Translations!$A:$A,0),MATCH($C$4,Translations!$D$1:$ZZ$1,0))</f>
        <v/>
      </c>
      <c r="C11" s="43" t="inlineStr">
        <is>
          <t>Conversion</t>
        </is>
      </c>
    </row>
    <row r="12" ht="24" customHeight="1" s="39">
      <c r="A12" s="40" t="n"/>
      <c r="B12" s="42">
        <f>INDEX(Translations!$D:$ZZ,MATCH(1008,Translations!$A:$A,0),MATCH($C$4,Translations!$D$1:$ZZ$1,0))</f>
        <v/>
      </c>
      <c r="C12" s="43" t="inlineStr">
        <is>
          <t>SAP S/4HANA Private Cloud</t>
        </is>
      </c>
    </row>
    <row r="13" ht="21.75" customHeight="1" s="39">
      <c r="A13" s="40" t="n"/>
      <c r="B13" s="40" t="n"/>
      <c r="C13" s="40" t="n"/>
    </row>
    <row r="14" ht="24" customHeight="1" s="39">
      <c r="A14" s="40" t="n"/>
      <c r="B14" s="42">
        <f>INDEX(Translations!$D:$ZZ,MATCH(1009,Translations!$A:$A,0),MATCH($C$4,Translations!$D$1:$ZZ$1,0))</f>
        <v/>
      </c>
      <c r="C14" s="43" t="inlineStr">
        <is>
          <t>Ufuk Turcan</t>
        </is>
      </c>
    </row>
    <row r="15" ht="24" customHeight="1" s="39">
      <c r="B15" s="42">
        <f>INDEX(Translations!$D:$ZZ,MATCH(1010,Translations!$A:$A,0),MATCH($C$4,Translations!$D$1:$ZZ$1,0))</f>
        <v/>
      </c>
      <c r="C15" s="45" t="inlineStr">
        <is>
          <t>V1</t>
        </is>
      </c>
    </row>
    <row r="16" ht="21.75" customHeight="1" s="39"/>
    <row r="17" ht="24" customHeight="1" s="39">
      <c r="B17" s="46">
        <f>INDEX(Translations!$D:$ZZ,MATCH(1011,Translations!$A:$A,0),MATCH($C$4,Translations!$D$1:$ZZ$1,0))</f>
        <v/>
      </c>
      <c r="C17" s="47" t="inlineStr">
        <is>
          <t>Dikkat</t>
        </is>
      </c>
      <c r="D17" s="48" t="n"/>
    </row>
    <row r="18" ht="15" customHeight="1" s="39">
      <c r="B18" s="49" t="n"/>
      <c r="C18" s="50" t="n"/>
      <c r="D18" s="49" t="n"/>
    </row>
    <row r="19" ht="15" customHeight="1" s="39">
      <c r="B19" s="49" t="n"/>
      <c r="C19" s="50" t="n"/>
      <c r="D19" s="49" t="n"/>
    </row>
    <row r="20" ht="15" customHeight="1" s="39">
      <c r="B20" s="49" t="n"/>
      <c r="C20" s="51" t="n"/>
      <c r="D20" s="52" t="n"/>
    </row>
  </sheetData>
  <mergeCells count="3">
    <mergeCell ref="C17:D20"/>
    <mergeCell ref="B2:D2"/>
    <mergeCell ref="B17:B20"/>
  </mergeCells>
  <dataValidations count="4">
    <dataValidation sqref="C4" showDropDown="0" showInputMessage="0" showErrorMessage="0" allowBlank="1" type="list" errorStyle="stop" operator="between">
      <formula1>"TR,EN"</formula1>
      <formula2>0</formula2>
    </dataValidation>
    <dataValidation sqref="C10" showDropDown="0" showInputMessage="0" showErrorMessage="0" allowBlank="1" type="list" errorStyle="stop" operator="between">
      <formula1>IndustryList</formula1>
      <formula2>0</formula2>
    </dataValidation>
    <dataValidation sqref="C11" showDropDown="0" showInputMessage="0" showErrorMessage="0" allowBlank="1" type="list" errorStyle="stop" operator="between">
      <formula1>ImplementationTypeList</formula1>
      <formula2>0</formula2>
    </dataValidation>
    <dataValidation sqref="C12" showDropDown="0" showInputMessage="0" showErrorMessage="0" allowBlank="1" type="list" errorStyle="stop" operator="between">
      <formula1>SystemTypeList</formula1>
      <formula2>0</formula2>
    </dataValidation>
  </dataValidations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24" activePane="bottomLeft" state="frozen"/>
      <selection pane="topLeft" activeCell="A1" activeCellId="0" sqref="A1"/>
      <selection pane="bottomLeft" activeCell="C19" activeCellId="0" sqref="C19"/>
    </sheetView>
  </sheetViews>
  <sheetFormatPr baseColWidth="8" defaultColWidth="8.57421875" defaultRowHeight="15" customHeight="1" zeroHeight="0" outlineLevelRow="0"/>
  <cols>
    <col width="13" customWidth="1" style="38" min="1" max="1"/>
    <col width="38" customWidth="1" style="38" min="2" max="2"/>
    <col width="56.72" customWidth="1" style="38" min="3" max="3"/>
    <col width="22" customWidth="1" style="38" min="4" max="4"/>
    <col hidden="1" width="5.43" customWidth="1" style="38" min="5" max="5"/>
    <col width="18" customWidth="1" style="38" min="6" max="7"/>
    <col hidden="1" width="21.14" customWidth="1" style="38" min="8" max="8"/>
    <col width="56.29" customWidth="1" style="38" min="9" max="9"/>
    <col width="2" customWidth="1" style="38" min="10" max="10"/>
    <col width="13.71" customWidth="1" style="38" min="11" max="11"/>
  </cols>
  <sheetData>
    <row r="1" ht="27.75" customHeight="1" s="39">
      <c r="A1" s="53">
        <f>INDEX(Translations!$D:$ZZ, MATCH(1,Translations!$A:$A,0), MATCH('Project Information'!$C$4,Translations!$D$1:$ZZ$1,0))</f>
        <v/>
      </c>
    </row>
    <row r="2" ht="15" customHeight="1" s="39">
      <c r="A2" s="54" t="n"/>
      <c r="C2" s="54" t="n"/>
      <c r="E2" s="54" t="n"/>
    </row>
    <row r="4" ht="16.4" customHeight="1" s="39">
      <c r="A4" s="55">
        <f>INDEX(Translations!$D:$ZZ, MATCH(4,Translations!$A:$A,0), MATCH('Project Information'!$C$4,Translations!$D$1:$ZZ$1,0))</f>
        <v/>
      </c>
      <c r="B4" s="56" t="n"/>
    </row>
    <row r="5" ht="15" customHeight="1" s="39">
      <c r="A5" s="57">
        <f>INDEX(Translations!$D:$ZZ, MATCH(5,Translations!$A:$A,0), MATCH('Project Information'!$C$4,Translations!$D$1:$ZZ$1,0))</f>
        <v/>
      </c>
      <c r="B5" s="58">
        <f>INDEX(Translations!$D:$ZZ, MATCH(6,Translations!$A:$A,0), MATCH('Project Information'!$C$4,Translations!$D$1:$ZZ$1,0))</f>
        <v/>
      </c>
    </row>
    <row r="6" ht="15" customHeight="1" s="39">
      <c r="A6" s="57">
        <f>INDEX(Translations!$D:$ZZ, MATCH(7,Translations!$A:$A,0), MATCH('Project Information'!$C$4,Translations!$D$1:$ZZ$1,0))</f>
        <v/>
      </c>
      <c r="B6" s="58">
        <f>INDEX(Translations!$D:$ZZ, MATCH(8,Translations!$A:$A,0), MATCH('Project Information'!$C$4,Translations!$D$1:$ZZ$1,0))</f>
        <v/>
      </c>
    </row>
    <row r="7" ht="15" customHeight="1" s="39">
      <c r="A7" s="57">
        <f>INDEX(Translations!$D:$ZZ, MATCH(9,Translations!$A:$A,0), MATCH('Project Information'!$C$4,Translations!$D$1:$ZZ$1,0))</f>
        <v/>
      </c>
      <c r="B7" s="58">
        <f>INDEX(Translations!$D:$ZZ, MATCH(10,Translations!$A:$A,0), MATCH('Project Information'!$C$4,Translations!$D$1:$ZZ$1,0))</f>
        <v/>
      </c>
    </row>
    <row r="8" ht="15" customHeight="1" s="39">
      <c r="A8" s="57">
        <f>INDEX(Translations!$D:$ZZ, MATCH(11,Translations!$A:$A,0), MATCH('Project Information'!$C$4,Translations!$D$1:$ZZ$1,0))</f>
        <v/>
      </c>
      <c r="B8" s="58">
        <f>INDEX(Translations!$D:$ZZ, MATCH(12,Translations!$A:$A,0), MATCH('Project Information'!$C$4,Translations!$D$1:$ZZ$1,0))</f>
        <v/>
      </c>
    </row>
    <row r="9" ht="15.75" customHeight="1" s="39">
      <c r="A9" s="38">
        <f>INDEX(Translations!$D:$ZZ, MATCH(13,Translations!$A:$A,0), MATCH('Project Information'!$C$4,Translations!$D$1:$ZZ$1,0))</f>
        <v/>
      </c>
      <c r="B9" s="38">
        <f>SUM($H$13:$H$59)</f>
        <v/>
      </c>
      <c r="J9" s="38">
        <f>IF($B$9&lt;=40,"S",IF($B$9&lt;=70,"M",IF($B$9&lt;=100,"L","XL")))</f>
        <v/>
      </c>
    </row>
    <row r="10" ht="15.75" customHeight="1" s="39">
      <c r="A10" s="59">
        <f>INDEX(Translations!$D:$ZZ, MATCH(14,Translations!$A:$A,0), MATCH('Project Information'!$C$4,Translations!$D$1:$ZZ$1,0))</f>
        <v/>
      </c>
      <c r="B10" s="60">
        <f>IF($J$9="S",INDEX(Translations!$D:$ZZ,MATCH(5,Translations!$A:$A,0),MATCH('Project Information'!$C$4,Translations!$D$1:$ZZ$1,0)),IF($J$9="M",INDEX(Translations!$D:$ZZ,MATCH(7,Translations!$A:$A,0),MATCH('Project Information'!$C$4,Translations!$D$1:$ZZ$1,0)),IF($J$9="L",INDEX(Translations!$D:$ZZ,MATCH(9,Translations!$A:$A,0),MATCH('Project Information'!$C$4,Translations!$D$1:$ZZ$1,0)),INDEX(Translations!$D:$ZZ,MATCH(11,Translations!$A:$A,0),MATCH('Project Information'!$C$4,Translations!$D$1:$ZZ$1,0)))))</f>
        <v/>
      </c>
    </row>
    <row r="11" ht="30" customHeight="1" s="39">
      <c r="A11" s="61">
        <f>INDEX(Translations!$D:$ZZ, MATCH(15,Translations!$A:$A,0), MATCH('Project Information'!$C$4,Translations!$D$1:$ZZ$1,0))</f>
        <v/>
      </c>
    </row>
    <row r="12" ht="30" customHeight="1" s="39">
      <c r="A12" s="62">
        <f>INDEX(Translations!$D:$ZZ, MATCH(16,Translations!$A:$A,0), MATCH('Project Information'!$C$4,Translations!$D$1:$ZZ$1,0))</f>
        <v/>
      </c>
      <c r="B12" s="62">
        <f>INDEX(Translations!$D:$ZZ, MATCH(17,Translations!$A:$A,0), MATCH('Project Information'!$C$4,Translations!$D$1:$ZZ$1,0))</f>
        <v/>
      </c>
      <c r="C12" s="62">
        <f>INDEX(Translations!$D:$ZZ, MATCH(18,Translations!$A:$A,0), MATCH('Project Information'!$C$4,Translations!$D$1:$ZZ$1,0))</f>
        <v/>
      </c>
      <c r="D12" s="62">
        <f>INDEX(Translations!$D:$ZZ, MATCH(19,Translations!$A:$A,0), MATCH('Project Information'!$C$4,Translations!$D$1:$ZZ$1,0))</f>
        <v/>
      </c>
      <c r="E12" s="62">
        <f>INDEX(Translations!$D:$ZZ, MATCH(20,Translations!$A:$A,0), MATCH('Project Information'!$C$4,Translations!$D$1:$ZZ$1,0))</f>
        <v/>
      </c>
      <c r="F12" s="62">
        <f>INDEX(Translations!$D:$ZZ, MATCH(21,Translations!$A:$A,0), MATCH('Project Information'!$C$4,Translations!$D$1:$ZZ$1,0))</f>
        <v/>
      </c>
      <c r="G12" s="62">
        <f>INDEX(Translations!$D:$ZZ, MATCH(22,Translations!$A:$A,0), MATCH('Project Information'!$C$4,Translations!$D$1:$ZZ$1,0))</f>
        <v/>
      </c>
      <c r="H12" s="62">
        <f>INDEX(Translations!$D:$ZZ, MATCH(23,Translations!$A:$A,0), MATCH('Project Information'!$C$4,Translations!$D$1:$ZZ$1,0))</f>
        <v/>
      </c>
      <c r="I12" s="62">
        <f>INDEX(Translations!$D:$ZZ, MATCH(24,Translations!$A:$A,0), MATCH('Project Information'!$C$4,Translations!$D$1:$ZZ$1,0))</f>
        <v/>
      </c>
      <c r="K12" s="38" t="inlineStr">
        <is>
          <t>Applicable?</t>
        </is>
      </c>
    </row>
    <row r="13" ht="30" customHeight="1" s="39">
      <c r="A13" s="62" t="n">
        <v>1</v>
      </c>
      <c r="B13" s="62">
        <f>INDEX(Translations!$D:$ZZ, MATCH(25,Translations!$A:$A,0), MATCH('Project Information'!$C$4,Translations!$D$1:$ZZ$1,0))</f>
        <v/>
      </c>
      <c r="C13" s="62">
        <f>INDEX(Translations!$D:$ZZ, MATCH(26,Translations!$A:$A,0), MATCH('Project Information'!$C$4,Translations!$D$1:$ZZ$1,0))</f>
        <v/>
      </c>
      <c r="D13" s="62">
        <f>INDEX(Translations!$D:$ZZ, MATCH(27,Translations!$A:$A,0), MATCH('Project Information'!$C$4,Translations!$D$1:$ZZ$1,0))</f>
        <v/>
      </c>
      <c r="E13" s="62" t="n">
        <v>5</v>
      </c>
      <c r="F13" s="62" t="n"/>
      <c r="G13" s="62" t="n">
        <v>2</v>
      </c>
      <c r="H13" s="62">
        <f>IF(OR(TRIM(F13)="Evet",TRIM(F13)="Yes"),E13,IF(G13="","",E13*G13))</f>
        <v/>
      </c>
      <c r="I13" s="62" t="n"/>
      <c r="K13" s="38">
        <f>IFERROR(AND(OR(INDEX('Question Restrictions'!$D:$D,MATCH($B13,'Question Restrictions'!$C:$C,0))="All",ISNUMBER(SEARCH('Project Information'!$C$10,INDEX('Question Restrictions'!$D:$D,MATCH($B13,'Question Restrictions'!$C:$C,0))))),OR(INDEX('Question Restrictions'!$E:$E,MATCH($B13,'Question Restrictions'!$C:$C,0))="All",ISNUMBER(SEARCH('Project Information'!$C$11,INDEX('Question Restrictions'!$E:$E,MATCH($B13,'Question Restrictions'!$C:$C,0))))),OR(INDEX('Question Restrictions'!$F:$F,MATCH($B13,'Question Restrictions'!$C:$C,0))="All",ISNUMBER(SEARCH('Project Information'!$C$12,INDEX('Question Restrictions'!$F:$F,MATCH($B13,'Question Restrictions'!$C:$C,0))))),INDEX('Question Restrictions'!$G:$G,MATCH($B13,'Question Restrictions'!$C:$C,0))="Yes"),TRUE())</f>
        <v/>
      </c>
    </row>
    <row r="14" ht="16.4" customHeight="1" s="39">
      <c r="A14" s="62" t="n">
        <v>2</v>
      </c>
      <c r="B14" s="62">
        <f>INDEX(Translations!$D:$ZZ, MATCH(164,Translations!$A:$A,0), MATCH('Project Information'!$C$4,Translations!$D$1:$ZZ$1,0))</f>
        <v/>
      </c>
      <c r="C14" s="62">
        <f>INDEX(Translations!$D:$ZZ, MATCH(165,Translations!$A:$A,0), MATCH('Project Information'!$C$4,Translations!$D$1:$ZZ$1,0))</f>
        <v/>
      </c>
      <c r="D14" s="62">
        <f>INDEX(Translations!$D:$ZZ, MATCH(27,Translations!$A:$A,0), MATCH('Project Information'!$C$4,Translations!$D$1:$ZZ$1,0))</f>
        <v/>
      </c>
      <c r="E14" s="62" t="n"/>
      <c r="F14" s="62" t="n"/>
      <c r="G14" s="62" t="n"/>
      <c r="H14" s="62">
        <f>IF(OR(TRIM(F14)="Evet",TRIM(F14)="Yes"),E14,IF(G14="","",E14*G14))</f>
        <v/>
      </c>
      <c r="I14" s="62" t="n"/>
      <c r="K14" s="38">
        <f>IFERROR(AND(OR(INDEX('Question Restrictions'!$D:$D,MATCH($B14,'Question Restrictions'!$C:$C,0))="All",ISNUMBER(SEARCH('Project Information'!$C$10,INDEX('Question Restrictions'!$D:$D,MATCH($B14,'Question Restrictions'!$C:$C,0))))),OR(INDEX('Question Restrictions'!$E:$E,MATCH($B14,'Question Restrictions'!$C:$C,0))="All",ISNUMBER(SEARCH('Project Information'!$C$11,INDEX('Question Restrictions'!$E:$E,MATCH($B14,'Question Restrictions'!$C:$C,0))))),OR(INDEX('Question Restrictions'!$F:$F,MATCH($B14,'Question Restrictions'!$C:$C,0))="All",ISNUMBER(SEARCH('Project Information'!$C$12,INDEX('Question Restrictions'!$F:$F,MATCH($B14,'Question Restrictions'!$C:$C,0))))),INDEX('Question Restrictions'!$G:$G,MATCH($B14,'Question Restrictions'!$C:$C,0))="Yes"),TRUE())</f>
        <v/>
      </c>
    </row>
    <row r="15" ht="30" customHeight="1" s="39">
      <c r="A15" s="62" t="n">
        <v>3</v>
      </c>
      <c r="B15" s="62">
        <f>INDEX(Translations!$D:$ZZ, MATCH(30,Translations!$A:$A,0), MATCH('Project Information'!$C$4,Translations!$D$1:$ZZ$1,0))</f>
        <v/>
      </c>
      <c r="C15" s="62">
        <f>INDEX(Translations!$D:$ZZ, MATCH(31,Translations!$A:$A,0), MATCH('Project Information'!$C$4,Translations!$D$1:$ZZ$1,0))</f>
        <v/>
      </c>
      <c r="D15" s="62">
        <f>INDEX(Translations!$D:$ZZ, MATCH(27,Translations!$A:$A,0), MATCH('Project Information'!$C$4,Translations!$D$1:$ZZ$1,0))</f>
        <v/>
      </c>
      <c r="E15" s="62" t="n">
        <v>5</v>
      </c>
      <c r="F15" s="62" t="n"/>
      <c r="G15" s="62" t="n"/>
      <c r="H15" s="62">
        <f>IF(OR(TRIM(F15)="Evet",TRIM(F15)="Yes"),E15,IF(G15="","",E15*G15))</f>
        <v/>
      </c>
      <c r="I15" s="62" t="n"/>
      <c r="K15" s="38">
        <f>IFERROR(AND(OR(INDEX('Question Restrictions'!$D:$D,MATCH($B15,'Question Restrictions'!$C:$C,0))="All",ISNUMBER(SEARCH('Project Information'!$C$10,INDEX('Question Restrictions'!$D:$D,MATCH($B15,'Question Restrictions'!$C:$C,0))))),OR(INDEX('Question Restrictions'!$E:$E,MATCH($B15,'Question Restrictions'!$C:$C,0))="All",ISNUMBER(SEARCH('Project Information'!$C$11,INDEX('Question Restrictions'!$E:$E,MATCH($B15,'Question Restrictions'!$C:$C,0))))),OR(INDEX('Question Restrictions'!$F:$F,MATCH($B15,'Question Restrictions'!$C:$C,0))="All",ISNUMBER(SEARCH('Project Information'!$C$12,INDEX('Question Restrictions'!$F:$F,MATCH($B15,'Question Restrictions'!$C:$C,0))))),INDEX('Question Restrictions'!$G:$G,MATCH($B15,'Question Restrictions'!$C:$C,0))="Yes"),TRUE())</f>
        <v/>
      </c>
    </row>
    <row r="16" ht="16.4" customHeight="1" s="39">
      <c r="A16" s="62" t="n">
        <v>4</v>
      </c>
      <c r="B16" s="62">
        <f>INDEX(Translations!$D:$ZZ, MATCH(167,Translations!$A:$A,0), MATCH('Project Information'!$C$4,Translations!$D$1:$ZZ$1,0))</f>
        <v/>
      </c>
      <c r="C16" s="62">
        <f>INDEX(Translations!$D:$ZZ, MATCH(168,Translations!$A:$A,0), MATCH('Project Information'!$C$4,Translations!$D$1:$ZZ$1,0))</f>
        <v/>
      </c>
      <c r="D16" s="62">
        <f>INDEX(Translations!$D:$ZZ, MATCH(27,Translations!$A:$A,0), MATCH('Project Information'!$C$4,Translations!$D$1:$ZZ$1,0))</f>
        <v/>
      </c>
      <c r="E16" s="62" t="n"/>
      <c r="F16" s="62" t="n"/>
      <c r="G16" s="62" t="n"/>
      <c r="H16" s="62">
        <f>IF(OR(TRIM(F16)="Evet",TRIM(F16)="Yes"),E16,IF(G16="","",E16*G16))</f>
        <v/>
      </c>
      <c r="I16" s="62" t="n"/>
      <c r="K16" s="38">
        <f>IFERROR(AND(OR(INDEX('Question Restrictions'!$D:$D,MATCH($B16,'Question Restrictions'!$C:$C,0))="All",ISNUMBER(SEARCH('Project Information'!$C$10,INDEX('Question Restrictions'!$D:$D,MATCH($B16,'Question Restrictions'!$C:$C,0))))),OR(INDEX('Question Restrictions'!$E:$E,MATCH($B16,'Question Restrictions'!$C:$C,0))="All",ISNUMBER(SEARCH('Project Information'!$C$11,INDEX('Question Restrictions'!$E:$E,MATCH($B16,'Question Restrictions'!$C:$C,0))))),OR(INDEX('Question Restrictions'!$F:$F,MATCH($B16,'Question Restrictions'!$C:$C,0))="All",ISNUMBER(SEARCH('Project Information'!$C$12,INDEX('Question Restrictions'!$F:$F,MATCH($B16,'Question Restrictions'!$C:$C,0))))),INDEX('Question Restrictions'!$G:$G,MATCH($B16,'Question Restrictions'!$C:$C,0))="Yes"),TRUE())</f>
        <v/>
      </c>
    </row>
    <row r="17" ht="16.4" customHeight="1" s="39">
      <c r="A17" s="62" t="n">
        <v>5</v>
      </c>
      <c r="B17" s="62">
        <f>INDEX(Translations!$D:$ZZ, MATCH(28,Translations!$A:$A,0), MATCH('Project Information'!$C$4,Translations!$D$1:$ZZ$1,0))</f>
        <v/>
      </c>
      <c r="C17" s="62">
        <f>INDEX(Translations!$D:$ZZ, MATCH(29,Translations!$A:$A,0), MATCH('Project Information'!$C$4,Translations!$D$1:$ZZ$1,0))</f>
        <v/>
      </c>
      <c r="D17" s="62">
        <f>INDEX(Translations!$D:$ZZ, MATCH(27,Translations!$A:$A,0), MATCH('Project Information'!$C$4,Translations!$D$1:$ZZ$1,0))</f>
        <v/>
      </c>
      <c r="E17" s="62" t="n">
        <v>5</v>
      </c>
      <c r="F17" s="62" t="n"/>
      <c r="G17" s="62" t="n"/>
      <c r="H17" s="62">
        <f>IF(OR(TRIM(F17)="Evet",TRIM(F17)="Yes"),E17,IF(G17="","",E17*G17))</f>
        <v/>
      </c>
      <c r="I17" s="62" t="n"/>
      <c r="K17" s="38">
        <f>IFERROR(AND(OR(INDEX('Question Restrictions'!$D:$D,MATCH($B17,'Question Restrictions'!$C:$C,0))="All",ISNUMBER(SEARCH('Project Information'!$C$10,INDEX('Question Restrictions'!$D:$D,MATCH($B17,'Question Restrictions'!$C:$C,0))))),OR(INDEX('Question Restrictions'!$E:$E,MATCH($B17,'Question Restrictions'!$C:$C,0))="All",ISNUMBER(SEARCH('Project Information'!$C$11,INDEX('Question Restrictions'!$E:$E,MATCH($B17,'Question Restrictions'!$C:$C,0))))),OR(INDEX('Question Restrictions'!$F:$F,MATCH($B17,'Question Restrictions'!$C:$C,0))="All",ISNUMBER(SEARCH('Project Information'!$C$12,INDEX('Question Restrictions'!$F:$F,MATCH($B17,'Question Restrictions'!$C:$C,0))))),INDEX('Question Restrictions'!$G:$G,MATCH($B17,'Question Restrictions'!$C:$C,0))="Yes"),TRUE())</f>
        <v/>
      </c>
    </row>
    <row r="18" ht="30" customHeight="1" s="39">
      <c r="A18" s="62" t="n">
        <v>6</v>
      </c>
      <c r="B18" s="62">
        <f>INDEX(Translations!$D:$ZZ, MATCH(44,Translations!$A:$A,0), MATCH('Project Information'!$C$4,Translations!$D$1:$ZZ$1,0))</f>
        <v/>
      </c>
      <c r="C18" s="62">
        <f>INDEX(Translations!$D:$ZZ, MATCH(45,Translations!$A:$A,0), MATCH('Project Information'!$C$4,Translations!$D$1:$ZZ$1,0))</f>
        <v/>
      </c>
      <c r="D18" s="62">
        <f>INDEX(Translations!$D:$ZZ, MATCH(27,Translations!$A:$A,0), MATCH('Project Information'!$C$4,Translations!$D$1:$ZZ$1,0))</f>
        <v/>
      </c>
      <c r="E18" s="62" t="n">
        <v>5</v>
      </c>
      <c r="F18" s="62" t="n"/>
      <c r="G18" s="62" t="n"/>
      <c r="H18" s="62">
        <f>IF(OR(TRIM(F18)="Evet",TRIM(F18)="Yes"),E18,IF(G18="","",E18*G18))</f>
        <v/>
      </c>
      <c r="I18" s="62" t="n"/>
      <c r="K18" s="38">
        <f>IFERROR(AND(OR(INDEX('Question Restrictions'!$D:$D,MATCH($B18,'Question Restrictions'!$C:$C,0))="All",ISNUMBER(SEARCH('Project Information'!$C$10,INDEX('Question Restrictions'!$D:$D,MATCH($B18,'Question Restrictions'!$C:$C,0))))),OR(INDEX('Question Restrictions'!$E:$E,MATCH($B18,'Question Restrictions'!$C:$C,0))="All",ISNUMBER(SEARCH('Project Information'!$C$11,INDEX('Question Restrictions'!$E:$E,MATCH($B18,'Question Restrictions'!$C:$C,0))))),OR(INDEX('Question Restrictions'!$F:$F,MATCH($B18,'Question Restrictions'!$C:$C,0))="All",ISNUMBER(SEARCH('Project Information'!$C$12,INDEX('Question Restrictions'!$F:$F,MATCH($B18,'Question Restrictions'!$C:$C,0))))),INDEX('Question Restrictions'!$G:$G,MATCH($B18,'Question Restrictions'!$C:$C,0))="Yes"),TRUE())</f>
        <v/>
      </c>
    </row>
    <row r="19" ht="30" customHeight="1" s="39">
      <c r="A19" s="62" t="n">
        <v>7</v>
      </c>
      <c r="B19" s="62">
        <f>INDEX(Translations!$D:$ZZ, MATCH(32,Translations!$A:$A,0), MATCH('Project Information'!$C$4,Translations!$D$1:$ZZ$1,0))</f>
        <v/>
      </c>
      <c r="C19" s="62">
        <f>INDEX(Translations!$D:$ZZ, MATCH(33,Translations!$A:$A,0), MATCH('Project Information'!$C$4,Translations!$D$1:$ZZ$1,0))</f>
        <v/>
      </c>
      <c r="D19" s="62">
        <f>INDEX(Translations!$D:$ZZ, MATCH(34,Translations!$A:$A,0), MATCH('Project Information'!$C$4,Translations!$D$1:$ZZ$1,0))</f>
        <v/>
      </c>
      <c r="E19" s="62" t="n">
        <v>15</v>
      </c>
      <c r="F19" s="62" t="n"/>
      <c r="G19" s="62" t="n"/>
      <c r="H19" s="62">
        <f>IF(OR(TRIM(F19)="Evet",TRIM(F19)="Yes"),E19,IF(G19="","",E19*G19))</f>
        <v/>
      </c>
      <c r="I19" s="62" t="n"/>
      <c r="K19" s="38">
        <f>IFERROR(AND(OR(INDEX('Question Restrictions'!$D:$D,MATCH($B19,'Question Restrictions'!$C:$C,0))="All",ISNUMBER(SEARCH('Project Information'!$C$10,INDEX('Question Restrictions'!$D:$D,MATCH($B19,'Question Restrictions'!$C:$C,0))))),OR(INDEX('Question Restrictions'!$E:$E,MATCH($B19,'Question Restrictions'!$C:$C,0))="All",ISNUMBER(SEARCH('Project Information'!$C$11,INDEX('Question Restrictions'!$E:$E,MATCH($B19,'Question Restrictions'!$C:$C,0))))),OR(INDEX('Question Restrictions'!$F:$F,MATCH($B19,'Question Restrictions'!$C:$C,0))="All",ISNUMBER(SEARCH('Project Information'!$C$12,INDEX('Question Restrictions'!$F:$F,MATCH($B19,'Question Restrictions'!$C:$C,0))))),INDEX('Question Restrictions'!$G:$G,MATCH($B19,'Question Restrictions'!$C:$C,0))="Yes"),TRUE())</f>
        <v/>
      </c>
    </row>
    <row r="20" ht="30" customHeight="1" s="39">
      <c r="A20" s="62" t="n">
        <v>8</v>
      </c>
      <c r="B20" s="62">
        <f>INDEX(Translations!$D:$ZZ, MATCH(35,Translations!$A:$A,0), MATCH('Project Information'!$C$4,Translations!$D$1:$ZZ$1,0))</f>
        <v/>
      </c>
      <c r="C20" s="62">
        <f>INDEX(Translations!$D:$ZZ, MATCH(36,Translations!$A:$A,0), MATCH('Project Information'!$C$4,Translations!$D$1:$ZZ$1,0))</f>
        <v/>
      </c>
      <c r="D20" s="62">
        <f>INDEX(Translations!$D:$ZZ, MATCH(34,Translations!$A:$A,0), MATCH('Project Information'!$C$4,Translations!$D$1:$ZZ$1,0))</f>
        <v/>
      </c>
      <c r="E20" s="62" t="n">
        <v>20</v>
      </c>
      <c r="F20" s="62" t="n"/>
      <c r="G20" s="62" t="n"/>
      <c r="H20" s="62">
        <f>IF(OR(TRIM(F20)="Evet",TRIM(F20)="Yes"),E20,IF(G20="","",E20*G20))</f>
        <v/>
      </c>
      <c r="I20" s="62" t="n"/>
      <c r="K20" s="38">
        <f>IFERROR(AND(OR(INDEX('Question Restrictions'!$D:$D,MATCH($B20,'Question Restrictions'!$C:$C,0))="All",ISNUMBER(SEARCH('Project Information'!$C$10,INDEX('Question Restrictions'!$D:$D,MATCH($B20,'Question Restrictions'!$C:$C,0))))),OR(INDEX('Question Restrictions'!$E:$E,MATCH($B20,'Question Restrictions'!$C:$C,0))="All",ISNUMBER(SEARCH('Project Information'!$C$11,INDEX('Question Restrictions'!$E:$E,MATCH($B20,'Question Restrictions'!$C:$C,0))))),OR(INDEX('Question Restrictions'!$F:$F,MATCH($B20,'Question Restrictions'!$C:$C,0))="All",ISNUMBER(SEARCH('Project Information'!$C$12,INDEX('Question Restrictions'!$F:$F,MATCH($B20,'Question Restrictions'!$C:$C,0))))),INDEX('Question Restrictions'!$G:$G,MATCH($B20,'Question Restrictions'!$C:$C,0))="Yes"),TRUE())</f>
        <v/>
      </c>
    </row>
    <row r="21" ht="16.4" customHeight="1" s="39">
      <c r="A21" s="62" t="n">
        <v>9</v>
      </c>
      <c r="B21" s="62">
        <f>INDEX(Translations!$D:$ZZ, MATCH(37,Translations!$A:$A,0), MATCH('Project Information'!$C$4,Translations!$D$1:$ZZ$1,0))</f>
        <v/>
      </c>
      <c r="C21" s="62">
        <f>INDEX(Translations!$D:$ZZ, MATCH(38,Translations!$A:$A,0), MATCH('Project Information'!$C$4,Translations!$D$1:$ZZ$1,0))</f>
        <v/>
      </c>
      <c r="D21" s="62">
        <f>INDEX(Translations!$D:$ZZ, MATCH(34,Translations!$A:$A,0), MATCH('Project Information'!$C$4,Translations!$D$1:$ZZ$1,0))</f>
        <v/>
      </c>
      <c r="E21" s="62" t="n">
        <v>30</v>
      </c>
      <c r="F21" s="62" t="n"/>
      <c r="G21" s="62" t="n"/>
      <c r="H21" s="62">
        <f>IF(OR(TRIM(F21)="Evet",TRIM(F21)="Yes"),E21,IF(G21="","",E21*G21))</f>
        <v/>
      </c>
      <c r="I21" s="62" t="n"/>
      <c r="K21" s="38">
        <f>IFERROR(AND(OR(INDEX('Question Restrictions'!$D:$D,MATCH($B21,'Question Restrictions'!$C:$C,0))="All",ISNUMBER(SEARCH('Project Information'!$C$10,INDEX('Question Restrictions'!$D:$D,MATCH($B21,'Question Restrictions'!$C:$C,0))))),OR(INDEX('Question Restrictions'!$E:$E,MATCH($B21,'Question Restrictions'!$C:$C,0))="All",ISNUMBER(SEARCH('Project Information'!$C$11,INDEX('Question Restrictions'!$E:$E,MATCH($B21,'Question Restrictions'!$C:$C,0))))),OR(INDEX('Question Restrictions'!$F:$F,MATCH($B21,'Question Restrictions'!$C:$C,0))="All",ISNUMBER(SEARCH('Project Information'!$C$12,INDEX('Question Restrictions'!$F:$F,MATCH($B21,'Question Restrictions'!$C:$C,0))))),INDEX('Question Restrictions'!$G:$G,MATCH($B21,'Question Restrictions'!$C:$C,0))="Yes"),TRUE())</f>
        <v/>
      </c>
    </row>
    <row r="22" ht="16.4" customHeight="1" s="39">
      <c r="A22" s="62" t="n">
        <v>10</v>
      </c>
      <c r="B22" s="62">
        <f>INDEX(Translations!$D:$ZZ, MATCH(40,Translations!$A:$A,0), MATCH('Project Information'!$C$4,Translations!$D$1:$ZZ$1,0))</f>
        <v/>
      </c>
      <c r="C22" s="62">
        <f>INDEX(Translations!$D:$ZZ, MATCH(41,Translations!$A:$A,0), MATCH('Project Information'!$C$4,Translations!$D$1:$ZZ$1,0))</f>
        <v/>
      </c>
      <c r="D22" s="62">
        <f>INDEX(Translations!$D:$ZZ, MATCH(34,Translations!$A:$A,0), MATCH('Project Information'!$C$4,Translations!$D$1:$ZZ$1,0))</f>
        <v/>
      </c>
      <c r="E22" s="62" t="n">
        <v>15</v>
      </c>
      <c r="F22" s="62" t="n"/>
      <c r="G22" s="62" t="n"/>
      <c r="H22" s="62">
        <f>IF(OR(TRIM(F22)="Evet",TRIM(F22)="Yes"),E22,IF(G22="","",E22*G22))</f>
        <v/>
      </c>
      <c r="I22" s="62" t="n"/>
      <c r="K22" s="38">
        <f>IFERROR(AND(OR(INDEX('Question Restrictions'!$D:$D,MATCH($B22,'Question Restrictions'!$C:$C,0))="All",ISNUMBER(SEARCH('Project Information'!$C$10,INDEX('Question Restrictions'!$D:$D,MATCH($B22,'Question Restrictions'!$C:$C,0))))),OR(INDEX('Question Restrictions'!$E:$E,MATCH($B22,'Question Restrictions'!$C:$C,0))="All",ISNUMBER(SEARCH('Project Information'!$C$11,INDEX('Question Restrictions'!$E:$E,MATCH($B22,'Question Restrictions'!$C:$C,0))))),OR(INDEX('Question Restrictions'!$F:$F,MATCH($B22,'Question Restrictions'!$C:$C,0))="All",ISNUMBER(SEARCH('Project Information'!$C$12,INDEX('Question Restrictions'!$F:$F,MATCH($B22,'Question Restrictions'!$C:$C,0))))),INDEX('Question Restrictions'!$G:$G,MATCH($B22,'Question Restrictions'!$C:$C,0))="Yes"),TRUE())</f>
        <v/>
      </c>
    </row>
    <row r="23" ht="16.4" customHeight="1" s="39">
      <c r="A23" s="62" t="n">
        <v>11</v>
      </c>
      <c r="B23" s="62">
        <f>INDEX(Translations!$D:$ZZ, MATCH(46,Translations!$A:$A,0), MATCH('Project Information'!$C$4,Translations!$D$1:$ZZ$1,0))</f>
        <v/>
      </c>
      <c r="C23" s="62">
        <f>INDEX(Translations!$D:$ZZ, MATCH(47,Translations!$A:$A,0), MATCH('Project Information'!$C$4,Translations!$D$1:$ZZ$1,0))</f>
        <v/>
      </c>
      <c r="D23" s="62">
        <f>INDEX(Translations!$D:$ZZ, MATCH(34,Translations!$A:$A,0), MATCH('Project Information'!$C$4,Translations!$D$1:$ZZ$1,0))</f>
        <v/>
      </c>
      <c r="E23" s="62" t="n">
        <v>5</v>
      </c>
      <c r="F23" s="62" t="n"/>
      <c r="G23" s="62" t="n"/>
      <c r="H23" s="62">
        <f>IF(OR(TRIM(F23)="Evet",TRIM(F23)="Yes"),E23,IF(G23="","",E23*G23))</f>
        <v/>
      </c>
      <c r="I23" s="62" t="n"/>
      <c r="K23" s="38">
        <f>IFERROR(AND(OR(INDEX('Question Restrictions'!$D:$D,MATCH($B23,'Question Restrictions'!$C:$C,0))="All",ISNUMBER(SEARCH('Project Information'!$C$10,INDEX('Question Restrictions'!$D:$D,MATCH($B23,'Question Restrictions'!$C:$C,0))))),OR(INDEX('Question Restrictions'!$E:$E,MATCH($B23,'Question Restrictions'!$C:$C,0))="All",ISNUMBER(SEARCH('Project Information'!$C$11,INDEX('Question Restrictions'!$E:$E,MATCH($B23,'Question Restrictions'!$C:$C,0))))),OR(INDEX('Question Restrictions'!$F:$F,MATCH($B23,'Question Restrictions'!$C:$C,0))="All",ISNUMBER(SEARCH('Project Information'!$C$12,INDEX('Question Restrictions'!$F:$F,MATCH($B23,'Question Restrictions'!$C:$C,0))))),INDEX('Question Restrictions'!$G:$G,MATCH($B23,'Question Restrictions'!$C:$C,0))="Yes"),TRUE())</f>
        <v/>
      </c>
    </row>
    <row r="24" ht="75" customHeight="1" s="39">
      <c r="A24" s="62" t="n">
        <v>12</v>
      </c>
      <c r="B24" s="62">
        <f>INDEX(Translations!$D:$ZZ, MATCH(253,Translations!$A:$A,0), MATCH('Project Information'!$C$4,Translations!$D$1:$ZZ$1,0))</f>
        <v/>
      </c>
      <c r="C24" s="62">
        <f>INDEX(Translations!$D:$ZZ, MATCH(254,Translations!$A:$A,0), MATCH('Project Information'!$C$4,Translations!$D$1:$ZZ$1,0))</f>
        <v/>
      </c>
      <c r="D24" s="62">
        <f>INDEX(Translations!$D:$ZZ, MATCH(172,Translations!$A:$A,0), MATCH('Project Information'!$C$4,Translations!$D$1:$ZZ$1,0))</f>
        <v/>
      </c>
      <c r="E24" s="62" t="n"/>
      <c r="F24" s="62" t="n"/>
      <c r="G24" s="62" t="n"/>
      <c r="H24" s="62">
        <f>IF(OR(TRIM(F24)="Evet",TRIM(F24)="Yes"),E24,IF(G24="","",E24*G24))</f>
        <v/>
      </c>
      <c r="I24" s="62" t="n"/>
      <c r="K24" s="38">
        <f>IFERROR(AND(OR(INDEX('Question Restrictions'!$D:$D,MATCH($B24,'Question Restrictions'!$C:$C,0))="All",ISNUMBER(SEARCH('Project Information'!$C$10,INDEX('Question Restrictions'!$D:$D,MATCH($B24,'Question Restrictions'!$C:$C,0))))),OR(INDEX('Question Restrictions'!$E:$E,MATCH($B24,'Question Restrictions'!$C:$C,0))="All",ISNUMBER(SEARCH('Project Information'!$C$11,INDEX('Question Restrictions'!$E:$E,MATCH($B24,'Question Restrictions'!$C:$C,0))))),OR(INDEX('Question Restrictions'!$F:$F,MATCH($B24,'Question Restrictions'!$C:$C,0))="All",ISNUMBER(SEARCH('Project Information'!$C$12,INDEX('Question Restrictions'!$F:$F,MATCH($B24,'Question Restrictions'!$C:$C,0))))),INDEX('Question Restrictions'!$G:$G,MATCH($B24,'Question Restrictions'!$C:$C,0))="Yes"),TRUE())</f>
        <v/>
      </c>
    </row>
    <row r="25" ht="45" customHeight="1" s="39">
      <c r="A25" s="62" t="n">
        <v>13</v>
      </c>
      <c r="B25" s="62">
        <f>INDEX(Translations!$D:$ZZ, MATCH(257,Translations!$A:$A,0), MATCH('Project Information'!$C$4,Translations!$D$1:$ZZ$1,0))</f>
        <v/>
      </c>
      <c r="C25" s="62">
        <f>INDEX(Translations!$D:$ZZ, MATCH(258,Translations!$A:$A,0), MATCH('Project Information'!$C$4,Translations!$D$1:$ZZ$1,0))</f>
        <v/>
      </c>
      <c r="D25" s="62">
        <f>INDEX(Translations!$D:$ZZ, MATCH(172,Translations!$A:$A,0), MATCH('Project Information'!$C$4,Translations!$D$1:$ZZ$1,0))</f>
        <v/>
      </c>
      <c r="E25" s="62" t="n"/>
      <c r="F25" s="62" t="n"/>
      <c r="G25" s="62" t="n"/>
      <c r="H25" s="62">
        <f>IF(OR(TRIM(F25)="Evet",TRIM(F25)="Yes"),E25,IF(G25="","",E25*G25))</f>
        <v/>
      </c>
      <c r="I25" s="62" t="n"/>
      <c r="K25" s="38">
        <f>IFERROR(AND(OR(INDEX('Question Restrictions'!$D:$D,MATCH($B25,'Question Restrictions'!$C:$C,0))="All",ISNUMBER(SEARCH('Project Information'!$C$10,INDEX('Question Restrictions'!$D:$D,MATCH($B25,'Question Restrictions'!$C:$C,0))))),OR(INDEX('Question Restrictions'!$E:$E,MATCH($B25,'Question Restrictions'!$C:$C,0))="All",ISNUMBER(SEARCH('Project Information'!$C$11,INDEX('Question Restrictions'!$E:$E,MATCH($B25,'Question Restrictions'!$C:$C,0))))),OR(INDEX('Question Restrictions'!$F:$F,MATCH($B25,'Question Restrictions'!$C:$C,0))="All",ISNUMBER(SEARCH('Project Information'!$C$12,INDEX('Question Restrictions'!$F:$F,MATCH($B25,'Question Restrictions'!$C:$C,0))))),INDEX('Question Restrictions'!$G:$G,MATCH($B25,'Question Restrictions'!$C:$C,0))="Yes"),TRUE())</f>
        <v/>
      </c>
    </row>
    <row r="26" ht="75" customHeight="1" s="39">
      <c r="A26" s="62" t="n">
        <v>14</v>
      </c>
      <c r="B26" s="62">
        <f>INDEX(Translations!$D:$ZZ, MATCH(259,Translations!$A:$A,0), MATCH('Project Information'!$C$4,Translations!$D$1:$ZZ$1,0))</f>
        <v/>
      </c>
      <c r="C26" s="62">
        <f>INDEX(Translations!$D:$ZZ, MATCH(260,Translations!$A:$A,0), MATCH('Project Information'!$C$4,Translations!$D$1:$ZZ$1,0))</f>
        <v/>
      </c>
      <c r="D26" s="62">
        <f>INDEX(Translations!$D:$ZZ, MATCH(172,Translations!$A:$A,0), MATCH('Project Information'!$C$4,Translations!$D$1:$ZZ$1,0))</f>
        <v/>
      </c>
      <c r="E26" s="62" t="n"/>
      <c r="F26" s="62" t="n"/>
      <c r="G26" s="62" t="n"/>
      <c r="H26" s="62">
        <f>IF(OR(TRIM(F26)="Evet",TRIM(F26)="Yes"),E26,IF(G26="","",E26*G26))</f>
        <v/>
      </c>
      <c r="I26" s="62" t="n"/>
      <c r="K26" s="38">
        <f>IFERROR(AND(OR(INDEX('Question Restrictions'!$D:$D,MATCH($B26,'Question Restrictions'!$C:$C,0))="All",ISNUMBER(SEARCH('Project Information'!$C$10,INDEX('Question Restrictions'!$D:$D,MATCH($B26,'Question Restrictions'!$C:$C,0))))),OR(INDEX('Question Restrictions'!$E:$E,MATCH($B26,'Question Restrictions'!$C:$C,0))="All",ISNUMBER(SEARCH('Project Information'!$C$11,INDEX('Question Restrictions'!$E:$E,MATCH($B26,'Question Restrictions'!$C:$C,0))))),OR(INDEX('Question Restrictions'!$F:$F,MATCH($B26,'Question Restrictions'!$C:$C,0))="All",ISNUMBER(SEARCH('Project Information'!$C$12,INDEX('Question Restrictions'!$F:$F,MATCH($B26,'Question Restrictions'!$C:$C,0))))),INDEX('Question Restrictions'!$G:$G,MATCH($B26,'Question Restrictions'!$C:$C,0))="Yes"),TRUE())</f>
        <v/>
      </c>
    </row>
    <row r="27" ht="45" customHeight="1" s="39">
      <c r="A27" s="62" t="n">
        <v>15</v>
      </c>
      <c r="B27" s="62">
        <f>INDEX(Translations!$D:$ZZ, MATCH(261,Translations!$A:$A,0), MATCH('Project Information'!$C$4,Translations!$D$1:$ZZ$1,0))</f>
        <v/>
      </c>
      <c r="C27" s="62">
        <f>INDEX(Translations!$D:$ZZ, MATCH(262,Translations!$A:$A,0), MATCH('Project Information'!$C$4,Translations!$D$1:$ZZ$1,0))</f>
        <v/>
      </c>
      <c r="D27" s="62">
        <f>INDEX(Translations!$D:$ZZ, MATCH(172,Translations!$A:$A,0), MATCH('Project Information'!$C$4,Translations!$D$1:$ZZ$1,0))</f>
        <v/>
      </c>
      <c r="E27" s="62" t="n"/>
      <c r="F27" s="62" t="n"/>
      <c r="G27" s="62" t="n"/>
      <c r="H27" s="62">
        <f>IF(OR(TRIM(F27)="Evet",TRIM(F27)="Yes"),E27,IF(G27="","",E27*G27))</f>
        <v/>
      </c>
      <c r="I27" s="62" t="n"/>
      <c r="K27" s="38">
        <f>IFERROR(AND(OR(INDEX('Question Restrictions'!$D:$D,MATCH($B27,'Question Restrictions'!$C:$C,0))="All",ISNUMBER(SEARCH('Project Information'!$C$10,INDEX('Question Restrictions'!$D:$D,MATCH($B27,'Question Restrictions'!$C:$C,0))))),OR(INDEX('Question Restrictions'!$E:$E,MATCH($B27,'Question Restrictions'!$C:$C,0))="All",ISNUMBER(SEARCH('Project Information'!$C$11,INDEX('Question Restrictions'!$E:$E,MATCH($B27,'Question Restrictions'!$C:$C,0))))),OR(INDEX('Question Restrictions'!$F:$F,MATCH($B27,'Question Restrictions'!$C:$C,0))="All",ISNUMBER(SEARCH('Project Information'!$C$12,INDEX('Question Restrictions'!$F:$F,MATCH($B27,'Question Restrictions'!$C:$C,0))))),INDEX('Question Restrictions'!$G:$G,MATCH($B27,'Question Restrictions'!$C:$C,0))="Yes"),TRUE())</f>
        <v/>
      </c>
    </row>
    <row r="28" ht="16.4" customHeight="1" s="39">
      <c r="A28" s="62" t="n">
        <v>16</v>
      </c>
      <c r="B28" s="62">
        <f>INDEX(Translations!$D:$ZZ, MATCH(265,Translations!$A:$A,0), MATCH('Project Information'!$C$4,Translations!$D$1:$ZZ$1,0))</f>
        <v/>
      </c>
      <c r="C28" s="62">
        <f>INDEX(Translations!$D:$ZZ, MATCH(266,Translations!$A:$A,0), MATCH('Project Information'!$C$4,Translations!$D$1:$ZZ$1,0))</f>
        <v/>
      </c>
      <c r="D28" s="62">
        <f>INDEX(Translations!$D:$ZZ, MATCH(172,Translations!$A:$A,0), MATCH('Project Information'!$C$4,Translations!$D$1:$ZZ$1,0))</f>
        <v/>
      </c>
      <c r="E28" s="62" t="n"/>
      <c r="F28" s="62" t="n"/>
      <c r="G28" s="62" t="n"/>
      <c r="H28" s="62">
        <f>IF(OR(TRIM(F28)="Evet",TRIM(F28)="Yes"),E28,IF(G28="","",E28*G28))</f>
        <v/>
      </c>
      <c r="I28" s="62" t="n"/>
      <c r="K28" s="38">
        <f>IFERROR(AND(OR(INDEX('Question Restrictions'!$D:$D,MATCH($B28,'Question Restrictions'!$C:$C,0))="All",ISNUMBER(SEARCH('Project Information'!$C$10,INDEX('Question Restrictions'!$D:$D,MATCH($B28,'Question Restrictions'!$C:$C,0))))),OR(INDEX('Question Restrictions'!$E:$E,MATCH($B28,'Question Restrictions'!$C:$C,0))="All",ISNUMBER(SEARCH('Project Information'!$C$11,INDEX('Question Restrictions'!$E:$E,MATCH($B28,'Question Restrictions'!$C:$C,0))))),OR(INDEX('Question Restrictions'!$F:$F,MATCH($B28,'Question Restrictions'!$C:$C,0))="All",ISNUMBER(SEARCH('Project Information'!$C$12,INDEX('Question Restrictions'!$F:$F,MATCH($B28,'Question Restrictions'!$C:$C,0))))),INDEX('Question Restrictions'!$G:$G,MATCH($B28,'Question Restrictions'!$C:$C,0))="Yes"),TRUE())</f>
        <v/>
      </c>
    </row>
    <row r="29" ht="16.4" customHeight="1" s="39">
      <c r="A29" s="62" t="n">
        <v>17</v>
      </c>
      <c r="B29" s="62">
        <f>INDEX(Translations!$D:$ZZ, MATCH(185,Translations!$A:$A,0), MATCH('Project Information'!$C$4,Translations!$D$1:$ZZ$1,0))</f>
        <v/>
      </c>
      <c r="C29" s="62">
        <f>INDEX(Translations!$D:$ZZ, MATCH(186,Translations!$A:$A,0), MATCH('Project Information'!$C$4,Translations!$D$1:$ZZ$1,0))</f>
        <v/>
      </c>
      <c r="D29" s="62">
        <f>INDEX(Translations!$D:$ZZ, MATCH(27,Translations!$A:$A,0), MATCH('Project Information'!$C$4,Translations!$D$1:$ZZ$1,0))</f>
        <v/>
      </c>
      <c r="E29" s="62" t="n"/>
      <c r="F29" s="62" t="n"/>
      <c r="G29" s="62" t="n"/>
      <c r="H29" s="62">
        <f>IF(OR(TRIM(F29)="Evet",TRIM(F29)="Yes"),E29,IF(G29="","",E29*G29))</f>
        <v/>
      </c>
      <c r="I29" s="62" t="n"/>
      <c r="K29" s="38">
        <f>IFERROR(AND(OR(INDEX('Question Restrictions'!$D:$D,MATCH($B29,'Question Restrictions'!$C:$C,0))="All",ISNUMBER(SEARCH('Project Information'!$C$10,INDEX('Question Restrictions'!$D:$D,MATCH($B29,'Question Restrictions'!$C:$C,0))))),OR(INDEX('Question Restrictions'!$E:$E,MATCH($B29,'Question Restrictions'!$C:$C,0))="All",ISNUMBER(SEARCH('Project Information'!$C$11,INDEX('Question Restrictions'!$E:$E,MATCH($B29,'Question Restrictions'!$C:$C,0))))),OR(INDEX('Question Restrictions'!$F:$F,MATCH($B29,'Question Restrictions'!$C:$C,0))="All",ISNUMBER(SEARCH('Project Information'!$C$12,INDEX('Question Restrictions'!$F:$F,MATCH($B29,'Question Restrictions'!$C:$C,0))))),INDEX('Question Restrictions'!$G:$G,MATCH($B29,'Question Restrictions'!$C:$C,0))="Yes"),TRUE())</f>
        <v/>
      </c>
    </row>
    <row r="30" ht="75" customHeight="1" s="39">
      <c r="A30" s="62" t="n">
        <v>18</v>
      </c>
      <c r="B30" s="62">
        <f>INDEX(Translations!$D:$ZZ, MATCH(187,Translations!$A:$A,0), MATCH('Project Information'!$C$4,Translations!$D$1:$ZZ$1,0))</f>
        <v/>
      </c>
      <c r="C30" s="62">
        <f>INDEX(Translations!$D:$ZZ, MATCH(188,Translations!$A:$A,0), MATCH('Project Information'!$C$4,Translations!$D$1:$ZZ$1,0))</f>
        <v/>
      </c>
      <c r="D30" s="62">
        <f>INDEX(Translations!$D:$ZZ, MATCH(27,Translations!$A:$A,0), MATCH('Project Information'!$C$4,Translations!$D$1:$ZZ$1,0))</f>
        <v/>
      </c>
      <c r="E30" s="62" t="n"/>
      <c r="F30" s="62" t="n"/>
      <c r="G30" s="62" t="n"/>
      <c r="H30" s="62">
        <f>IF(OR(TRIM(F30)="Evet",TRIM(F30)="Yes"),E30,IF(G30="","",E30*G30))</f>
        <v/>
      </c>
      <c r="I30" s="62" t="n"/>
      <c r="K30" s="38">
        <f>IFERROR(AND(OR(INDEX('Question Restrictions'!$D:$D,MATCH($B30,'Question Restrictions'!$C:$C,0))="All",ISNUMBER(SEARCH('Project Information'!$C$10,INDEX('Question Restrictions'!$D:$D,MATCH($B30,'Question Restrictions'!$C:$C,0))))),OR(INDEX('Question Restrictions'!$E:$E,MATCH($B30,'Question Restrictions'!$C:$C,0))="All",ISNUMBER(SEARCH('Project Information'!$C$11,INDEX('Question Restrictions'!$E:$E,MATCH($B30,'Question Restrictions'!$C:$C,0))))),OR(INDEX('Question Restrictions'!$F:$F,MATCH($B30,'Question Restrictions'!$C:$C,0))="All",ISNUMBER(SEARCH('Project Information'!$C$12,INDEX('Question Restrictions'!$F:$F,MATCH($B30,'Question Restrictions'!$C:$C,0))))),INDEX('Question Restrictions'!$G:$G,MATCH($B30,'Question Restrictions'!$C:$C,0))="Yes"),TRUE())</f>
        <v/>
      </c>
    </row>
    <row r="31" ht="45" customHeight="1" s="39">
      <c r="A31" s="62" t="n">
        <v>19</v>
      </c>
      <c r="B31" s="62">
        <f>INDEX(Translations!$D:$ZZ, MATCH(183,Translations!$A:$A,0), MATCH('Project Information'!$C$4,Translations!$D$1:$ZZ$1,0))</f>
        <v/>
      </c>
      <c r="C31" s="62">
        <f>INDEX(Translations!$D:$ZZ, MATCH(184,Translations!$A:$A,0), MATCH('Project Information'!$C$4,Translations!$D$1:$ZZ$1,0))</f>
        <v/>
      </c>
      <c r="D31" s="62">
        <f>INDEX(Translations!$D:$ZZ, MATCH(172,Translations!$A:$A,0), MATCH('Project Information'!$C$4,Translations!$D$1:$ZZ$1,0))</f>
        <v/>
      </c>
      <c r="E31" s="62" t="n"/>
      <c r="F31" s="62" t="n"/>
      <c r="G31" s="62" t="n"/>
      <c r="H31" s="62">
        <f>IF(OR(TRIM(F31)="Evet",TRIM(F31)="Yes"),E31,IF(G31="","",E31*G31))</f>
        <v/>
      </c>
      <c r="I31" s="62" t="n"/>
      <c r="K31" s="38">
        <f>IFERROR(AND(OR(INDEX('Question Restrictions'!$D:$D,MATCH($B31,'Question Restrictions'!$C:$C,0))="All",ISNUMBER(SEARCH('Project Information'!$C$10,INDEX('Question Restrictions'!$D:$D,MATCH($B31,'Question Restrictions'!$C:$C,0))))),OR(INDEX('Question Restrictions'!$E:$E,MATCH($B31,'Question Restrictions'!$C:$C,0))="All",ISNUMBER(SEARCH('Project Information'!$C$11,INDEX('Question Restrictions'!$E:$E,MATCH($B31,'Question Restrictions'!$C:$C,0))))),OR(INDEX('Question Restrictions'!$F:$F,MATCH($B31,'Question Restrictions'!$C:$C,0))="All",ISNUMBER(SEARCH('Project Information'!$C$12,INDEX('Question Restrictions'!$F:$F,MATCH($B31,'Question Restrictions'!$C:$C,0))))),INDEX('Question Restrictions'!$G:$G,MATCH($B31,'Question Restrictions'!$C:$C,0))="Yes"),TRUE())</f>
        <v/>
      </c>
    </row>
    <row r="32" ht="16.4" customHeight="1" s="39">
      <c r="A32" s="62" t="n">
        <v>20</v>
      </c>
      <c r="B32" s="62">
        <f>INDEX(Translations!$D:$ZZ, MATCH(193,Translations!$A:$A,0), MATCH('Project Information'!$C$4,Translations!$D$1:$ZZ$1,0))</f>
        <v/>
      </c>
      <c r="C32" s="62">
        <f>INDEX(Translations!$D:$ZZ, MATCH(194,Translations!$A:$A,0), MATCH('Project Information'!$C$4,Translations!$D$1:$ZZ$1,0))</f>
        <v/>
      </c>
      <c r="D32" s="62">
        <f>INDEX(Translations!$D:$ZZ, MATCH(172,Translations!$A:$A,0), MATCH('Project Information'!$C$4,Translations!$D$1:$ZZ$1,0))</f>
        <v/>
      </c>
      <c r="E32" s="62" t="n"/>
      <c r="F32" s="62" t="n"/>
      <c r="G32" s="62" t="n"/>
      <c r="H32" s="62">
        <f>IF(OR(TRIM(F32)="Evet",TRIM(F32)="Yes"),E32,IF(G32="","",E32*G32))</f>
        <v/>
      </c>
      <c r="I32" s="62" t="n"/>
      <c r="K32" s="38">
        <f>IFERROR(AND(OR(INDEX('Question Restrictions'!$D:$D,MATCH($B32,'Question Restrictions'!$C:$C,0))="All",ISNUMBER(SEARCH('Project Information'!$C$10,INDEX('Question Restrictions'!$D:$D,MATCH($B32,'Question Restrictions'!$C:$C,0))))),OR(INDEX('Question Restrictions'!$E:$E,MATCH($B32,'Question Restrictions'!$C:$C,0))="All",ISNUMBER(SEARCH('Project Information'!$C$11,INDEX('Question Restrictions'!$E:$E,MATCH($B32,'Question Restrictions'!$C:$C,0))))),OR(INDEX('Question Restrictions'!$F:$F,MATCH($B32,'Question Restrictions'!$C:$C,0))="All",ISNUMBER(SEARCH('Project Information'!$C$12,INDEX('Question Restrictions'!$F:$F,MATCH($B32,'Question Restrictions'!$C:$C,0))))),INDEX('Question Restrictions'!$G:$G,MATCH($B32,'Question Restrictions'!$C:$C,0))="Yes"),TRUE())</f>
        <v/>
      </c>
    </row>
    <row r="33" ht="30" customHeight="1" s="39">
      <c r="A33" s="62" t="n">
        <v>21</v>
      </c>
      <c r="B33" s="62">
        <f>INDEX(Translations!$D:$ZZ, MATCH(181,Translations!$A:$A,0), MATCH('Project Information'!$C$4,Translations!$D$1:$ZZ$1,0))</f>
        <v/>
      </c>
      <c r="C33" s="62">
        <f>INDEX(Translations!$D:$ZZ, MATCH(182,Translations!$A:$A,0), MATCH('Project Information'!$C$4,Translations!$D$1:$ZZ$1,0))</f>
        <v/>
      </c>
      <c r="D33" s="62">
        <f>INDEX(Translations!$D:$ZZ, MATCH(27,Translations!$A:$A,0), MATCH('Project Information'!$C$4,Translations!$D$1:$ZZ$1,0))</f>
        <v/>
      </c>
      <c r="E33" s="62" t="n"/>
      <c r="F33" s="62" t="n"/>
      <c r="G33" s="62" t="n"/>
      <c r="H33" s="62">
        <f>IF(OR(TRIM(F33)="Evet",TRIM(F33)="Yes"),E33,IF(G33="","",E33*G33))</f>
        <v/>
      </c>
      <c r="I33" s="62" t="n"/>
      <c r="K33" s="38">
        <f>IFERROR(AND(OR(INDEX('Question Restrictions'!$D:$D,MATCH($B33,'Question Restrictions'!$C:$C,0))="All",ISNUMBER(SEARCH('Project Information'!$C$10,INDEX('Question Restrictions'!$D:$D,MATCH($B33,'Question Restrictions'!$C:$C,0))))),OR(INDEX('Question Restrictions'!$E:$E,MATCH($B33,'Question Restrictions'!$C:$C,0))="All",ISNUMBER(SEARCH('Project Information'!$C$11,INDEX('Question Restrictions'!$E:$E,MATCH($B33,'Question Restrictions'!$C:$C,0))))),OR(INDEX('Question Restrictions'!$F:$F,MATCH($B33,'Question Restrictions'!$C:$C,0))="All",ISNUMBER(SEARCH('Project Information'!$C$12,INDEX('Question Restrictions'!$F:$F,MATCH($B33,'Question Restrictions'!$C:$C,0))))),INDEX('Question Restrictions'!$G:$G,MATCH($B33,'Question Restrictions'!$C:$C,0))="Yes"),TRUE())</f>
        <v/>
      </c>
    </row>
    <row r="34" ht="30" customHeight="1" s="39">
      <c r="A34" s="62" t="n">
        <v>22</v>
      </c>
      <c r="B34" s="62">
        <f>INDEX(Translations!$D:$ZZ, MATCH(177,Translations!$A:$A,0), MATCH('Project Information'!$C$4,Translations!$D$1:$ZZ$1,0))</f>
        <v/>
      </c>
      <c r="C34" s="62">
        <f>INDEX(Translations!$D:$ZZ, MATCH(178,Translations!$A:$A,0), MATCH('Project Information'!$C$4,Translations!$D$1:$ZZ$1,0))</f>
        <v/>
      </c>
      <c r="D34" s="62">
        <f>INDEX(Translations!$D:$ZZ, MATCH(27,Translations!$A:$A,0), MATCH('Project Information'!$C$4,Translations!$D$1:$ZZ$1,0))</f>
        <v/>
      </c>
      <c r="E34" s="62" t="n"/>
      <c r="F34" s="62" t="n"/>
      <c r="G34" s="62" t="n"/>
      <c r="H34" s="62">
        <f>IF(OR(TRIM(F34)="Evet",TRIM(F34)="Yes"),E34,IF(G34="","",E34*G34))</f>
        <v/>
      </c>
      <c r="I34" s="62" t="n"/>
      <c r="K34" s="38">
        <f>IFERROR(AND(OR(INDEX('Question Restrictions'!$D:$D,MATCH($B34,'Question Restrictions'!$C:$C,0))="All",ISNUMBER(SEARCH('Project Information'!$C$10,INDEX('Question Restrictions'!$D:$D,MATCH($B34,'Question Restrictions'!$C:$C,0))))),OR(INDEX('Question Restrictions'!$E:$E,MATCH($B34,'Question Restrictions'!$C:$C,0))="All",ISNUMBER(SEARCH('Project Information'!$C$11,INDEX('Question Restrictions'!$E:$E,MATCH($B34,'Question Restrictions'!$C:$C,0))))),OR(INDEX('Question Restrictions'!$F:$F,MATCH($B34,'Question Restrictions'!$C:$C,0))="All",ISNUMBER(SEARCH('Project Information'!$C$12,INDEX('Question Restrictions'!$F:$F,MATCH($B34,'Question Restrictions'!$C:$C,0))))),INDEX('Question Restrictions'!$G:$G,MATCH($B34,'Question Restrictions'!$C:$C,0))="Yes"),TRUE())</f>
        <v/>
      </c>
    </row>
    <row r="35" ht="30" customHeight="1" s="39">
      <c r="A35" s="62" t="n">
        <v>23</v>
      </c>
      <c r="B35" s="62">
        <f>INDEX(Translations!$D:$ZZ, MATCH(179,Translations!$A:$A,0), MATCH('Project Information'!$C$4,Translations!$D$1:$ZZ$1,0))</f>
        <v/>
      </c>
      <c r="C35" s="62">
        <f>INDEX(Translations!$D:$ZZ, MATCH(180,Translations!$A:$A,0), MATCH('Project Information'!$C$4,Translations!$D$1:$ZZ$1,0))</f>
        <v/>
      </c>
      <c r="D35" s="62">
        <f>INDEX(Translations!$D:$ZZ, MATCH(172,Translations!$A:$A,0), MATCH('Project Information'!$C$4,Translations!$D$1:$ZZ$1,0))</f>
        <v/>
      </c>
      <c r="E35" s="62" t="n"/>
      <c r="F35" s="62" t="n"/>
      <c r="G35" s="62" t="n"/>
      <c r="H35" s="62">
        <f>IF(OR(TRIM(F35)="Evet",TRIM(F35)="Yes"),E35,IF(G35="","",E35*G35))</f>
        <v/>
      </c>
      <c r="I35" s="62" t="n"/>
      <c r="K35" s="38">
        <f>IFERROR(AND(OR(INDEX('Question Restrictions'!$D:$D,MATCH($B35,'Question Restrictions'!$C:$C,0))="All",ISNUMBER(SEARCH('Project Information'!$C$10,INDEX('Question Restrictions'!$D:$D,MATCH($B35,'Question Restrictions'!$C:$C,0))))),OR(INDEX('Question Restrictions'!$E:$E,MATCH($B35,'Question Restrictions'!$C:$C,0))="All",ISNUMBER(SEARCH('Project Information'!$C$11,INDEX('Question Restrictions'!$E:$E,MATCH($B35,'Question Restrictions'!$C:$C,0))))),OR(INDEX('Question Restrictions'!$F:$F,MATCH($B35,'Question Restrictions'!$C:$C,0))="All",ISNUMBER(SEARCH('Project Information'!$C$12,INDEX('Question Restrictions'!$F:$F,MATCH($B35,'Question Restrictions'!$C:$C,0))))),INDEX('Question Restrictions'!$G:$G,MATCH($B35,'Question Restrictions'!$C:$C,0))="Yes"),TRUE())</f>
        <v/>
      </c>
    </row>
    <row r="36" ht="30" customHeight="1" s="39">
      <c r="A36" s="62" t="n">
        <v>24</v>
      </c>
      <c r="B36" s="62">
        <f>INDEX(Translations!$D:$ZZ, MATCH(189,Translations!$A:$A,0), MATCH('Project Information'!$C$4,Translations!$D$1:$ZZ$1,0))</f>
        <v/>
      </c>
      <c r="C36" s="62">
        <f>INDEX(Translations!$D:$ZZ, MATCH(190,Translations!$A:$A,0), MATCH('Project Information'!$C$4,Translations!$D$1:$ZZ$1,0))</f>
        <v/>
      </c>
      <c r="D36" s="62">
        <f>INDEX(Translations!$D:$ZZ, MATCH(172,Translations!$A:$A,0), MATCH('Project Information'!$C$4,Translations!$D$1:$ZZ$1,0))</f>
        <v/>
      </c>
      <c r="E36" s="62" t="n"/>
      <c r="F36" s="62" t="n"/>
      <c r="G36" s="62" t="n"/>
      <c r="H36" s="62">
        <f>IF(OR(TRIM(F36)="Evet",TRIM(F36)="Yes"),E36,IF(G36="","",E36*G36))</f>
        <v/>
      </c>
      <c r="I36" s="62" t="n"/>
      <c r="K36" s="38">
        <f>IFERROR(AND(OR(INDEX('Question Restrictions'!$D:$D,MATCH($B36,'Question Restrictions'!$C:$C,0))="All",ISNUMBER(SEARCH('Project Information'!$C$10,INDEX('Question Restrictions'!$D:$D,MATCH($B36,'Question Restrictions'!$C:$C,0))))),OR(INDEX('Question Restrictions'!$E:$E,MATCH($B36,'Question Restrictions'!$C:$C,0))="All",ISNUMBER(SEARCH('Project Information'!$C$11,INDEX('Question Restrictions'!$E:$E,MATCH($B36,'Question Restrictions'!$C:$C,0))))),OR(INDEX('Question Restrictions'!$F:$F,MATCH($B36,'Question Restrictions'!$C:$C,0))="All",ISNUMBER(SEARCH('Project Information'!$C$12,INDEX('Question Restrictions'!$F:$F,MATCH($B36,'Question Restrictions'!$C:$C,0))))),INDEX('Question Restrictions'!$G:$G,MATCH($B36,'Question Restrictions'!$C:$C,0))="Yes"),TRUE())</f>
        <v/>
      </c>
    </row>
    <row r="37" ht="30" customHeight="1" s="39">
      <c r="A37" s="62" t="n">
        <v>25</v>
      </c>
      <c r="B37" s="62">
        <f>INDEX(Translations!$D:$ZZ, MATCH(191,Translations!$A:$A,0), MATCH('Project Information'!$C$4,Translations!$D$1:$ZZ$1,0))</f>
        <v/>
      </c>
      <c r="C37" s="62">
        <f>INDEX(Translations!$D:$ZZ, MATCH(192,Translations!$A:$A,0), MATCH('Project Information'!$C$4,Translations!$D$1:$ZZ$1,0))</f>
        <v/>
      </c>
      <c r="D37" s="62">
        <f>INDEX(Translations!$D:$ZZ, MATCH(27,Translations!$A:$A,0), MATCH('Project Information'!$C$4,Translations!$D$1:$ZZ$1,0))</f>
        <v/>
      </c>
      <c r="E37" s="62" t="n"/>
      <c r="F37" s="62" t="n"/>
      <c r="G37" s="62" t="n"/>
      <c r="H37" s="62">
        <f>IF(OR(TRIM(F37)="Evet",TRIM(F37)="Yes"),E37,IF(G37="","",E37*G37))</f>
        <v/>
      </c>
      <c r="I37" s="62" t="n"/>
      <c r="K37" s="38">
        <f>IFERROR(AND(OR(INDEX('Question Restrictions'!$D:$D,MATCH($B37,'Question Restrictions'!$C:$C,0))="All",ISNUMBER(SEARCH('Project Information'!$C$10,INDEX('Question Restrictions'!$D:$D,MATCH($B37,'Question Restrictions'!$C:$C,0))))),OR(INDEX('Question Restrictions'!$E:$E,MATCH($B37,'Question Restrictions'!$C:$C,0))="All",ISNUMBER(SEARCH('Project Information'!$C$11,INDEX('Question Restrictions'!$E:$E,MATCH($B37,'Question Restrictions'!$C:$C,0))))),OR(INDEX('Question Restrictions'!$F:$F,MATCH($B37,'Question Restrictions'!$C:$C,0))="All",ISNUMBER(SEARCH('Project Information'!$C$12,INDEX('Question Restrictions'!$F:$F,MATCH($B37,'Question Restrictions'!$C:$C,0))))),INDEX('Question Restrictions'!$G:$G,MATCH($B37,'Question Restrictions'!$C:$C,0))="Yes"),TRUE())</f>
        <v/>
      </c>
    </row>
    <row r="38" ht="16.4" customHeight="1" s="39">
      <c r="A38" s="62" t="n">
        <v>26</v>
      </c>
      <c r="B38" s="62">
        <f>INDEX(Translations!$D:$ZZ, MATCH(195,Translations!$A:$A,0), MATCH('Project Information'!$C$4,Translations!$D$1:$ZZ$1,0))</f>
        <v/>
      </c>
      <c r="C38" s="62">
        <f>INDEX(Translations!$D:$ZZ, MATCH(196,Translations!$A:$A,0), MATCH('Project Information'!$C$4,Translations!$D$1:$ZZ$1,0))</f>
        <v/>
      </c>
      <c r="D38" s="62">
        <f>INDEX(Translations!$D:$ZZ, MATCH(172,Translations!$A:$A,0), MATCH('Project Information'!$C$4,Translations!$D$1:$ZZ$1,0))</f>
        <v/>
      </c>
      <c r="E38" s="62" t="n"/>
      <c r="F38" s="62" t="n"/>
      <c r="G38" s="62" t="n"/>
      <c r="H38" s="62">
        <f>IF(OR(TRIM(F38)="Evet",TRIM(F38)="Yes"),E38,IF(G38="","",E38*G38))</f>
        <v/>
      </c>
      <c r="I38" s="62" t="n"/>
      <c r="K38" s="38">
        <f>IFERROR(AND(OR(INDEX('Question Restrictions'!$D:$D,MATCH($B38,'Question Restrictions'!$C:$C,0))="All",ISNUMBER(SEARCH('Project Information'!$C$10,INDEX('Question Restrictions'!$D:$D,MATCH($B38,'Question Restrictions'!$C:$C,0))))),OR(INDEX('Question Restrictions'!$E:$E,MATCH($B38,'Question Restrictions'!$C:$C,0))="All",ISNUMBER(SEARCH('Project Information'!$C$11,INDEX('Question Restrictions'!$E:$E,MATCH($B38,'Question Restrictions'!$C:$C,0))))),OR(INDEX('Question Restrictions'!$F:$F,MATCH($B38,'Question Restrictions'!$C:$C,0))="All",ISNUMBER(SEARCH('Project Information'!$C$12,INDEX('Question Restrictions'!$F:$F,MATCH($B38,'Question Restrictions'!$C:$C,0))))),INDEX('Question Restrictions'!$G:$G,MATCH($B38,'Question Restrictions'!$C:$C,0))="Yes"),TRUE())</f>
        <v/>
      </c>
    </row>
    <row r="39" ht="30" customHeight="1" s="39">
      <c r="A39" s="62" t="n">
        <v>27</v>
      </c>
      <c r="B39" s="62">
        <f>INDEX(Translations!$D:$ZZ, MATCH(197,Translations!$A:$A,0), MATCH('Project Information'!$C$4,Translations!$D$1:$ZZ$1,0))</f>
        <v/>
      </c>
      <c r="C39" s="62">
        <f>INDEX(Translations!$D:$ZZ, MATCH(198,Translations!$A:$A,0), MATCH('Project Information'!$C$4,Translations!$D$1:$ZZ$1,0))</f>
        <v/>
      </c>
      <c r="D39" s="62">
        <f>INDEX(Translations!$D:$ZZ, MATCH(172,Translations!$A:$A,0), MATCH('Project Information'!$C$4,Translations!$D$1:$ZZ$1,0))</f>
        <v/>
      </c>
      <c r="E39" s="62" t="n"/>
      <c r="F39" s="62" t="n"/>
      <c r="G39" s="62" t="n"/>
      <c r="H39" s="62">
        <f>IF(OR(TRIM(F39)="Evet",TRIM(F39)="Yes"),E39,IF(G39="","",E39*G39))</f>
        <v/>
      </c>
      <c r="I39" s="62" t="n"/>
      <c r="K39" s="38">
        <f>IFERROR(AND(OR(INDEX('Question Restrictions'!$D:$D,MATCH($B39,'Question Restrictions'!$C:$C,0))="All",ISNUMBER(SEARCH('Project Information'!$C$10,INDEX('Question Restrictions'!$D:$D,MATCH($B39,'Question Restrictions'!$C:$C,0))))),OR(INDEX('Question Restrictions'!$E:$E,MATCH($B39,'Question Restrictions'!$C:$C,0))="All",ISNUMBER(SEARCH('Project Information'!$C$11,INDEX('Question Restrictions'!$E:$E,MATCH($B39,'Question Restrictions'!$C:$C,0))))),OR(INDEX('Question Restrictions'!$F:$F,MATCH($B39,'Question Restrictions'!$C:$C,0))="All",ISNUMBER(SEARCH('Project Information'!$C$12,INDEX('Question Restrictions'!$F:$F,MATCH($B39,'Question Restrictions'!$C:$C,0))))),INDEX('Question Restrictions'!$G:$G,MATCH($B39,'Question Restrictions'!$C:$C,0))="Yes"),TRUE())</f>
        <v/>
      </c>
    </row>
    <row r="40" ht="30" customHeight="1" s="39">
      <c r="A40" s="62" t="n">
        <v>28</v>
      </c>
      <c r="B40" s="62">
        <f>INDEX(Translations!$D:$ZZ, MATCH(199,Translations!$A:$A,0), MATCH('Project Information'!$C$4,Translations!$D$1:$ZZ$1,0))</f>
        <v/>
      </c>
      <c r="C40" s="62">
        <f>INDEX(Translations!$D:$ZZ, MATCH(200,Translations!$A:$A,0), MATCH('Project Information'!$C$4,Translations!$D$1:$ZZ$1,0))</f>
        <v/>
      </c>
      <c r="D40" s="62">
        <f>INDEX(Translations!$D:$ZZ, MATCH(172,Translations!$A:$A,0), MATCH('Project Information'!$C$4,Translations!$D$1:$ZZ$1,0))</f>
        <v/>
      </c>
      <c r="E40" s="62" t="n"/>
      <c r="F40" s="62" t="n"/>
      <c r="G40" s="62" t="n"/>
      <c r="H40" s="62">
        <f>IF(OR(TRIM(F40)="Evet",TRIM(F40)="Yes"),E40,IF(G40="","",E40*G40))</f>
        <v/>
      </c>
      <c r="I40" s="62" t="n"/>
      <c r="K40" s="38">
        <f>IFERROR(AND(OR(INDEX('Question Restrictions'!$D:$D,MATCH($B40,'Question Restrictions'!$C:$C,0))="All",ISNUMBER(SEARCH('Project Information'!$C$10,INDEX('Question Restrictions'!$D:$D,MATCH($B40,'Question Restrictions'!$C:$C,0))))),OR(INDEX('Question Restrictions'!$E:$E,MATCH($B40,'Question Restrictions'!$C:$C,0))="All",ISNUMBER(SEARCH('Project Information'!$C$11,INDEX('Question Restrictions'!$E:$E,MATCH($B40,'Question Restrictions'!$C:$C,0))))),OR(INDEX('Question Restrictions'!$F:$F,MATCH($B40,'Question Restrictions'!$C:$C,0))="All",ISNUMBER(SEARCH('Project Information'!$C$12,INDEX('Question Restrictions'!$F:$F,MATCH($B40,'Question Restrictions'!$C:$C,0))))),INDEX('Question Restrictions'!$G:$G,MATCH($B40,'Question Restrictions'!$C:$C,0))="Yes"),TRUE())</f>
        <v/>
      </c>
    </row>
    <row r="41" ht="30" customHeight="1" s="39">
      <c r="A41" s="62" t="n">
        <v>29</v>
      </c>
      <c r="B41" s="62">
        <f>INDEX(Translations!$D:$ZZ, MATCH(255,Translations!$A:$A,0), MATCH('Project Information'!$C$4,Translations!$D$1:$ZZ$1,0))</f>
        <v/>
      </c>
      <c r="C41" s="62">
        <f>INDEX(Translations!$D:$ZZ, MATCH(256,Translations!$A:$A,0), MATCH('Project Information'!$C$4,Translations!$D$1:$ZZ$1,0))</f>
        <v/>
      </c>
      <c r="D41" s="62">
        <f>INDEX(Translations!$D:$ZZ, MATCH(172,Translations!$A:$A,0), MATCH('Project Information'!$C$4,Translations!$D$1:$ZZ$1,0))</f>
        <v/>
      </c>
      <c r="E41" s="62" t="n"/>
      <c r="F41" s="62" t="n"/>
      <c r="G41" s="62" t="n"/>
      <c r="H41" s="62">
        <f>IF(OR(TRIM(F41)="Evet",TRIM(F41)="Yes"),E41,IF(G41="","",E41*G41))</f>
        <v/>
      </c>
      <c r="I41" s="62" t="n"/>
      <c r="K41" s="38">
        <f>IFERROR(AND(OR(INDEX('Question Restrictions'!$D:$D,MATCH($B41,'Question Restrictions'!$C:$C,0))="All",ISNUMBER(SEARCH('Project Information'!$C$10,INDEX('Question Restrictions'!$D:$D,MATCH($B41,'Question Restrictions'!$C:$C,0))))),OR(INDEX('Question Restrictions'!$E:$E,MATCH($B41,'Question Restrictions'!$C:$C,0))="All",ISNUMBER(SEARCH('Project Information'!$C$11,INDEX('Question Restrictions'!$E:$E,MATCH($B41,'Question Restrictions'!$C:$C,0))))),OR(INDEX('Question Restrictions'!$F:$F,MATCH($B41,'Question Restrictions'!$C:$C,0))="All",ISNUMBER(SEARCH('Project Information'!$C$12,INDEX('Question Restrictions'!$F:$F,MATCH($B41,'Question Restrictions'!$C:$C,0))))),INDEX('Question Restrictions'!$G:$G,MATCH($B41,'Question Restrictions'!$C:$C,0))="Yes"),TRUE())</f>
        <v/>
      </c>
    </row>
    <row r="42" ht="16.4" customHeight="1" s="39">
      <c r="A42" s="62" t="n">
        <v>30</v>
      </c>
      <c r="B42" s="62">
        <f>INDEX(Translations!$D:$ZZ, MATCH(203,Translations!$A:$A,0), MATCH('Project Information'!$C$4,Translations!$D$1:$ZZ$1,0))</f>
        <v/>
      </c>
      <c r="C42" s="62">
        <f>INDEX(Translations!$D:$ZZ, MATCH(204,Translations!$A:$A,0), MATCH('Project Information'!$C$4,Translations!$D$1:$ZZ$1,0))</f>
        <v/>
      </c>
      <c r="D42" s="62">
        <f>INDEX(Translations!$D:$ZZ, MATCH(172,Translations!$A:$A,0), MATCH('Project Information'!$C$4,Translations!$D$1:$ZZ$1,0))</f>
        <v/>
      </c>
      <c r="E42" s="62" t="n"/>
      <c r="F42" s="62" t="n"/>
      <c r="G42" s="62" t="n"/>
      <c r="H42" s="62">
        <f>IF(OR(TRIM(F42)="Evet",TRIM(F42)="Yes"),E42,IF(G42="","",E42*G42))</f>
        <v/>
      </c>
      <c r="I42" s="62" t="n"/>
      <c r="K42" s="38">
        <f>IFERROR(AND(OR(INDEX('Question Restrictions'!$D:$D,MATCH($B42,'Question Restrictions'!$C:$C,0))="All",ISNUMBER(SEARCH('Project Information'!$C$10,INDEX('Question Restrictions'!$D:$D,MATCH($B42,'Question Restrictions'!$C:$C,0))))),OR(INDEX('Question Restrictions'!$E:$E,MATCH($B42,'Question Restrictions'!$C:$C,0))="All",ISNUMBER(SEARCH('Project Information'!$C$11,INDEX('Question Restrictions'!$E:$E,MATCH($B42,'Question Restrictions'!$C:$C,0))))),OR(INDEX('Question Restrictions'!$F:$F,MATCH($B42,'Question Restrictions'!$C:$C,0))="All",ISNUMBER(SEARCH('Project Information'!$C$12,INDEX('Question Restrictions'!$F:$F,MATCH($B42,'Question Restrictions'!$C:$C,0))))),INDEX('Question Restrictions'!$G:$G,MATCH($B42,'Question Restrictions'!$C:$C,0))="Yes"),TRUE())</f>
        <v/>
      </c>
    </row>
    <row r="43" ht="45" customHeight="1" s="39">
      <c r="A43" s="62" t="n">
        <v>31</v>
      </c>
      <c r="B43" s="62">
        <f>INDEX(Translations!$D:$ZZ, MATCH(217,Translations!$A:$A,0), MATCH('Project Information'!$C$4,Translations!$D$1:$ZZ$1,0))</f>
        <v/>
      </c>
      <c r="C43" s="62">
        <f>INDEX(Translations!$D:$ZZ, MATCH(218,Translations!$A:$A,0), MATCH('Project Information'!$C$4,Translations!$D$1:$ZZ$1,0))</f>
        <v/>
      </c>
      <c r="D43" s="62">
        <f>INDEX(Translations!$D:$ZZ, MATCH(172,Translations!$A:$A,0), MATCH('Project Information'!$C$4,Translations!$D$1:$ZZ$1,0))</f>
        <v/>
      </c>
      <c r="E43" s="62" t="n"/>
      <c r="F43" s="62" t="n"/>
      <c r="G43" s="62" t="n"/>
      <c r="H43" s="62">
        <f>IF(OR(TRIM(F43)="Evet",TRIM(F43)="Yes"),E43,IF(G43="","",E43*G43))</f>
        <v/>
      </c>
      <c r="I43" s="62" t="n"/>
      <c r="K43" s="38">
        <f>IFERROR(AND(OR(INDEX('Question Restrictions'!$D:$D,MATCH($B43,'Question Restrictions'!$C:$C,0))="All",ISNUMBER(SEARCH('Project Information'!$C$10,INDEX('Question Restrictions'!$D:$D,MATCH($B43,'Question Restrictions'!$C:$C,0))))),OR(INDEX('Question Restrictions'!$E:$E,MATCH($B43,'Question Restrictions'!$C:$C,0))="All",ISNUMBER(SEARCH('Project Information'!$C$11,INDEX('Question Restrictions'!$E:$E,MATCH($B43,'Question Restrictions'!$C:$C,0))))),OR(INDEX('Question Restrictions'!$F:$F,MATCH($B43,'Question Restrictions'!$C:$C,0))="All",ISNUMBER(SEARCH('Project Information'!$C$12,INDEX('Question Restrictions'!$F:$F,MATCH($B43,'Question Restrictions'!$C:$C,0))))),INDEX('Question Restrictions'!$G:$G,MATCH($B43,'Question Restrictions'!$C:$C,0))="Yes"),TRUE())</f>
        <v/>
      </c>
    </row>
    <row r="44" ht="16.4" customHeight="1" s="39">
      <c r="A44" s="62" t="n">
        <v>32</v>
      </c>
      <c r="B44" s="62">
        <f>INDEX(Translations!$D:$ZZ, MATCH(219,Translations!$A:$A,0), MATCH('Project Information'!$C$4,Translations!$D$1:$ZZ$1,0))</f>
        <v/>
      </c>
      <c r="C44" s="62">
        <f>INDEX(Translations!$D:$ZZ, MATCH(220,Translations!$A:$A,0), MATCH('Project Information'!$C$4,Translations!$D$1:$ZZ$1,0))</f>
        <v/>
      </c>
      <c r="D44" s="62">
        <f>INDEX(Translations!$D:$ZZ, MATCH(172,Translations!$A:$A,0), MATCH('Project Information'!$C$4,Translations!$D$1:$ZZ$1,0))</f>
        <v/>
      </c>
      <c r="E44" s="62" t="n"/>
      <c r="F44" s="62" t="n"/>
      <c r="G44" s="62" t="n"/>
      <c r="H44" s="62">
        <f>IF(OR(TRIM(F44)="Evet",TRIM(F44)="Yes"),E44,IF(G44="","",E44*G44))</f>
        <v/>
      </c>
      <c r="I44" s="62" t="n"/>
      <c r="K44" s="38">
        <f>IFERROR(AND(OR(INDEX('Question Restrictions'!$D:$D,MATCH($B44,'Question Restrictions'!$C:$C,0))="All",ISNUMBER(SEARCH('Project Information'!$C$10,INDEX('Question Restrictions'!$D:$D,MATCH($B44,'Question Restrictions'!$C:$C,0))))),OR(INDEX('Question Restrictions'!$E:$E,MATCH($B44,'Question Restrictions'!$C:$C,0))="All",ISNUMBER(SEARCH('Project Information'!$C$11,INDEX('Question Restrictions'!$E:$E,MATCH($B44,'Question Restrictions'!$C:$C,0))))),OR(INDEX('Question Restrictions'!$F:$F,MATCH($B44,'Question Restrictions'!$C:$C,0))="All",ISNUMBER(SEARCH('Project Information'!$C$12,INDEX('Question Restrictions'!$F:$F,MATCH($B44,'Question Restrictions'!$C:$C,0))))),INDEX('Question Restrictions'!$G:$G,MATCH($B44,'Question Restrictions'!$C:$C,0))="Yes"),TRUE())</f>
        <v/>
      </c>
    </row>
    <row r="45" ht="16.4" customHeight="1" s="39">
      <c r="A45" s="62" t="n">
        <v>33</v>
      </c>
      <c r="B45" s="62">
        <f>INDEX(Translations!$D:$ZZ, MATCH(221,Translations!$A:$A,0), MATCH('Project Information'!$C$4,Translations!$D$1:$ZZ$1,0))</f>
        <v/>
      </c>
      <c r="C45" s="62">
        <f>INDEX(Translations!$D:$ZZ, MATCH(220,Translations!$A:$A,0), MATCH('Project Information'!$C$4,Translations!$D$1:$ZZ$1,0))</f>
        <v/>
      </c>
      <c r="D45" s="62">
        <f>INDEX(Translations!$D:$ZZ, MATCH(172,Translations!$A:$A,0), MATCH('Project Information'!$C$4,Translations!$D$1:$ZZ$1,0))</f>
        <v/>
      </c>
      <c r="E45" s="62" t="n"/>
      <c r="F45" s="62" t="n"/>
      <c r="G45" s="62" t="n"/>
      <c r="H45" s="62">
        <f>IF(OR(TRIM(F45)="Evet",TRIM(F45)="Yes"),E45,IF(G45="","",E45*G45))</f>
        <v/>
      </c>
      <c r="I45" s="62" t="n"/>
      <c r="K45" s="38">
        <f>IFERROR(AND(OR(INDEX('Question Restrictions'!$D:$D,MATCH($B45,'Question Restrictions'!$C:$C,0))="All",ISNUMBER(SEARCH('Project Information'!$C$10,INDEX('Question Restrictions'!$D:$D,MATCH($B45,'Question Restrictions'!$C:$C,0))))),OR(INDEX('Question Restrictions'!$E:$E,MATCH($B45,'Question Restrictions'!$C:$C,0))="All",ISNUMBER(SEARCH('Project Information'!$C$11,INDEX('Question Restrictions'!$E:$E,MATCH($B45,'Question Restrictions'!$C:$C,0))))),OR(INDEX('Question Restrictions'!$F:$F,MATCH($B45,'Question Restrictions'!$C:$C,0))="All",ISNUMBER(SEARCH('Project Information'!$C$12,INDEX('Question Restrictions'!$F:$F,MATCH($B45,'Question Restrictions'!$C:$C,0))))),INDEX('Question Restrictions'!$G:$G,MATCH($B45,'Question Restrictions'!$C:$C,0))="Yes"),TRUE())</f>
        <v/>
      </c>
    </row>
    <row r="46" ht="30" customHeight="1" s="39">
      <c r="A46" s="62" t="n">
        <v>34</v>
      </c>
      <c r="B46" s="62">
        <f>INDEX(Translations!$D:$ZZ, MATCH(222,Translations!$A:$A,0), MATCH('Project Information'!$C$4,Translations!$D$1:$ZZ$1,0))</f>
        <v/>
      </c>
      <c r="C46" s="62">
        <f>INDEX(Translations!$D:$ZZ, MATCH(223,Translations!$A:$A,0), MATCH('Project Information'!$C$4,Translations!$D$1:$ZZ$1,0))</f>
        <v/>
      </c>
      <c r="D46" s="62">
        <f>INDEX(Translations!$D:$ZZ, MATCH(27,Translations!$A:$A,0), MATCH('Project Information'!$C$4,Translations!$D$1:$ZZ$1,0))</f>
        <v/>
      </c>
      <c r="E46" s="62" t="n"/>
      <c r="F46" s="62" t="n"/>
      <c r="G46" s="62" t="n"/>
      <c r="H46" s="62">
        <f>IF(OR(TRIM(F46)="Evet",TRIM(F46)="Yes"),E46,IF(G46="","",E46*G46))</f>
        <v/>
      </c>
      <c r="I46" s="62" t="n"/>
      <c r="K46" s="38">
        <f>IFERROR(AND(OR(INDEX('Question Restrictions'!$D:$D,MATCH($B46,'Question Restrictions'!$C:$C,0))="All",ISNUMBER(SEARCH('Project Information'!$C$10,INDEX('Question Restrictions'!$D:$D,MATCH($B46,'Question Restrictions'!$C:$C,0))))),OR(INDEX('Question Restrictions'!$E:$E,MATCH($B46,'Question Restrictions'!$C:$C,0))="All",ISNUMBER(SEARCH('Project Information'!$C$11,INDEX('Question Restrictions'!$E:$E,MATCH($B46,'Question Restrictions'!$C:$C,0))))),OR(INDEX('Question Restrictions'!$F:$F,MATCH($B46,'Question Restrictions'!$C:$C,0))="All",ISNUMBER(SEARCH('Project Information'!$C$12,INDEX('Question Restrictions'!$F:$F,MATCH($B46,'Question Restrictions'!$C:$C,0))))),INDEX('Question Restrictions'!$G:$G,MATCH($B46,'Question Restrictions'!$C:$C,0))="Yes"),TRUE())</f>
        <v/>
      </c>
    </row>
    <row r="47" ht="30" customHeight="1" s="39">
      <c r="A47" s="62" t="n">
        <v>35</v>
      </c>
      <c r="B47" s="62">
        <f>INDEX(Translations!$D:$ZZ, MATCH(234,Translations!$A:$A,0), MATCH('Project Information'!$C$4,Translations!$D$1:$ZZ$1,0))</f>
        <v/>
      </c>
      <c r="C47" s="62">
        <f>INDEX(Translations!$D:$ZZ, MATCH(194,Translations!$A:$A,0), MATCH('Project Information'!$C$4,Translations!$D$1:$ZZ$1,0))</f>
        <v/>
      </c>
      <c r="D47" s="62">
        <f>INDEX(Translations!$D:$ZZ, MATCH(172,Translations!$A:$A,0), MATCH('Project Information'!$C$4,Translations!$D$1:$ZZ$1,0))</f>
        <v/>
      </c>
      <c r="E47" s="62" t="n"/>
      <c r="F47" s="62" t="n"/>
      <c r="G47" s="62" t="n"/>
      <c r="H47" s="62">
        <f>IF(OR(TRIM(F47)="Evet",TRIM(F47)="Yes"),E47,IF(G47="","",E47*G47))</f>
        <v/>
      </c>
      <c r="I47" s="62" t="n"/>
      <c r="K47" s="38">
        <f>IFERROR(AND(OR(INDEX('Question Restrictions'!$D:$D,MATCH($B47,'Question Restrictions'!$C:$C,0))="All",ISNUMBER(SEARCH('Project Information'!$C$10,INDEX('Question Restrictions'!$D:$D,MATCH($B47,'Question Restrictions'!$C:$C,0))))),OR(INDEX('Question Restrictions'!$E:$E,MATCH($B47,'Question Restrictions'!$C:$C,0))="All",ISNUMBER(SEARCH('Project Information'!$C$11,INDEX('Question Restrictions'!$E:$E,MATCH($B47,'Question Restrictions'!$C:$C,0))))),OR(INDEX('Question Restrictions'!$F:$F,MATCH($B47,'Question Restrictions'!$C:$C,0))="All",ISNUMBER(SEARCH('Project Information'!$C$12,INDEX('Question Restrictions'!$F:$F,MATCH($B47,'Question Restrictions'!$C:$C,0))))),INDEX('Question Restrictions'!$G:$G,MATCH($B47,'Question Restrictions'!$C:$C,0))="Yes"),TRUE())</f>
        <v/>
      </c>
    </row>
    <row r="48" ht="30" customHeight="1" s="39">
      <c r="A48" s="62" t="n">
        <v>36</v>
      </c>
      <c r="B48" s="62">
        <f>INDEX(Translations!$D:$ZZ, MATCH(244,Translations!$A:$A,0), MATCH('Project Information'!$C$4,Translations!$D$1:$ZZ$1,0))</f>
        <v/>
      </c>
      <c r="C48" s="62">
        <f>INDEX(Translations!$D:$ZZ, MATCH(245,Translations!$A:$A,0), MATCH('Project Information'!$C$4,Translations!$D$1:$ZZ$1,0))</f>
        <v/>
      </c>
      <c r="D48" s="62">
        <f>INDEX(Translations!$D:$ZZ, MATCH(172,Translations!$A:$A,0), MATCH('Project Information'!$C$4,Translations!$D$1:$ZZ$1,0))</f>
        <v/>
      </c>
      <c r="E48" s="62" t="n"/>
      <c r="F48" s="62" t="n"/>
      <c r="G48" s="62" t="n"/>
      <c r="H48" s="62">
        <f>IF(OR(TRIM(F48)="Evet",TRIM(F48)="Yes"),E48,IF(G48="","",E48*G48))</f>
        <v/>
      </c>
      <c r="I48" s="62" t="n"/>
      <c r="K48" s="38">
        <f>IFERROR(AND(OR(INDEX('Question Restrictions'!$D:$D,MATCH($B48,'Question Restrictions'!$C:$C,0))="All",ISNUMBER(SEARCH('Project Information'!$C$10,INDEX('Question Restrictions'!$D:$D,MATCH($B48,'Question Restrictions'!$C:$C,0))))),OR(INDEX('Question Restrictions'!$E:$E,MATCH($B48,'Question Restrictions'!$C:$C,0))="All",ISNUMBER(SEARCH('Project Information'!$C$11,INDEX('Question Restrictions'!$E:$E,MATCH($B48,'Question Restrictions'!$C:$C,0))))),OR(INDEX('Question Restrictions'!$F:$F,MATCH($B48,'Question Restrictions'!$C:$C,0))="All",ISNUMBER(SEARCH('Project Information'!$C$12,INDEX('Question Restrictions'!$F:$F,MATCH($B48,'Question Restrictions'!$C:$C,0))))),INDEX('Question Restrictions'!$G:$G,MATCH($B48,'Question Restrictions'!$C:$C,0))="Yes"),TRUE())</f>
        <v/>
      </c>
    </row>
    <row r="49" ht="30" customHeight="1" s="39">
      <c r="A49" s="62" t="n">
        <v>37</v>
      </c>
      <c r="B49" s="62">
        <f>INDEX(Translations!$D:$ZZ, MATCH(263,Translations!$A:$A,0), MATCH('Project Information'!$C$4,Translations!$D$1:$ZZ$1,0))</f>
        <v/>
      </c>
      <c r="C49" s="62">
        <f>INDEX(Translations!$D:$ZZ, MATCH(264,Translations!$A:$A,0), MATCH('Project Information'!$C$4,Translations!$D$1:$ZZ$1,0))</f>
        <v/>
      </c>
      <c r="D49" s="62">
        <f>INDEX(Translations!$D:$ZZ, MATCH(172,Translations!$A:$A,0), MATCH('Project Information'!$C$4,Translations!$D$1:$ZZ$1,0))</f>
        <v/>
      </c>
      <c r="E49" s="62" t="n"/>
      <c r="F49" s="62" t="n"/>
      <c r="G49" s="62" t="n"/>
      <c r="H49" s="62">
        <f>IF(OR(TRIM(F49)="Evet",TRIM(F49)="Yes"),E49,IF(G49="","",E49*G49))</f>
        <v/>
      </c>
      <c r="I49" s="62" t="n"/>
      <c r="K49" s="38">
        <f>IFERROR(AND(OR(INDEX('Question Restrictions'!$D:$D,MATCH($B49,'Question Restrictions'!$C:$C,0))="All",ISNUMBER(SEARCH('Project Information'!$C$10,INDEX('Question Restrictions'!$D:$D,MATCH($B49,'Question Restrictions'!$C:$C,0))))),OR(INDEX('Question Restrictions'!$E:$E,MATCH($B49,'Question Restrictions'!$C:$C,0))="All",ISNUMBER(SEARCH('Project Information'!$C$11,INDEX('Question Restrictions'!$E:$E,MATCH($B49,'Question Restrictions'!$C:$C,0))))),OR(INDEX('Question Restrictions'!$F:$F,MATCH($B49,'Question Restrictions'!$C:$C,0))="All",ISNUMBER(SEARCH('Project Information'!$C$12,INDEX('Question Restrictions'!$F:$F,MATCH($B49,'Question Restrictions'!$C:$C,0))))),INDEX('Question Restrictions'!$G:$G,MATCH($B49,'Question Restrictions'!$C:$C,0))="Yes"),TRUE())</f>
        <v/>
      </c>
    </row>
    <row r="50" ht="45" customHeight="1" s="39">
      <c r="A50" s="62" t="n">
        <v>38</v>
      </c>
      <c r="B50" s="62">
        <f>INDEX(Translations!$D:$ZZ, MATCH(1025,Translations!$A:$A,0), MATCH('Project Information'!$C$4,Translations!$D$1:$ZZ$1,0))</f>
        <v/>
      </c>
      <c r="C50" s="62">
        <f>INDEX(Translations!$D:$ZZ, MATCH(1026,Translations!$A:$A,0), MATCH('Project Information'!$C$4,Translations!$D$1:$ZZ$1,0))</f>
        <v/>
      </c>
      <c r="D50" s="62">
        <f>INDEX(Translations!$D:$ZZ, MATCH(34,Translations!$A:$A,0), MATCH('Project Information'!$C$4,Translations!$D$1:$ZZ$1,0))</f>
        <v/>
      </c>
      <c r="E50" s="62" t="n">
        <v>10</v>
      </c>
      <c r="F50" s="62" t="inlineStr">
        <is>
          <t>Evet</t>
        </is>
      </c>
      <c r="G50" s="62" t="n"/>
      <c r="H50" s="62">
        <f>IF(OR(TRIM(F50)="Evet",TRIM(F50)="Yes"),E50,IF(G50="","",E50*G50))</f>
        <v/>
      </c>
      <c r="I50" s="62" t="n"/>
      <c r="K50" s="38">
        <f>IFERROR(AND(OR(INDEX('Question Restrictions'!$D:$D,MATCH($B50,'Question Restrictions'!$C:$C,0))="All",ISNUMBER(SEARCH('Project Information'!$C$10,INDEX('Question Restrictions'!$D:$D,MATCH($B50,'Question Restrictions'!$C:$C,0))))),OR(INDEX('Question Restrictions'!$E:$E,MATCH($B50,'Question Restrictions'!$C:$C,0))="All",ISNUMBER(SEARCH('Project Information'!$C$11,INDEX('Question Restrictions'!$E:$E,MATCH($B50,'Question Restrictions'!$C:$C,0))))),OR(INDEX('Question Restrictions'!$F:$F,MATCH($B50,'Question Restrictions'!$C:$C,0))="All",ISNUMBER(SEARCH('Project Information'!$C$12,INDEX('Question Restrictions'!$F:$F,MATCH($B50,'Question Restrictions'!$C:$C,0))))),INDEX('Question Restrictions'!$G:$G,MATCH($B50,'Question Restrictions'!$C:$C,0))="Yes"),TRUE())</f>
        <v/>
      </c>
    </row>
    <row r="51" ht="45" customHeight="1" s="39">
      <c r="A51" s="62" t="n">
        <v>39</v>
      </c>
      <c r="B51" s="62">
        <f>INDEX(Translations!$D:$ZZ, MATCH(1027,Translations!$A:$A,0), MATCH('Project Information'!$C$4,Translations!$D$1:$ZZ$1,0))</f>
        <v/>
      </c>
      <c r="C51" s="62">
        <f>INDEX(Translations!$D:$ZZ, MATCH(1028,Translations!$A:$A,0), MATCH('Project Information'!$C$4,Translations!$D$1:$ZZ$1,0))</f>
        <v/>
      </c>
      <c r="D51" s="62">
        <f>INDEX(Translations!$D:$ZZ, MATCH(34,Translations!$A:$A,0), MATCH('Project Information'!$C$4,Translations!$D$1:$ZZ$1,0))</f>
        <v/>
      </c>
      <c r="E51" s="62" t="n">
        <v>5</v>
      </c>
      <c r="F51" s="62" t="inlineStr">
        <is>
          <t>Hayır</t>
        </is>
      </c>
      <c r="G51" s="62" t="n"/>
      <c r="H51" s="62">
        <f>IF(OR(TRIM(F51)="Evet",TRIM(F51)="Yes"),E51,IF(G51="","",E51*G51))</f>
        <v/>
      </c>
      <c r="I51" s="62" t="n"/>
      <c r="K51" s="38">
        <f>IFERROR(AND(OR(INDEX('Question Restrictions'!$D:$D,MATCH($B51,'Question Restrictions'!$C:$C,0))="All",ISNUMBER(SEARCH('Project Information'!$C$10,INDEX('Question Restrictions'!$D:$D,MATCH($B51,'Question Restrictions'!$C:$C,0))))),OR(INDEX('Question Restrictions'!$E:$E,MATCH($B51,'Question Restrictions'!$C:$C,0))="All",ISNUMBER(SEARCH('Project Information'!$C$11,INDEX('Question Restrictions'!$E:$E,MATCH($B51,'Question Restrictions'!$C:$C,0))))),OR(INDEX('Question Restrictions'!$F:$F,MATCH($B51,'Question Restrictions'!$C:$C,0))="All",ISNUMBER(SEARCH('Project Information'!$C$12,INDEX('Question Restrictions'!$F:$F,MATCH($B51,'Question Restrictions'!$C:$C,0))))),INDEX('Question Restrictions'!$G:$G,MATCH($B51,'Question Restrictions'!$C:$C,0))="Yes"),TRUE())</f>
        <v/>
      </c>
    </row>
    <row r="52" ht="30" customHeight="1" s="39">
      <c r="A52" s="62" t="n">
        <v>40</v>
      </c>
      <c r="B52" s="62">
        <f>INDEX(Translations!$D:$ZZ, MATCH(1029,Translations!$A:$A,0), MATCH('Project Information'!$C$4,Translations!$D$1:$ZZ$1,0))</f>
        <v/>
      </c>
      <c r="C52" s="62">
        <f>INDEX(Translations!$D:$ZZ, MATCH(1030,Translations!$A:$A,0), MATCH('Project Information'!$C$4,Translations!$D$1:$ZZ$1,0))</f>
        <v/>
      </c>
      <c r="D52" s="62">
        <f>INDEX(Translations!$D:$ZZ, MATCH(27,Translations!$A:$A,0), MATCH('Project Information'!$C$4,Translations!$D$1:$ZZ$1,0))</f>
        <v/>
      </c>
      <c r="E52" s="62" t="n">
        <v>5</v>
      </c>
      <c r="F52" s="62" t="n"/>
      <c r="G52" s="62" t="n">
        <v>2</v>
      </c>
      <c r="H52" s="62">
        <f>IF(OR(TRIM(F52)="Evet",TRIM(F52)="Yes"),E52,IF(G52="","",E52*G52))</f>
        <v/>
      </c>
      <c r="I52" s="62" t="n"/>
      <c r="K52" s="38">
        <f>IFERROR(AND(OR(INDEX('Question Restrictions'!$D:$D,MATCH($B52,'Question Restrictions'!$C:$C,0))="All",ISNUMBER(SEARCH('Project Information'!$C$10,INDEX('Question Restrictions'!$D:$D,MATCH($B52,'Question Restrictions'!$C:$C,0))))),OR(INDEX('Question Restrictions'!$E:$E,MATCH($B52,'Question Restrictions'!$C:$C,0))="All",ISNUMBER(SEARCH('Project Information'!$C$11,INDEX('Question Restrictions'!$E:$E,MATCH($B52,'Question Restrictions'!$C:$C,0))))),OR(INDEX('Question Restrictions'!$F:$F,MATCH($B52,'Question Restrictions'!$C:$C,0))="All",ISNUMBER(SEARCH('Project Information'!$C$12,INDEX('Question Restrictions'!$F:$F,MATCH($B52,'Question Restrictions'!$C:$C,0))))),INDEX('Question Restrictions'!$G:$G,MATCH($B52,'Question Restrictions'!$C:$C,0))="Yes"),TRUE())</f>
        <v/>
      </c>
    </row>
    <row r="53" ht="30" customHeight="1" s="39">
      <c r="A53" s="62" t="n">
        <v>41</v>
      </c>
      <c r="B53" s="62">
        <f>INDEX(Translations!$D:$ZZ, MATCH(1031,Translations!$A:$A,0), MATCH('Project Information'!$C$4,Translations!$D$1:$ZZ$1,0))</f>
        <v/>
      </c>
      <c r="C53" s="62">
        <f>INDEX(Translations!$D:$ZZ, MATCH(1032,Translations!$A:$A,0), MATCH('Project Information'!$C$4,Translations!$D$1:$ZZ$1,0))</f>
        <v/>
      </c>
      <c r="D53" s="62">
        <f>INDEX(Translations!$D:$ZZ, MATCH(34,Translations!$A:$A,0), MATCH('Project Information'!$C$4,Translations!$D$1:$ZZ$1,0))</f>
        <v/>
      </c>
      <c r="E53" s="62" t="n">
        <v>10</v>
      </c>
      <c r="F53" s="62" t="inlineStr">
        <is>
          <t>Evet</t>
        </is>
      </c>
      <c r="G53" s="62" t="n"/>
      <c r="H53" s="62">
        <f>IF(OR(TRIM(F53)="Evet",TRIM(F53)="Yes"),E53,IF(G53="","",E53*G53))</f>
        <v/>
      </c>
      <c r="I53" s="62" t="n"/>
      <c r="K53" s="38">
        <f>IFERROR(AND(OR(INDEX('Question Restrictions'!$D:$D,MATCH($B53,'Question Restrictions'!$C:$C,0))="All",ISNUMBER(SEARCH('Project Information'!$C$10,INDEX('Question Restrictions'!$D:$D,MATCH($B53,'Question Restrictions'!$C:$C,0))))),OR(INDEX('Question Restrictions'!$E:$E,MATCH($B53,'Question Restrictions'!$C:$C,0))="All",ISNUMBER(SEARCH('Project Information'!$C$11,INDEX('Question Restrictions'!$E:$E,MATCH($B53,'Question Restrictions'!$C:$C,0))))),OR(INDEX('Question Restrictions'!$F:$F,MATCH($B53,'Question Restrictions'!$C:$C,0))="All",ISNUMBER(SEARCH('Project Information'!$C$12,INDEX('Question Restrictions'!$F:$F,MATCH($B53,'Question Restrictions'!$C:$C,0))))),INDEX('Question Restrictions'!$G:$G,MATCH($B53,'Question Restrictions'!$C:$C,0))="Yes"),TRUE())</f>
        <v/>
      </c>
    </row>
    <row r="54" ht="30" customHeight="1" s="39">
      <c r="A54" s="62" t="n">
        <v>42</v>
      </c>
      <c r="B54" s="62">
        <f>INDEX(Translations!$D:$ZZ, MATCH(1033,Translations!$A:$A,0), MATCH('Project Information'!$C$4,Translations!$D$1:$ZZ$1,0))</f>
        <v/>
      </c>
      <c r="C54" s="62">
        <f>INDEX(Translations!$D:$ZZ, MATCH(1034,Translations!$A:$A,0), MATCH('Project Information'!$C$4,Translations!$D$1:$ZZ$1,0))</f>
        <v/>
      </c>
      <c r="D54" s="62">
        <f>INDEX(Translations!$D:$ZZ, MATCH(34,Translations!$A:$A,0), MATCH('Project Information'!$C$4,Translations!$D$1:$ZZ$1,0))</f>
        <v/>
      </c>
      <c r="E54" s="62" t="n">
        <v>20</v>
      </c>
      <c r="F54" s="62" t="inlineStr">
        <is>
          <t>Evet</t>
        </is>
      </c>
      <c r="G54" s="62" t="n"/>
      <c r="H54" s="62">
        <f>IF(OR(TRIM(F54)="Evet",TRIM(F54)="Yes"),E54,IF(G54="","",E54*G54))</f>
        <v/>
      </c>
      <c r="I54" s="62" t="n"/>
      <c r="K54" s="38">
        <f>IFERROR(AND(OR(INDEX('Question Restrictions'!$D:$D,MATCH($B54,'Question Restrictions'!$C:$C,0))="All",ISNUMBER(SEARCH('Project Information'!$C$10,INDEX('Question Restrictions'!$D:$D,MATCH($B54,'Question Restrictions'!$C:$C,0))))),OR(INDEX('Question Restrictions'!$E:$E,MATCH($B54,'Question Restrictions'!$C:$C,0))="All",ISNUMBER(SEARCH('Project Information'!$C$11,INDEX('Question Restrictions'!$E:$E,MATCH($B54,'Question Restrictions'!$C:$C,0))))),OR(INDEX('Question Restrictions'!$F:$F,MATCH($B54,'Question Restrictions'!$C:$C,0))="All",ISNUMBER(SEARCH('Project Information'!$C$12,INDEX('Question Restrictions'!$F:$F,MATCH($B54,'Question Restrictions'!$C:$C,0))))),INDEX('Question Restrictions'!$G:$G,MATCH($B54,'Question Restrictions'!$C:$C,0))="Yes"),TRUE())</f>
        <v/>
      </c>
    </row>
    <row r="55" ht="30" customHeight="1" s="39">
      <c r="A55" s="62" t="n">
        <v>43</v>
      </c>
      <c r="B55" s="62">
        <f>INDEX(Translations!$D:$ZZ, MATCH(1035,Translations!$A:$A,0), MATCH('Project Information'!$C$4,Translations!$D$1:$ZZ$1,0))</f>
        <v/>
      </c>
      <c r="C55" s="62">
        <f>INDEX(Translations!$D:$ZZ, MATCH(1036,Translations!$A:$A,0), MATCH('Project Information'!$C$4,Translations!$D$1:$ZZ$1,0))</f>
        <v/>
      </c>
      <c r="D55" s="62">
        <f>INDEX(Translations!$D:$ZZ, MATCH(34,Translations!$A:$A,0), MATCH('Project Information'!$C$4,Translations!$D$1:$ZZ$1,0))</f>
        <v/>
      </c>
      <c r="E55" s="62" t="n">
        <v>15</v>
      </c>
      <c r="F55" s="62" t="inlineStr">
        <is>
          <t>Evet</t>
        </is>
      </c>
      <c r="G55" s="62" t="n"/>
      <c r="H55" s="62">
        <f>IF(OR(TRIM(F55)="Evet",TRIM(F55)="Yes"),E55,IF(G55="","",E55*G55))</f>
        <v/>
      </c>
      <c r="I55" s="62" t="n"/>
      <c r="K55" s="38">
        <f>IFERROR(AND(OR(INDEX('Question Restrictions'!$D:$D,MATCH($B55,'Question Restrictions'!$C:$C,0))="All",ISNUMBER(SEARCH('Project Information'!$C$10,INDEX('Question Restrictions'!$D:$D,MATCH($B55,'Question Restrictions'!$C:$C,0))))),OR(INDEX('Question Restrictions'!$E:$E,MATCH($B55,'Question Restrictions'!$C:$C,0))="All",ISNUMBER(SEARCH('Project Information'!$C$11,INDEX('Question Restrictions'!$E:$E,MATCH($B55,'Question Restrictions'!$C:$C,0))))),OR(INDEX('Question Restrictions'!$F:$F,MATCH($B55,'Question Restrictions'!$C:$C,0))="All",ISNUMBER(SEARCH('Project Information'!$C$12,INDEX('Question Restrictions'!$F:$F,MATCH($B55,'Question Restrictions'!$C:$C,0))))),INDEX('Question Restrictions'!$G:$G,MATCH($B55,'Question Restrictions'!$C:$C,0))="Yes"),TRUE())</f>
        <v/>
      </c>
    </row>
    <row r="56" ht="30" customHeight="1" s="39">
      <c r="A56" s="62" t="n">
        <v>44</v>
      </c>
      <c r="B56" s="62">
        <f>INDEX(Translations!$D:$ZZ, MATCH(1037,Translations!$A:$A,0), MATCH('Project Information'!$C$4,Translations!$D$1:$ZZ$1,0))</f>
        <v/>
      </c>
      <c r="C56" s="62">
        <f>INDEX(Translations!$D:$ZZ, MATCH(1038,Translations!$A:$A,0), MATCH('Project Information'!$C$4,Translations!$D$1:$ZZ$1,0))</f>
        <v/>
      </c>
      <c r="D56" s="62">
        <f>INDEX(Translations!$D:$ZZ, MATCH(34,Translations!$A:$A,0), MATCH('Project Information'!$C$4,Translations!$D$1:$ZZ$1,0))</f>
        <v/>
      </c>
      <c r="E56" s="62" t="n">
        <v>10</v>
      </c>
      <c r="F56" s="62" t="inlineStr">
        <is>
          <t>Evet</t>
        </is>
      </c>
      <c r="G56" s="62" t="n"/>
      <c r="H56" s="62">
        <f>IF(OR(TRIM(F56)="Evet",TRIM(F56)="Yes"),E56,IF(G56="","",E56*G56))</f>
        <v/>
      </c>
      <c r="I56" s="62" t="n"/>
      <c r="K56" s="38">
        <f>IFERROR(AND(OR(INDEX('Question Restrictions'!$D:$D,MATCH($B56,'Question Restrictions'!$C:$C,0))="All",ISNUMBER(SEARCH('Project Information'!$C$10,INDEX('Question Restrictions'!$D:$D,MATCH($B56,'Question Restrictions'!$C:$C,0))))),OR(INDEX('Question Restrictions'!$E:$E,MATCH($B56,'Question Restrictions'!$C:$C,0))="All",ISNUMBER(SEARCH('Project Information'!$C$11,INDEX('Question Restrictions'!$E:$E,MATCH($B56,'Question Restrictions'!$C:$C,0))))),OR(INDEX('Question Restrictions'!$F:$F,MATCH($B56,'Question Restrictions'!$C:$C,0))="All",ISNUMBER(SEARCH('Project Information'!$C$12,INDEX('Question Restrictions'!$F:$F,MATCH($B56,'Question Restrictions'!$C:$C,0))))),INDEX('Question Restrictions'!$G:$G,MATCH($B56,'Question Restrictions'!$C:$C,0))="Yes"),TRUE())</f>
        <v/>
      </c>
    </row>
    <row r="57" ht="30" customHeight="1" s="39">
      <c r="A57" s="62" t="n">
        <v>45</v>
      </c>
      <c r="B57" s="62">
        <f>INDEX(Translations!$D:$ZZ, MATCH(1039,Translations!$A:$A,0), MATCH('Project Information'!$C$4,Translations!$D$1:$ZZ$1,0))</f>
        <v/>
      </c>
      <c r="C57" s="62">
        <f>INDEX(Translations!$D:$ZZ, MATCH(1040,Translations!$A:$A,0), MATCH('Project Information'!$C$4,Translations!$D$1:$ZZ$1,0))</f>
        <v/>
      </c>
      <c r="D57" s="62">
        <f>INDEX(Translations!$D:$ZZ, MATCH(27,Translations!$A:$A,0), MATCH('Project Information'!$C$4,Translations!$D$1:$ZZ$1,0))</f>
        <v/>
      </c>
      <c r="E57" s="62" t="n">
        <v>5</v>
      </c>
      <c r="F57" s="62" t="n"/>
      <c r="G57" s="62" t="n">
        <v>3</v>
      </c>
      <c r="H57" s="62">
        <f>IF(OR(TRIM(F57)="Evet",TRIM(F57)="Yes"),E57,IF(G57="","",E57*G57))</f>
        <v/>
      </c>
      <c r="I57" s="62" t="n"/>
      <c r="K57" s="38">
        <f>IFERROR(AND(OR(INDEX('Question Restrictions'!$D:$D,MATCH($B57,'Question Restrictions'!$C:$C,0))="All",ISNUMBER(SEARCH('Project Information'!$C$10,INDEX('Question Restrictions'!$D:$D,MATCH($B57,'Question Restrictions'!$C:$C,0))))),OR(INDEX('Question Restrictions'!$E:$E,MATCH($B57,'Question Restrictions'!$C:$C,0))="All",ISNUMBER(SEARCH('Project Information'!$C$11,INDEX('Question Restrictions'!$E:$E,MATCH($B57,'Question Restrictions'!$C:$C,0))))),OR(INDEX('Question Restrictions'!$F:$F,MATCH($B57,'Question Restrictions'!$C:$C,0))="All",ISNUMBER(SEARCH('Project Information'!$C$12,INDEX('Question Restrictions'!$F:$F,MATCH($B57,'Question Restrictions'!$C:$C,0))))),INDEX('Question Restrictions'!$G:$G,MATCH($B57,'Question Restrictions'!$C:$C,0))="Yes"),TRUE())</f>
        <v/>
      </c>
    </row>
    <row r="58" ht="30" customHeight="1" s="39">
      <c r="A58" s="62" t="n">
        <v>46</v>
      </c>
      <c r="B58" s="62">
        <f>INDEX(Translations!$D:$ZZ, MATCH(1041,Translations!$A:$A,0), MATCH('Project Information'!$C$4,Translations!$D$1:$ZZ$1,0))</f>
        <v/>
      </c>
      <c r="C58" s="62">
        <f>INDEX(Translations!$D:$ZZ, MATCH(1042,Translations!$A:$A,0), MATCH('Project Information'!$C$4,Translations!$D$1:$ZZ$1,0))</f>
        <v/>
      </c>
      <c r="D58" s="62">
        <f>INDEX(Translations!$D:$ZZ, MATCH(34,Translations!$A:$A,0), MATCH('Project Information'!$C$4,Translations!$D$1:$ZZ$1,0))</f>
        <v/>
      </c>
      <c r="E58" s="62" t="n">
        <v>10</v>
      </c>
      <c r="F58" s="62" t="inlineStr">
        <is>
          <t>Hayır</t>
        </is>
      </c>
      <c r="G58" s="62" t="n"/>
      <c r="H58" s="62">
        <f>IF(OR(TRIM(F58)="Evet",TRIM(F58)="Yes"),E58,IF(G58="","",E58*G58))</f>
        <v/>
      </c>
      <c r="I58" s="62" t="n"/>
      <c r="K58" s="38">
        <f>IFERROR(AND(OR(INDEX('Question Restrictions'!$D:$D,MATCH($B58,'Question Restrictions'!$C:$C,0))="All",ISNUMBER(SEARCH('Project Information'!$C$10,INDEX('Question Restrictions'!$D:$D,MATCH($B58,'Question Restrictions'!$C:$C,0))))),OR(INDEX('Question Restrictions'!$E:$E,MATCH($B58,'Question Restrictions'!$C:$C,0))="All",ISNUMBER(SEARCH('Project Information'!$C$11,INDEX('Question Restrictions'!$E:$E,MATCH($B58,'Question Restrictions'!$C:$C,0))))),OR(INDEX('Question Restrictions'!$F:$F,MATCH($B58,'Question Restrictions'!$C:$C,0))="All",ISNUMBER(SEARCH('Project Information'!$C$12,INDEX('Question Restrictions'!$F:$F,MATCH($B58,'Question Restrictions'!$C:$C,0))))),INDEX('Question Restrictions'!$G:$G,MATCH($B58,'Question Restrictions'!$C:$C,0))="Yes"),TRUE())</f>
        <v/>
      </c>
    </row>
    <row r="59" ht="30" customHeight="1" s="39">
      <c r="A59" s="62" t="n">
        <v>47</v>
      </c>
      <c r="B59" s="62">
        <f>INDEX(Translations!$D:$ZZ, MATCH(1043,Translations!$A:$A,0), MATCH('Project Information'!$C$4,Translations!$D$1:$ZZ$1,0))</f>
        <v/>
      </c>
      <c r="C59" s="62">
        <f>INDEX(Translations!$D:$ZZ, MATCH(1044,Translations!$A:$A,0), MATCH('Project Information'!$C$4,Translations!$D$1:$ZZ$1,0))</f>
        <v/>
      </c>
      <c r="D59" s="62">
        <f>INDEX(Translations!$D:$ZZ, MATCH(34,Translations!$A:$A,0), MATCH('Project Information'!$C$4,Translations!$D$1:$ZZ$1,0))</f>
        <v/>
      </c>
      <c r="E59" s="62" t="n">
        <v>5</v>
      </c>
      <c r="F59" s="62" t="inlineStr">
        <is>
          <t>Hayır</t>
        </is>
      </c>
      <c r="G59" s="62" t="n"/>
      <c r="H59" s="62">
        <f>IF(OR(TRIM(F59)="Evet",TRIM(F59)="Yes"),E59,IF(G59="","",E59*G59))</f>
        <v/>
      </c>
      <c r="I59" s="62" t="n"/>
      <c r="K59" s="38">
        <f>IFERROR(AND(OR(INDEX('Question Restrictions'!$D:$D,MATCH($B59,'Question Restrictions'!$C:$C,0))="All",ISNUMBER(SEARCH('Project Information'!$C$10,INDEX('Question Restrictions'!$D:$D,MATCH($B59,'Question Restrictions'!$C:$C,0))))),OR(INDEX('Question Restrictions'!$E:$E,MATCH($B59,'Question Restrictions'!$C:$C,0))="All",ISNUMBER(SEARCH('Project Information'!$C$11,INDEX('Question Restrictions'!$E:$E,MATCH($B59,'Question Restrictions'!$C:$C,0))))),OR(INDEX('Question Restrictions'!$F:$F,MATCH($B59,'Question Restrictions'!$C:$C,0))="All",ISNUMBER(SEARCH('Project Information'!$C$12,INDEX('Question Restrictions'!$F:$F,MATCH($B59,'Question Restrictions'!$C:$C,0))))),INDEX('Question Restrictions'!$G:$G,MATCH($B59,'Question Restrictions'!$C:$C,0))="Yes"),TRUE())</f>
        <v/>
      </c>
    </row>
  </sheetData>
  <autoFilter ref="A12:K59"/>
  <mergeCells count="2">
    <mergeCell ref="A1:I1"/>
    <mergeCell ref="A4:B4"/>
  </mergeCells>
  <conditionalFormatting sqref="I12">
    <cfRule type="expression" rank="0" priority="2" equalAverage="0" aboveAverage="0" dxfId="5" text="" percent="0" bottom="0">
      <formula>$F12="Var"</formula>
    </cfRule>
    <cfRule type="expression" rank="0" priority="3" equalAverage="0" aboveAverage="0" dxfId="6" text="" percent="0" bottom="0">
      <formula>AND($F12&lt;&gt;"Var",$I12="")</formula>
    </cfRule>
  </conditionalFormatting>
  <conditionalFormatting sqref="H12:H59">
    <cfRule type="expression" rank="0" priority="4" equalAverage="0" aboveAverage="0" dxfId="5" text="" percent="0" bottom="0">
      <formula>$F12&lt;&gt;"Var"</formula>
    </cfRule>
    <cfRule type="expression" rank="0" priority="5" equalAverage="0" aboveAverage="0" dxfId="6" text="" percent="0" bottom="0">
      <formula>AND($F12="Var",$H12="")</formula>
    </cfRule>
  </conditionalFormatting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0"/>
  </sheetPr>
  <dimension ref="A1: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C12" activeCellId="0" sqref="C12"/>
    </sheetView>
  </sheetViews>
  <sheetFormatPr baseColWidth="8" defaultColWidth="8.57421875" defaultRowHeight="15" customHeight="1" zeroHeight="0" outlineLevelRow="0"/>
  <cols>
    <col width="13" customWidth="1" style="38" min="1" max="1"/>
    <col width="38" customWidth="1" style="38" min="2" max="2"/>
    <col width="56.86" customWidth="1" style="38" min="3" max="3"/>
    <col width="22" customWidth="1" style="38" min="4" max="4"/>
    <col hidden="1" width="13" customWidth="1" style="38" min="5" max="5"/>
    <col width="18" customWidth="1" style="38" min="6" max="7"/>
    <col hidden="1" width="10.14" customWidth="1" style="38" min="8" max="8"/>
    <col width="44.29" customWidth="1" style="38" min="9" max="9"/>
    <col hidden="1" width="13" customWidth="1" style="38" min="10" max="10"/>
    <col hidden="1" width="12" customWidth="1" style="38" min="11" max="11"/>
  </cols>
  <sheetData>
    <row r="1" ht="27.75" customHeight="1" s="39">
      <c r="A1" s="53">
        <f>INDEX(Translations!$D:$ZZ, MATCH(1022,Translations!$A:$A,0), MATCH('Project Information'!$C$4,Translations!$D$1:$ZZ$1,0))</f>
        <v/>
      </c>
    </row>
    <row r="2" ht="15" customHeight="1" s="39">
      <c r="A2" s="54" t="n"/>
      <c r="C2" s="54" t="n"/>
      <c r="E2" s="54" t="n"/>
    </row>
    <row r="3" ht="15" customHeight="1" s="39">
      <c r="A3" s="61">
        <f>INDEX(Translations!$D:$ZZ, MATCH(15,Translations!$A:$A,0), MATCH('Project Information'!$C$4,Translations!$D$1:$ZZ$1,0))</f>
        <v/>
      </c>
    </row>
    <row r="4" ht="16.4" customHeight="1" s="39">
      <c r="A4" s="55">
        <f>INDEX(Translations!$D:$ZZ, MATCH(4,Translations!$A:$A,0), MATCH('Project Information'!$C$4,Translations!$D$1:$ZZ$1,0))</f>
        <v/>
      </c>
      <c r="B4" s="56" t="n"/>
    </row>
    <row r="5" ht="15" customHeight="1" s="39">
      <c r="A5" s="57">
        <f>INDEX(Translations!$D:$ZZ, MATCH(5,Translations!$A:$A,0), MATCH('Project Information'!$C$4,Translations!$D$1:$ZZ$1,0))</f>
        <v/>
      </c>
      <c r="B5" s="58">
        <f>INDEX(Translations!$D:$ZZ, MATCH(6,Translations!$A:$A,0), MATCH('Project Information'!$C$4,Translations!$D$1:$ZZ$1,0))</f>
        <v/>
      </c>
    </row>
    <row r="6" ht="15" customHeight="1" s="39">
      <c r="A6" s="57">
        <f>INDEX(Translations!$D:$ZZ, MATCH(7,Translations!$A:$A,0), MATCH('Project Information'!$C$4,Translations!$D$1:$ZZ$1,0))</f>
        <v/>
      </c>
      <c r="B6" s="58">
        <f>INDEX(Translations!$D:$ZZ, MATCH(8,Translations!$A:$A,0), MATCH('Project Information'!$C$4,Translations!$D$1:$ZZ$1,0))</f>
        <v/>
      </c>
    </row>
    <row r="7" ht="15" customHeight="1" s="39">
      <c r="A7" s="57">
        <f>INDEX(Translations!$D:$ZZ, MATCH(9,Translations!$A:$A,0), MATCH('Project Information'!$C$4,Translations!$D$1:$ZZ$1,0))</f>
        <v/>
      </c>
      <c r="B7" s="58">
        <f>INDEX(Translations!$D:$ZZ, MATCH(10,Translations!$A:$A,0), MATCH('Project Information'!$C$4,Translations!$D$1:$ZZ$1,0))</f>
        <v/>
      </c>
    </row>
    <row r="8" ht="15" customHeight="1" s="39">
      <c r="A8" s="57">
        <f>INDEX(Translations!$D:$ZZ, MATCH(11,Translations!$A:$A,0), MATCH('Project Information'!$C$4,Translations!$D$1:$ZZ$1,0))</f>
        <v/>
      </c>
      <c r="B8" s="58">
        <f>INDEX(Translations!$D:$ZZ, MATCH(12,Translations!$A:$A,0), MATCH('Project Information'!$C$4,Translations!$D$1:$ZZ$1,0))</f>
        <v/>
      </c>
    </row>
    <row r="9" ht="15.75" customHeight="1" s="39">
      <c r="A9" s="38">
        <f>INDEX(Translations!$D:$ZZ, MATCH(13,Translations!$A:$A,0), MATCH('Project Information'!$C$4,Translations!$D$1:$ZZ$1,0))</f>
        <v/>
      </c>
      <c r="B9" s="38">
        <f>SUM($H$14:$H$36)</f>
        <v/>
      </c>
      <c r="J9" s="38">
        <f>IF($B$9&lt;=40,"S",IF($B$9&lt;=70,"M",IF($B$9&lt;=100,"L","XL")))</f>
        <v/>
      </c>
    </row>
    <row r="10" ht="15.75" customHeight="1" s="39">
      <c r="A10" s="59">
        <f>INDEX(Translations!$D:$ZZ, MATCH(14,Translations!$A:$A,0), MATCH('Project Information'!$C$4,Translations!$D$1:$ZZ$1,0))</f>
        <v/>
      </c>
      <c r="B10" s="60">
        <f>IF($J$9="S",INDEX(Translations!$D:$ZZ,MATCH(5,Translations!$A:$A,0),MATCH('Project Information'!$C$4,Translations!$D$1:$ZZ$1,0)),IF($J$9="M",INDEX(Translations!$D:$ZZ,MATCH(7,Translations!$A:$A,0),MATCH('Project Information'!$C$4,Translations!$D$1:$ZZ$1,0)),IF($J$9="L",INDEX(Translations!$D:$ZZ,MATCH(9,Translations!$A:$A,0),MATCH('Project Information'!$C$4,Translations!$D$1:$ZZ$1,0)),INDEX(Translations!$D:$ZZ,MATCH(11,Translations!$A:$A,0),MATCH('Project Information'!$C$4,Translations!$D$1:$ZZ$1,0)))))</f>
        <v/>
      </c>
    </row>
    <row r="11" ht="30" customHeight="1" s="39">
      <c r="A11" s="61">
        <f>INDEX(Translations!$D:$ZZ, MATCH(15,Translations!$A:$A,0), MATCH('Project Information'!$C$4,Translations!$D$1:$ZZ$1,0))</f>
        <v/>
      </c>
    </row>
    <row r="12" ht="30" customHeight="1" s="39">
      <c r="A12" s="62">
        <f>INDEX(Translations!$D:$ZZ, MATCH(16,Translations!$A:$A,0), MATCH('Project Information'!$C$4,Translations!$D$1:$ZZ$1,0))</f>
        <v/>
      </c>
      <c r="B12" s="62">
        <f>INDEX(Translations!$D:$ZZ, MATCH(17,Translations!$A:$A,0), MATCH('Project Information'!$C$4,Translations!$D$1:$ZZ$1,0))</f>
        <v/>
      </c>
      <c r="C12" s="62">
        <f>INDEX(Translations!$D:$ZZ, MATCH(18,Translations!$A:$A,0), MATCH('Project Information'!$C$4,Translations!$D$1:$ZZ$1,0))</f>
        <v/>
      </c>
      <c r="D12" s="62">
        <f>INDEX(Translations!$D:$ZZ, MATCH(19,Translations!$A:$A,0), MATCH('Project Information'!$C$4,Translations!$D$1:$ZZ$1,0))</f>
        <v/>
      </c>
      <c r="E12" s="62">
        <f>INDEX(Translations!$D:$ZZ, MATCH(20,Translations!$A:$A,0), MATCH('Project Information'!$C$4,Translations!$D$1:$ZZ$1,0))</f>
        <v/>
      </c>
      <c r="F12" s="62">
        <f>INDEX(Translations!$D:$ZZ, MATCH(21,Translations!$A:$A,0), MATCH('Project Information'!$C$4,Translations!$D$1:$ZZ$1,0))</f>
        <v/>
      </c>
      <c r="G12" s="62">
        <f>INDEX(Translations!$D:$ZZ, MATCH(22,Translations!$A:$A,0), MATCH('Project Information'!$C$4,Translations!$D$1:$ZZ$1,0))</f>
        <v/>
      </c>
      <c r="H12" s="62">
        <f>INDEX(Translations!$D:$ZZ, MATCH(23,Translations!$A:$A,0), MATCH('Project Information'!$C$4,Translations!$D$1:$ZZ$1,0))</f>
        <v/>
      </c>
      <c r="I12" s="62">
        <f>INDEX(Translations!$D:$ZZ, MATCH(24,Translations!$A:$A,0), MATCH('Project Information'!$C$4,Translations!$D$1:$ZZ$1,0))</f>
        <v/>
      </c>
      <c r="K12" s="38" t="inlineStr">
        <is>
          <t>Applicable?</t>
        </is>
      </c>
    </row>
    <row r="13" ht="30" customHeight="1" s="39">
      <c r="A13" s="62" t="n">
        <v>1</v>
      </c>
      <c r="B13" s="62">
        <f>INDEX(Translations!$D:$ZZ, MATCH(169,Translations!$A:$A,0), MATCH('Project Information'!$C$4,Translations!$D$1:$ZZ$1,0))</f>
        <v/>
      </c>
      <c r="C13" s="62">
        <f>INDEX(Translations!$D:$ZZ, MATCH(170,Translations!$A:$A,0), MATCH('Project Information'!$C$4,Translations!$D$1:$ZZ$1,0))</f>
        <v/>
      </c>
      <c r="D13" s="62">
        <f>INDEX(Translations!$D:$ZZ, MATCH(172,Translations!$A:$A,0), MATCH('Project Information'!$C$4,Translations!$D$1:$ZZ$1,0))</f>
        <v/>
      </c>
      <c r="E13" s="62" t="n"/>
      <c r="F13" s="62" t="n"/>
      <c r="G13" s="62" t="n"/>
      <c r="H13" s="62">
        <f>IF(OR(TRIM(F13)="Evet",TRIM(F13)="Yes"),E13,IF(G13="","",E13*G13))</f>
        <v/>
      </c>
      <c r="I13" s="62" t="n"/>
      <c r="K13" s="38">
        <f>IFERROR(AND(OR(INDEX('Question Restrictions'!$D:$D,MATCH($B13,'Question Restrictions'!$C:$C,0))="All",ISNUMBER(SEARCH('Project Information'!$C$10,INDEX('Question Restrictions'!$D:$D,MATCH($B13,'Question Restrictions'!$C:$C,0))))),OR(INDEX('Question Restrictions'!$E:$E,MATCH($B13,'Question Restrictions'!$C:$C,0))="All",ISNUMBER(SEARCH('Project Information'!$C$11,INDEX('Question Restrictions'!$E:$E,MATCH($B13,'Question Restrictions'!$C:$C,0))))),OR(INDEX('Question Restrictions'!$F:$F,MATCH($B13,'Question Restrictions'!$C:$C,0))="All",ISNUMBER(SEARCH('Project Information'!$C$12,INDEX('Question Restrictions'!$F:$F,MATCH($B13,'Question Restrictions'!$C:$C,0))))),INDEX('Question Restrictions'!$G:$G,MATCH($B13,'Question Restrictions'!$C:$C,0))="Yes"),TRUE())</f>
        <v/>
      </c>
    </row>
    <row r="14" ht="30" customHeight="1" s="39">
      <c r="A14" s="62" t="n">
        <v>2</v>
      </c>
      <c r="B14" s="62">
        <f>INDEX(Translations!$D:$ZZ, MATCH(173,Translations!$A:$A,0), MATCH('Project Information'!$C$4,Translations!$D$1:$ZZ$1,0))</f>
        <v/>
      </c>
      <c r="C14" s="62">
        <f>INDEX(Translations!$D:$ZZ, MATCH(174,Translations!$A:$A,0), MATCH('Project Information'!$C$4,Translations!$D$1:$ZZ$1,0))</f>
        <v/>
      </c>
      <c r="D14" s="62">
        <f>INDEX(Translations!$D:$ZZ, MATCH(172,Translations!$A:$A,0), MATCH('Project Information'!$C$4,Translations!$D$1:$ZZ$1,0))</f>
        <v/>
      </c>
      <c r="E14" s="62" t="n"/>
      <c r="F14" s="62" t="n"/>
      <c r="G14" s="62" t="n"/>
      <c r="H14" s="62">
        <f>IF(OR(TRIM(F14)="Evet",TRIM(F14)="Yes"),E14,IF(G14="","",E14*G14))</f>
        <v/>
      </c>
      <c r="I14" s="62" t="n"/>
      <c r="K14" s="38">
        <f>IFERROR(AND(OR(INDEX('Question Restrictions'!$D:$D,MATCH($B14,'Question Restrictions'!$C:$C,0))="All",ISNUMBER(SEARCH('Project Information'!$C$10,INDEX('Question Restrictions'!$D:$D,MATCH($B14,'Question Restrictions'!$C:$C,0))))),OR(INDEX('Question Restrictions'!$E:$E,MATCH($B14,'Question Restrictions'!$C:$C,0))="All",ISNUMBER(SEARCH('Project Information'!$C$11,INDEX('Question Restrictions'!$E:$E,MATCH($B14,'Question Restrictions'!$C:$C,0))))),OR(INDEX('Question Restrictions'!$F:$F,MATCH($B14,'Question Restrictions'!$C:$C,0))="All",ISNUMBER(SEARCH('Project Information'!$C$12,INDEX('Question Restrictions'!$F:$F,MATCH($B14,'Question Restrictions'!$C:$C,0))))),INDEX('Question Restrictions'!$G:$G,MATCH($B14,'Question Restrictions'!$C:$C,0))="Yes"),TRUE())</f>
        <v/>
      </c>
    </row>
    <row r="15" ht="30" customHeight="1" s="39">
      <c r="A15" s="62" t="n">
        <v>3</v>
      </c>
      <c r="B15" s="62">
        <f>INDEX(Translations!$D:$ZZ, MATCH(175,Translations!$A:$A,0), MATCH('Project Information'!$C$4,Translations!$D$1:$ZZ$1,0))</f>
        <v/>
      </c>
      <c r="C15" s="62">
        <f>INDEX(Translations!$D:$ZZ, MATCH(176,Translations!$A:$A,0), MATCH('Project Information'!$C$4,Translations!$D$1:$ZZ$1,0))</f>
        <v/>
      </c>
      <c r="D15" s="62">
        <f>INDEX(Translations!$D:$ZZ, MATCH(172,Translations!$A:$A,0), MATCH('Project Information'!$C$4,Translations!$D$1:$ZZ$1,0))</f>
        <v/>
      </c>
      <c r="E15" s="62" t="n"/>
      <c r="F15" s="62" t="n"/>
      <c r="G15" s="62" t="n"/>
      <c r="H15" s="62">
        <f>IF(OR(TRIM(F15)="Evet",TRIM(F15)="Yes"),E15,IF(G15="","",E15*G15))</f>
        <v/>
      </c>
      <c r="I15" s="62" t="n"/>
      <c r="K15" s="38">
        <f>IFERROR(AND(OR(INDEX('Question Restrictions'!$D:$D,MATCH($B15,'Question Restrictions'!$C:$C,0))="All",ISNUMBER(SEARCH('Project Information'!$C$10,INDEX('Question Restrictions'!$D:$D,MATCH($B15,'Question Restrictions'!$C:$C,0))))),OR(INDEX('Question Restrictions'!$E:$E,MATCH($B15,'Question Restrictions'!$C:$C,0))="All",ISNUMBER(SEARCH('Project Information'!$C$11,INDEX('Question Restrictions'!$E:$E,MATCH($B15,'Question Restrictions'!$C:$C,0))))),OR(INDEX('Question Restrictions'!$F:$F,MATCH($B15,'Question Restrictions'!$C:$C,0))="All",ISNUMBER(SEARCH('Project Information'!$C$12,INDEX('Question Restrictions'!$F:$F,MATCH($B15,'Question Restrictions'!$C:$C,0))))),INDEX('Question Restrictions'!$G:$G,MATCH($B15,'Question Restrictions'!$C:$C,0))="Yes"),TRUE())</f>
        <v/>
      </c>
    </row>
    <row r="16" ht="16.4" customHeight="1" s="39">
      <c r="A16" s="62" t="n">
        <v>4</v>
      </c>
      <c r="B16" s="62">
        <f>INDEX(Translations!$D:$ZZ, MATCH(201,Translations!$A:$A,0), MATCH('Project Information'!$C$4,Translations!$D$1:$ZZ$1,0))</f>
        <v/>
      </c>
      <c r="C16" s="62">
        <f>INDEX(Translations!$D:$ZZ, MATCH(202,Translations!$A:$A,0), MATCH('Project Information'!$C$4,Translations!$D$1:$ZZ$1,0))</f>
        <v/>
      </c>
      <c r="D16" s="62">
        <f>INDEX(Translations!$D:$ZZ, MATCH(27,Translations!$A:$A,0), MATCH('Project Information'!$C$4,Translations!$D$1:$ZZ$1,0))</f>
        <v/>
      </c>
      <c r="E16" s="62" t="n"/>
      <c r="F16" s="62" t="n"/>
      <c r="G16" s="62" t="n"/>
      <c r="H16" s="62">
        <f>IF(OR(TRIM(F16)="Evet",TRIM(F16)="Yes"),E16,IF(G16="","",E16*G16))</f>
        <v/>
      </c>
      <c r="I16" s="62" t="n"/>
      <c r="K16" s="38">
        <f>IFERROR(AND(OR(INDEX('Question Restrictions'!$D:$D,MATCH($B16,'Question Restrictions'!$C:$C,0))="All",ISNUMBER(SEARCH('Project Information'!$C$10,INDEX('Question Restrictions'!$D:$D,MATCH($B16,'Question Restrictions'!$C:$C,0))))),OR(INDEX('Question Restrictions'!$E:$E,MATCH($B16,'Question Restrictions'!$C:$C,0))="All",ISNUMBER(SEARCH('Project Information'!$C$11,INDEX('Question Restrictions'!$E:$E,MATCH($B16,'Question Restrictions'!$C:$C,0))))),OR(INDEX('Question Restrictions'!$F:$F,MATCH($B16,'Question Restrictions'!$C:$C,0))="All",ISNUMBER(SEARCH('Project Information'!$C$12,INDEX('Question Restrictions'!$F:$F,MATCH($B16,'Question Restrictions'!$C:$C,0))))),INDEX('Question Restrictions'!$G:$G,MATCH($B16,'Question Restrictions'!$C:$C,0))="Yes"),TRUE())</f>
        <v/>
      </c>
    </row>
    <row r="17" ht="30" customHeight="1" s="39">
      <c r="A17" s="62" t="n">
        <v>5</v>
      </c>
      <c r="B17" s="62">
        <f>INDEX(Translations!$D:$ZZ, MATCH(205,Translations!$A:$A,0), MATCH('Project Information'!$C$4,Translations!$D$1:$ZZ$1,0))</f>
        <v/>
      </c>
      <c r="C17" s="62">
        <f>INDEX(Translations!$D:$ZZ, MATCH(206,Translations!$A:$A,0), MATCH('Project Information'!$C$4,Translations!$D$1:$ZZ$1,0))</f>
        <v/>
      </c>
      <c r="D17" s="62">
        <f>INDEX(Translations!$D:$ZZ, MATCH(27,Translations!$A:$A,0), MATCH('Project Information'!$C$4,Translations!$D$1:$ZZ$1,0))</f>
        <v/>
      </c>
      <c r="E17" s="62" t="n"/>
      <c r="F17" s="62" t="n"/>
      <c r="G17" s="62" t="n"/>
      <c r="H17" s="62">
        <f>IF(OR(TRIM(F17)="Evet",TRIM(F17)="Yes"),E17,IF(G17="","",E17*G17))</f>
        <v/>
      </c>
      <c r="I17" s="62" t="n"/>
      <c r="K17" s="38">
        <f>IFERROR(AND(OR(INDEX('Question Restrictions'!$D:$D,MATCH($B17,'Question Restrictions'!$C:$C,0))="All",ISNUMBER(SEARCH('Project Information'!$C$10,INDEX('Question Restrictions'!$D:$D,MATCH($B17,'Question Restrictions'!$C:$C,0))))),OR(INDEX('Question Restrictions'!$E:$E,MATCH($B17,'Question Restrictions'!$C:$C,0))="All",ISNUMBER(SEARCH('Project Information'!$C$11,INDEX('Question Restrictions'!$E:$E,MATCH($B17,'Question Restrictions'!$C:$C,0))))),OR(INDEX('Question Restrictions'!$F:$F,MATCH($B17,'Question Restrictions'!$C:$C,0))="All",ISNUMBER(SEARCH('Project Information'!$C$12,INDEX('Question Restrictions'!$F:$F,MATCH($B17,'Question Restrictions'!$C:$C,0))))),INDEX('Question Restrictions'!$G:$G,MATCH($B17,'Question Restrictions'!$C:$C,0))="Yes"),TRUE())</f>
        <v/>
      </c>
    </row>
    <row r="18" ht="16.4" customHeight="1" s="39">
      <c r="A18" s="62" t="n">
        <v>6</v>
      </c>
      <c r="B18" s="62">
        <f>INDEX(Translations!$D:$ZZ, MATCH(209,Translations!$A:$A,0), MATCH('Project Information'!$C$4,Translations!$D$1:$ZZ$1,0))</f>
        <v/>
      </c>
      <c r="C18" s="62">
        <f>INDEX(Translations!$D:$ZZ, MATCH(210,Translations!$A:$A,0), MATCH('Project Information'!$C$4,Translations!$D$1:$ZZ$1,0))</f>
        <v/>
      </c>
      <c r="D18" s="62">
        <f>INDEX(Translations!$D:$ZZ, MATCH(172,Translations!$A:$A,0), MATCH('Project Information'!$C$4,Translations!$D$1:$ZZ$1,0))</f>
        <v/>
      </c>
      <c r="E18" s="62" t="n"/>
      <c r="F18" s="62" t="n"/>
      <c r="G18" s="62" t="n"/>
      <c r="H18" s="62">
        <f>IF(OR(TRIM(F18)="Evet",TRIM(F18)="Yes"),E18,IF(G18="","",E18*G18))</f>
        <v/>
      </c>
      <c r="I18" s="62" t="n"/>
      <c r="K18" s="38">
        <f>IFERROR(AND(OR(INDEX('Question Restrictions'!$D:$D,MATCH($B18,'Question Restrictions'!$C:$C,0))="All",ISNUMBER(SEARCH('Project Information'!$C$10,INDEX('Question Restrictions'!$D:$D,MATCH($B18,'Question Restrictions'!$C:$C,0))))),OR(INDEX('Question Restrictions'!$E:$E,MATCH($B18,'Question Restrictions'!$C:$C,0))="All",ISNUMBER(SEARCH('Project Information'!$C$11,INDEX('Question Restrictions'!$E:$E,MATCH($B18,'Question Restrictions'!$C:$C,0))))),OR(INDEX('Question Restrictions'!$F:$F,MATCH($B18,'Question Restrictions'!$C:$C,0))="All",ISNUMBER(SEARCH('Project Information'!$C$12,INDEX('Question Restrictions'!$F:$F,MATCH($B18,'Question Restrictions'!$C:$C,0))))),INDEX('Question Restrictions'!$G:$G,MATCH($B18,'Question Restrictions'!$C:$C,0))="Yes"),TRUE())</f>
        <v/>
      </c>
    </row>
    <row r="19" ht="16.4" customHeight="1" s="39">
      <c r="A19" s="62" t="n">
        <v>7</v>
      </c>
      <c r="B19" s="62">
        <f>INDEX(Translations!$D:$ZZ, MATCH(211,Translations!$A:$A,0), MATCH('Project Information'!$C$4,Translations!$D$1:$ZZ$1,0))</f>
        <v/>
      </c>
      <c r="C19" s="62">
        <f>INDEX(Translations!$D:$ZZ, MATCH(212,Translations!$A:$A,0), MATCH('Project Information'!$C$4,Translations!$D$1:$ZZ$1,0))</f>
        <v/>
      </c>
      <c r="D19" s="62">
        <f>INDEX(Translations!$D:$ZZ, MATCH(172,Translations!$A:$A,0), MATCH('Project Information'!$C$4,Translations!$D$1:$ZZ$1,0))</f>
        <v/>
      </c>
      <c r="E19" s="62" t="n"/>
      <c r="F19" s="62" t="n"/>
      <c r="G19" s="62" t="n"/>
      <c r="H19" s="62">
        <f>IF(OR(TRIM(F19)="Evet",TRIM(F19)="Yes"),E19,IF(G19="","",E19*G19))</f>
        <v/>
      </c>
      <c r="I19" s="62" t="n"/>
      <c r="K19" s="38">
        <f>IFERROR(AND(OR(INDEX('Question Restrictions'!$D:$D,MATCH($B19,'Question Restrictions'!$C:$C,0))="All",ISNUMBER(SEARCH('Project Information'!$C$10,INDEX('Question Restrictions'!$D:$D,MATCH($B19,'Question Restrictions'!$C:$C,0))))),OR(INDEX('Question Restrictions'!$E:$E,MATCH($B19,'Question Restrictions'!$C:$C,0))="All",ISNUMBER(SEARCH('Project Information'!$C$11,INDEX('Question Restrictions'!$E:$E,MATCH($B19,'Question Restrictions'!$C:$C,0))))),OR(INDEX('Question Restrictions'!$F:$F,MATCH($B19,'Question Restrictions'!$C:$C,0))="All",ISNUMBER(SEARCH('Project Information'!$C$12,INDEX('Question Restrictions'!$F:$F,MATCH($B19,'Question Restrictions'!$C:$C,0))))),INDEX('Question Restrictions'!$G:$G,MATCH($B19,'Question Restrictions'!$C:$C,0))="Yes"),TRUE())</f>
        <v/>
      </c>
    </row>
    <row r="20" ht="16.4" customHeight="1" s="39">
      <c r="A20" s="62" t="n">
        <v>8</v>
      </c>
      <c r="B20" s="62">
        <f>INDEX(Translations!$D:$ZZ, MATCH(213,Translations!$A:$A,0), MATCH('Project Information'!$C$4,Translations!$D$1:$ZZ$1,0))</f>
        <v/>
      </c>
      <c r="C20" s="62">
        <f>INDEX(Translations!$D:$ZZ, MATCH(214,Translations!$A:$A,0), MATCH('Project Information'!$C$4,Translations!$D$1:$ZZ$1,0))</f>
        <v/>
      </c>
      <c r="D20" s="62">
        <f>INDEX(Translations!$D:$ZZ, MATCH(172,Translations!$A:$A,0), MATCH('Project Information'!$C$4,Translations!$D$1:$ZZ$1,0))</f>
        <v/>
      </c>
      <c r="E20" s="62" t="n"/>
      <c r="F20" s="62" t="n"/>
      <c r="G20" s="62" t="n"/>
      <c r="H20" s="62">
        <f>IF(OR(TRIM(F20)="Evet",TRIM(F20)="Yes"),E20,IF(G20="","",E20*G20))</f>
        <v/>
      </c>
      <c r="I20" s="62" t="n"/>
      <c r="K20" s="38">
        <f>IFERROR(AND(OR(INDEX('Question Restrictions'!$D:$D,MATCH($B20,'Question Restrictions'!$C:$C,0))="All",ISNUMBER(SEARCH('Project Information'!$C$10,INDEX('Question Restrictions'!$D:$D,MATCH($B20,'Question Restrictions'!$C:$C,0))))),OR(INDEX('Question Restrictions'!$E:$E,MATCH($B20,'Question Restrictions'!$C:$C,0))="All",ISNUMBER(SEARCH('Project Information'!$C$11,INDEX('Question Restrictions'!$E:$E,MATCH($B20,'Question Restrictions'!$C:$C,0))))),OR(INDEX('Question Restrictions'!$F:$F,MATCH($B20,'Question Restrictions'!$C:$C,0))="All",ISNUMBER(SEARCH('Project Information'!$C$12,INDEX('Question Restrictions'!$F:$F,MATCH($B20,'Question Restrictions'!$C:$C,0))))),INDEX('Question Restrictions'!$G:$G,MATCH($B20,'Question Restrictions'!$C:$C,0))="Yes"),TRUE())</f>
        <v/>
      </c>
    </row>
    <row r="21" ht="16.4" customHeight="1" s="39">
      <c r="A21" s="62" t="n">
        <v>9</v>
      </c>
      <c r="B21" s="62">
        <f>INDEX(Translations!$D:$ZZ, MATCH(215,Translations!$A:$A,0), MATCH('Project Information'!$C$4,Translations!$D$1:$ZZ$1,0))</f>
        <v/>
      </c>
      <c r="C21" s="62">
        <f>INDEX(Translations!$D:$ZZ, MATCH(216,Translations!$A:$A,0), MATCH('Project Information'!$C$4,Translations!$D$1:$ZZ$1,0))</f>
        <v/>
      </c>
      <c r="D21" s="62">
        <f>INDEX(Translations!$D:$ZZ, MATCH(172,Translations!$A:$A,0), MATCH('Project Information'!$C$4,Translations!$D$1:$ZZ$1,0))</f>
        <v/>
      </c>
      <c r="E21" s="62" t="n"/>
      <c r="F21" s="62" t="n"/>
      <c r="G21" s="62" t="n"/>
      <c r="H21" s="62">
        <f>IF(OR(TRIM(F21)="Evet",TRIM(F21)="Yes"),E21,IF(G21="","",E21*G21))</f>
        <v/>
      </c>
      <c r="I21" s="62" t="n"/>
      <c r="K21" s="38">
        <f>IFERROR(AND(OR(INDEX('Question Restrictions'!$D:$D,MATCH($B21,'Question Restrictions'!$C:$C,0))="All",ISNUMBER(SEARCH('Project Information'!$C$10,INDEX('Question Restrictions'!$D:$D,MATCH($B21,'Question Restrictions'!$C:$C,0))))),OR(INDEX('Question Restrictions'!$E:$E,MATCH($B21,'Question Restrictions'!$C:$C,0))="All",ISNUMBER(SEARCH('Project Information'!$C$11,INDEX('Question Restrictions'!$E:$E,MATCH($B21,'Question Restrictions'!$C:$C,0))))),OR(INDEX('Question Restrictions'!$F:$F,MATCH($B21,'Question Restrictions'!$C:$C,0))="All",ISNUMBER(SEARCH('Project Information'!$C$12,INDEX('Question Restrictions'!$F:$F,MATCH($B21,'Question Restrictions'!$C:$C,0))))),INDEX('Question Restrictions'!$G:$G,MATCH($B21,'Question Restrictions'!$C:$C,0))="Yes"),TRUE())</f>
        <v/>
      </c>
    </row>
    <row r="22" ht="30" customHeight="1" s="39">
      <c r="A22" s="62" t="n">
        <v>10</v>
      </c>
      <c r="B22" s="62">
        <f>INDEX(Translations!$D:$ZZ, MATCH(224,Translations!$A:$A,0), MATCH('Project Information'!$C$4,Translations!$D$1:$ZZ$1,0))</f>
        <v/>
      </c>
      <c r="C22" s="62">
        <f>INDEX(Translations!$D:$ZZ, MATCH(194,Translations!$A:$A,0), MATCH('Project Information'!$C$4,Translations!$D$1:$ZZ$1,0))</f>
        <v/>
      </c>
      <c r="D22" s="62">
        <f>INDEX(Translations!$D:$ZZ, MATCH(27,Translations!$A:$A,0), MATCH('Project Information'!$C$4,Translations!$D$1:$ZZ$1,0))</f>
        <v/>
      </c>
      <c r="E22" s="62" t="n"/>
      <c r="F22" s="62" t="n"/>
      <c r="G22" s="62" t="n"/>
      <c r="H22" s="62">
        <f>IF(OR(TRIM(F22)="Evet",TRIM(F22)="Yes"),E22,IF(G22="","",E22*G22))</f>
        <v/>
      </c>
      <c r="I22" s="62" t="n"/>
      <c r="K22" s="38">
        <f>IFERROR(AND(OR(INDEX('Question Restrictions'!$D:$D,MATCH($B22,'Question Restrictions'!$C:$C,0))="All",ISNUMBER(SEARCH('Project Information'!$C$10,INDEX('Question Restrictions'!$D:$D,MATCH($B22,'Question Restrictions'!$C:$C,0))))),OR(INDEX('Question Restrictions'!$E:$E,MATCH($B22,'Question Restrictions'!$C:$C,0))="All",ISNUMBER(SEARCH('Project Information'!$C$11,INDEX('Question Restrictions'!$E:$E,MATCH($B22,'Question Restrictions'!$C:$C,0))))),OR(INDEX('Question Restrictions'!$F:$F,MATCH($B22,'Question Restrictions'!$C:$C,0))="All",ISNUMBER(SEARCH('Project Information'!$C$12,INDEX('Question Restrictions'!$F:$F,MATCH($B22,'Question Restrictions'!$C:$C,0))))),INDEX('Question Restrictions'!$G:$G,MATCH($B22,'Question Restrictions'!$C:$C,0))="Yes"),TRUE())</f>
        <v/>
      </c>
    </row>
    <row r="23" ht="16.4" customHeight="1" s="39">
      <c r="A23" s="62" t="n">
        <v>11</v>
      </c>
      <c r="B23" s="62">
        <f>INDEX(Translations!$D:$ZZ, MATCH(225,Translations!$A:$A,0), MATCH('Project Information'!$C$4,Translations!$D$1:$ZZ$1,0))</f>
        <v/>
      </c>
      <c r="C23" s="62">
        <f>INDEX(Translations!$D:$ZZ, MATCH(226,Translations!$A:$A,0), MATCH('Project Information'!$C$4,Translations!$D$1:$ZZ$1,0))</f>
        <v/>
      </c>
      <c r="D23" s="62">
        <f>INDEX(Translations!$D:$ZZ, MATCH(172,Translations!$A:$A,0), MATCH('Project Information'!$C$4,Translations!$D$1:$ZZ$1,0))</f>
        <v/>
      </c>
      <c r="E23" s="62" t="n"/>
      <c r="F23" s="62" t="n"/>
      <c r="G23" s="62" t="n"/>
      <c r="H23" s="62">
        <f>IF(OR(TRIM(F23)="Evet",TRIM(F23)="Yes"),E23,IF(G23="","",E23*G23))</f>
        <v/>
      </c>
      <c r="I23" s="62" t="n"/>
      <c r="K23" s="38">
        <f>IFERROR(AND(OR(INDEX('Question Restrictions'!$D:$D,MATCH($B23,'Question Restrictions'!$C:$C,0))="All",ISNUMBER(SEARCH('Project Information'!$C$10,INDEX('Question Restrictions'!$D:$D,MATCH($B23,'Question Restrictions'!$C:$C,0))))),OR(INDEX('Question Restrictions'!$E:$E,MATCH($B23,'Question Restrictions'!$C:$C,0))="All",ISNUMBER(SEARCH('Project Information'!$C$11,INDEX('Question Restrictions'!$E:$E,MATCH($B23,'Question Restrictions'!$C:$C,0))))),OR(INDEX('Question Restrictions'!$F:$F,MATCH($B23,'Question Restrictions'!$C:$C,0))="All",ISNUMBER(SEARCH('Project Information'!$C$12,INDEX('Question Restrictions'!$F:$F,MATCH($B23,'Question Restrictions'!$C:$C,0))))),INDEX('Question Restrictions'!$G:$G,MATCH($B23,'Question Restrictions'!$C:$C,0))="Yes"),TRUE())</f>
        <v/>
      </c>
    </row>
    <row r="24" ht="60" customHeight="1" s="39">
      <c r="A24" s="62" t="n">
        <v>12</v>
      </c>
      <c r="B24" s="62">
        <f>INDEX(Translations!$D:$ZZ, MATCH(227,Translations!$A:$A,0), MATCH('Project Information'!$C$4,Translations!$D$1:$ZZ$1,0))</f>
        <v/>
      </c>
      <c r="C24" s="62">
        <f>INDEX(Translations!$D:$ZZ, MATCH(228,Translations!$A:$A,0), MATCH('Project Information'!$C$4,Translations!$D$1:$ZZ$1,0))</f>
        <v/>
      </c>
      <c r="D24" s="62">
        <f>INDEX(Translations!$D:$ZZ, MATCH(27,Translations!$A:$A,0), MATCH('Project Information'!$C$4,Translations!$D$1:$ZZ$1,0))</f>
        <v/>
      </c>
      <c r="E24" s="62" t="n"/>
      <c r="F24" s="62" t="n"/>
      <c r="G24" s="62" t="n"/>
      <c r="H24" s="62">
        <f>IF(OR(TRIM(F24)="Evet",TRIM(F24)="Yes"),E24,IF(G24="","",E24*G24))</f>
        <v/>
      </c>
      <c r="I24" s="62" t="n"/>
      <c r="K24" s="38">
        <f>IFERROR(AND(OR(INDEX('Question Restrictions'!$D:$D,MATCH($B24,'Question Restrictions'!$C:$C,0))="All",ISNUMBER(SEARCH('Project Information'!$C$10,INDEX('Question Restrictions'!$D:$D,MATCH($B24,'Question Restrictions'!$C:$C,0))))),OR(INDEX('Question Restrictions'!$E:$E,MATCH($B24,'Question Restrictions'!$C:$C,0))="All",ISNUMBER(SEARCH('Project Information'!$C$11,INDEX('Question Restrictions'!$E:$E,MATCH($B24,'Question Restrictions'!$C:$C,0))))),OR(INDEX('Question Restrictions'!$F:$F,MATCH($B24,'Question Restrictions'!$C:$C,0))="All",ISNUMBER(SEARCH('Project Information'!$C$12,INDEX('Question Restrictions'!$F:$F,MATCH($B24,'Question Restrictions'!$C:$C,0))))),INDEX('Question Restrictions'!$G:$G,MATCH($B24,'Question Restrictions'!$C:$C,0))="Yes"),TRUE())</f>
        <v/>
      </c>
    </row>
    <row r="25" ht="30" customHeight="1" s="39">
      <c r="A25" s="62" t="n">
        <v>13</v>
      </c>
      <c r="B25" s="62">
        <f>INDEX(Translations!$D:$ZZ, MATCH(229,Translations!$A:$A,0), MATCH('Project Information'!$C$4,Translations!$D$1:$ZZ$1,0))</f>
        <v/>
      </c>
      <c r="C25" s="62">
        <f>INDEX(Translations!$D:$ZZ, MATCH(230,Translations!$A:$A,0), MATCH('Project Information'!$C$4,Translations!$D$1:$ZZ$1,0))</f>
        <v/>
      </c>
      <c r="D25" s="62">
        <f>INDEX(Translations!$D:$ZZ, MATCH(172,Translations!$A:$A,0), MATCH('Project Information'!$C$4,Translations!$D$1:$ZZ$1,0))</f>
        <v/>
      </c>
      <c r="E25" s="62" t="n"/>
      <c r="F25" s="62" t="n"/>
      <c r="G25" s="62" t="n"/>
      <c r="H25" s="62">
        <f>IF(OR(TRIM(F25)="Evet",TRIM(F25)="Yes"),E25,IF(G25="","",E25*G25))</f>
        <v/>
      </c>
      <c r="I25" s="62" t="n"/>
      <c r="K25" s="38">
        <f>IFERROR(AND(OR(INDEX('Question Restrictions'!$D:$D,MATCH($B25,'Question Restrictions'!$C:$C,0))="All",ISNUMBER(SEARCH('Project Information'!$C$10,INDEX('Question Restrictions'!$D:$D,MATCH($B25,'Question Restrictions'!$C:$C,0))))),OR(INDEX('Question Restrictions'!$E:$E,MATCH($B25,'Question Restrictions'!$C:$C,0))="All",ISNUMBER(SEARCH('Project Information'!$C$11,INDEX('Question Restrictions'!$E:$E,MATCH($B25,'Question Restrictions'!$C:$C,0))))),OR(INDEX('Question Restrictions'!$F:$F,MATCH($B25,'Question Restrictions'!$C:$C,0))="All",ISNUMBER(SEARCH('Project Information'!$C$12,INDEX('Question Restrictions'!$F:$F,MATCH($B25,'Question Restrictions'!$C:$C,0))))),INDEX('Question Restrictions'!$G:$G,MATCH($B25,'Question Restrictions'!$C:$C,0))="Yes"),TRUE())</f>
        <v/>
      </c>
    </row>
    <row r="26" ht="30" customHeight="1" s="39">
      <c r="A26" s="62" t="n">
        <v>14</v>
      </c>
      <c r="B26" s="62">
        <f>INDEX(Translations!$D:$ZZ, MATCH(233,Translations!$A:$A,0), MATCH('Project Information'!$C$4,Translations!$D$1:$ZZ$1,0))</f>
        <v/>
      </c>
      <c r="C26" s="62">
        <f>INDEX(Translations!$D:$ZZ, MATCH(194,Translations!$A:$A,0), MATCH('Project Information'!$C$4,Translations!$D$1:$ZZ$1,0))</f>
        <v/>
      </c>
      <c r="D26" s="62">
        <f>INDEX(Translations!$D:$ZZ, MATCH(172,Translations!$A:$A,0), MATCH('Project Information'!$C$4,Translations!$D$1:$ZZ$1,0))</f>
        <v/>
      </c>
      <c r="E26" s="62" t="n"/>
      <c r="F26" s="62" t="n"/>
      <c r="G26" s="62" t="n"/>
      <c r="H26" s="62">
        <f>IF(OR(TRIM(F26)="Evet",TRIM(F26)="Yes"),E26,IF(G26="","",E26*G26))</f>
        <v/>
      </c>
      <c r="I26" s="62" t="n"/>
      <c r="K26" s="38">
        <f>IFERROR(AND(OR(INDEX('Question Restrictions'!$D:$D,MATCH($B26,'Question Restrictions'!$C:$C,0))="All",ISNUMBER(SEARCH('Project Information'!$C$10,INDEX('Question Restrictions'!$D:$D,MATCH($B26,'Question Restrictions'!$C:$C,0))))),OR(INDEX('Question Restrictions'!$E:$E,MATCH($B26,'Question Restrictions'!$C:$C,0))="All",ISNUMBER(SEARCH('Project Information'!$C$11,INDEX('Question Restrictions'!$E:$E,MATCH($B26,'Question Restrictions'!$C:$C,0))))),OR(INDEX('Question Restrictions'!$F:$F,MATCH($B26,'Question Restrictions'!$C:$C,0))="All",ISNUMBER(SEARCH('Project Information'!$C$12,INDEX('Question Restrictions'!$F:$F,MATCH($B26,'Question Restrictions'!$C:$C,0))))),INDEX('Question Restrictions'!$G:$G,MATCH($B26,'Question Restrictions'!$C:$C,0))="Yes"),TRUE())</f>
        <v/>
      </c>
    </row>
    <row r="27" ht="30" customHeight="1" s="39">
      <c r="A27" s="62" t="n">
        <v>15</v>
      </c>
      <c r="B27" s="62">
        <f>INDEX(Translations!$D:$ZZ, MATCH(237,Translations!$A:$A,0), MATCH('Project Information'!$C$4,Translations!$D$1:$ZZ$1,0))</f>
        <v/>
      </c>
      <c r="C27" s="62">
        <f>INDEX(Translations!$D:$ZZ, MATCH(238,Translations!$A:$A,0), MATCH('Project Information'!$C$4,Translations!$D$1:$ZZ$1,0))</f>
        <v/>
      </c>
      <c r="D27" s="62">
        <f>INDEX(Translations!$D:$ZZ, MATCH(172,Translations!$A:$A,0), MATCH('Project Information'!$C$4,Translations!$D$1:$ZZ$1,0))</f>
        <v/>
      </c>
      <c r="E27" s="62" t="n"/>
      <c r="F27" s="62" t="n"/>
      <c r="G27" s="62" t="n"/>
      <c r="H27" s="62">
        <f>IF(OR(TRIM(F27)="Evet",TRIM(F27)="Yes"),E27,IF(G27="","",E27*G27))</f>
        <v/>
      </c>
      <c r="I27" s="62" t="n"/>
      <c r="K27" s="38">
        <f>IFERROR(AND(OR(INDEX('Question Restrictions'!$D:$D,MATCH($B27,'Question Restrictions'!$C:$C,0))="All",ISNUMBER(SEARCH('Project Information'!$C$10,INDEX('Question Restrictions'!$D:$D,MATCH($B27,'Question Restrictions'!$C:$C,0))))),OR(INDEX('Question Restrictions'!$E:$E,MATCH($B27,'Question Restrictions'!$C:$C,0))="All",ISNUMBER(SEARCH('Project Information'!$C$11,INDEX('Question Restrictions'!$E:$E,MATCH($B27,'Question Restrictions'!$C:$C,0))))),OR(INDEX('Question Restrictions'!$F:$F,MATCH($B27,'Question Restrictions'!$C:$C,0))="All",ISNUMBER(SEARCH('Project Information'!$C$12,INDEX('Question Restrictions'!$F:$F,MATCH($B27,'Question Restrictions'!$C:$C,0))))),INDEX('Question Restrictions'!$G:$G,MATCH($B27,'Question Restrictions'!$C:$C,0))="Yes"),TRUE())</f>
        <v/>
      </c>
    </row>
    <row r="28" ht="30" customHeight="1" s="39">
      <c r="A28" s="62" t="n">
        <v>16</v>
      </c>
      <c r="B28" s="62">
        <f>INDEX(Translations!$D:$ZZ, MATCH(274,Translations!$A:$A,0), MATCH('Project Information'!$C$4,Translations!$D$1:$ZZ$1,0))</f>
        <v/>
      </c>
      <c r="C28" s="62">
        <f>INDEX(Translations!$D:$ZZ, MATCH(194,Translations!$A:$A,0), MATCH('Project Information'!$C$4,Translations!$D$1:$ZZ$1,0))</f>
        <v/>
      </c>
      <c r="D28" s="62">
        <f>INDEX(Translations!$D:$ZZ, MATCH(172,Translations!$A:$A,0), MATCH('Project Information'!$C$4,Translations!$D$1:$ZZ$1,0))</f>
        <v/>
      </c>
      <c r="E28" s="62" t="n"/>
      <c r="F28" s="62" t="n"/>
      <c r="G28" s="62" t="n"/>
      <c r="H28" s="62">
        <f>IF(OR(TRIM(F28)="Evet",TRIM(F28)="Yes"),E28,IF(G28="","",E28*G28))</f>
        <v/>
      </c>
      <c r="I28" s="62" t="n"/>
      <c r="K28" s="38">
        <f>IFERROR(AND(OR(INDEX('Question Restrictions'!$D:$D,MATCH($B28,'Question Restrictions'!$C:$C,0))="All",ISNUMBER(SEARCH('Project Information'!$C$10,INDEX('Question Restrictions'!$D:$D,MATCH($B28,'Question Restrictions'!$C:$C,0))))),OR(INDEX('Question Restrictions'!$E:$E,MATCH($B28,'Question Restrictions'!$C:$C,0))="All",ISNUMBER(SEARCH('Project Information'!$C$11,INDEX('Question Restrictions'!$E:$E,MATCH($B28,'Question Restrictions'!$C:$C,0))))),OR(INDEX('Question Restrictions'!$F:$F,MATCH($B28,'Question Restrictions'!$C:$C,0))="All",ISNUMBER(SEARCH('Project Information'!$C$12,INDEX('Question Restrictions'!$F:$F,MATCH($B28,'Question Restrictions'!$C:$C,0))))),INDEX('Question Restrictions'!$G:$G,MATCH($B28,'Question Restrictions'!$C:$C,0))="Yes"),TRUE())</f>
        <v/>
      </c>
    </row>
    <row r="29" ht="30" customHeight="1" s="39">
      <c r="A29" s="62" t="n">
        <v>17</v>
      </c>
      <c r="B29" s="62">
        <f>INDEX(Translations!$D:$ZZ, MATCH(275,Translations!$A:$A,0), MATCH('Project Information'!$C$4,Translations!$D$1:$ZZ$1,0))</f>
        <v/>
      </c>
      <c r="C29" s="62">
        <f>INDEX(Translations!$D:$ZZ, MATCH(194,Translations!$A:$A,0), MATCH('Project Information'!$C$4,Translations!$D$1:$ZZ$1,0))</f>
        <v/>
      </c>
      <c r="D29" s="62">
        <f>INDEX(Translations!$D:$ZZ, MATCH(172,Translations!$A:$A,0), MATCH('Project Information'!$C$4,Translations!$D$1:$ZZ$1,0))</f>
        <v/>
      </c>
      <c r="E29" s="62" t="n"/>
      <c r="F29" s="62" t="n"/>
      <c r="G29" s="62" t="n"/>
      <c r="H29" s="62">
        <f>IF(OR(TRIM(F29)="Evet",TRIM(F29)="Yes"),E29,IF(G29="","",E29*G29))</f>
        <v/>
      </c>
      <c r="I29" s="62" t="n"/>
      <c r="K29" s="38">
        <f>IFERROR(AND(OR(INDEX('Question Restrictions'!$D:$D,MATCH($B29,'Question Restrictions'!$C:$C,0))="All",ISNUMBER(SEARCH('Project Information'!$C$10,INDEX('Question Restrictions'!$D:$D,MATCH($B29,'Question Restrictions'!$C:$C,0))))),OR(INDEX('Question Restrictions'!$E:$E,MATCH($B29,'Question Restrictions'!$C:$C,0))="All",ISNUMBER(SEARCH('Project Information'!$C$11,INDEX('Question Restrictions'!$E:$E,MATCH($B29,'Question Restrictions'!$C:$C,0))))),OR(INDEX('Question Restrictions'!$F:$F,MATCH($B29,'Question Restrictions'!$C:$C,0))="All",ISNUMBER(SEARCH('Project Information'!$C$12,INDEX('Question Restrictions'!$F:$F,MATCH($B29,'Question Restrictions'!$C:$C,0))))),INDEX('Question Restrictions'!$G:$G,MATCH($B29,'Question Restrictions'!$C:$C,0))="Yes"),TRUE())</f>
        <v/>
      </c>
    </row>
    <row r="30" ht="16.4" customHeight="1" s="39">
      <c r="A30" s="62" t="n">
        <v>18</v>
      </c>
      <c r="B30" s="62">
        <f>INDEX(Translations!$D:$ZZ, MATCH(239,Translations!$A:$A,0), MATCH('Project Information'!$C$4,Translations!$D$1:$ZZ$1,0))</f>
        <v/>
      </c>
      <c r="C30" s="62">
        <f>INDEX(Translations!$D:$ZZ, MATCH(194,Translations!$A:$A,0), MATCH('Project Information'!$C$4,Translations!$D$1:$ZZ$1,0))</f>
        <v/>
      </c>
      <c r="D30" s="62">
        <f>INDEX(Translations!$D:$ZZ, MATCH(172,Translations!$A:$A,0), MATCH('Project Information'!$C$4,Translations!$D$1:$ZZ$1,0))</f>
        <v/>
      </c>
      <c r="E30" s="62" t="n"/>
      <c r="F30" s="62" t="n"/>
      <c r="G30" s="62" t="n"/>
      <c r="H30" s="62">
        <f>IF(OR(TRIM(F30)="Evet",TRIM(F30)="Yes"),E30,IF(G30="","",E30*G30))</f>
        <v/>
      </c>
      <c r="I30" s="62" t="n"/>
      <c r="K30" s="38">
        <f>IFERROR(AND(OR(INDEX('Question Restrictions'!$D:$D,MATCH($B30,'Question Restrictions'!$C:$C,0))="All",ISNUMBER(SEARCH('Project Information'!$C$10,INDEX('Question Restrictions'!$D:$D,MATCH($B30,'Question Restrictions'!$C:$C,0))))),OR(INDEX('Question Restrictions'!$E:$E,MATCH($B30,'Question Restrictions'!$C:$C,0))="All",ISNUMBER(SEARCH('Project Information'!$C$11,INDEX('Question Restrictions'!$E:$E,MATCH($B30,'Question Restrictions'!$C:$C,0))))),OR(INDEX('Question Restrictions'!$F:$F,MATCH($B30,'Question Restrictions'!$C:$C,0))="All",ISNUMBER(SEARCH('Project Information'!$C$12,INDEX('Question Restrictions'!$F:$F,MATCH($B30,'Question Restrictions'!$C:$C,0))))),INDEX('Question Restrictions'!$G:$G,MATCH($B30,'Question Restrictions'!$C:$C,0))="Yes"),TRUE())</f>
        <v/>
      </c>
    </row>
    <row r="31" ht="16.4" customHeight="1" s="39">
      <c r="A31" s="62" t="n">
        <v>19</v>
      </c>
      <c r="B31" s="62">
        <f>INDEX(Translations!$D:$ZZ, MATCH(240,Translations!$A:$A,0), MATCH('Project Information'!$C$4,Translations!$D$1:$ZZ$1,0))</f>
        <v/>
      </c>
      <c r="C31" s="62">
        <f>INDEX(Translations!$D:$ZZ, MATCH(194,Translations!$A:$A,0), MATCH('Project Information'!$C$4,Translations!$D$1:$ZZ$1,0))</f>
        <v/>
      </c>
      <c r="D31" s="62">
        <f>INDEX(Translations!$D:$ZZ, MATCH(172,Translations!$A:$A,0), MATCH('Project Information'!$C$4,Translations!$D$1:$ZZ$1,0))</f>
        <v/>
      </c>
      <c r="E31" s="62" t="n"/>
      <c r="F31" s="62" t="n"/>
      <c r="G31" s="62" t="n"/>
      <c r="H31" s="62">
        <f>IF(OR(TRIM(F31)="Evet",TRIM(F31)="Yes"),E31,IF(G31="","",E31*G31))</f>
        <v/>
      </c>
      <c r="I31" s="62" t="n"/>
      <c r="K31" s="38">
        <f>IFERROR(AND(OR(INDEX('Question Restrictions'!$D:$D,MATCH($B31,'Question Restrictions'!$C:$C,0))="All",ISNUMBER(SEARCH('Project Information'!$C$10,INDEX('Question Restrictions'!$D:$D,MATCH($B31,'Question Restrictions'!$C:$C,0))))),OR(INDEX('Question Restrictions'!$E:$E,MATCH($B31,'Question Restrictions'!$C:$C,0))="All",ISNUMBER(SEARCH('Project Information'!$C$11,INDEX('Question Restrictions'!$E:$E,MATCH($B31,'Question Restrictions'!$C:$C,0))))),OR(INDEX('Question Restrictions'!$F:$F,MATCH($B31,'Question Restrictions'!$C:$C,0))="All",ISNUMBER(SEARCH('Project Information'!$C$12,INDEX('Question Restrictions'!$F:$F,MATCH($B31,'Question Restrictions'!$C:$C,0))))),INDEX('Question Restrictions'!$G:$G,MATCH($B31,'Question Restrictions'!$C:$C,0))="Yes"),TRUE())</f>
        <v/>
      </c>
    </row>
    <row r="32" ht="30" customHeight="1" s="39">
      <c r="A32" s="62" t="n">
        <v>20</v>
      </c>
      <c r="B32" s="62">
        <f>INDEX(Translations!$D:$ZZ, MATCH(241,Translations!$A:$A,0), MATCH('Project Information'!$C$4,Translations!$D$1:$ZZ$1,0))</f>
        <v/>
      </c>
      <c r="C32" s="62">
        <f>INDEX(Translations!$D:$ZZ, MATCH(208,Translations!$A:$A,0), MATCH('Project Information'!$C$4,Translations!$D$1:$ZZ$1,0))</f>
        <v/>
      </c>
      <c r="D32" s="62">
        <f>INDEX(Translations!$D:$ZZ, MATCH(172,Translations!$A:$A,0), MATCH('Project Information'!$C$4,Translations!$D$1:$ZZ$1,0))</f>
        <v/>
      </c>
      <c r="E32" s="62" t="n"/>
      <c r="F32" s="62" t="n"/>
      <c r="G32" s="62" t="n"/>
      <c r="H32" s="62">
        <f>IF(OR(TRIM(F32)="Evet",TRIM(F32)="Yes"),E32,IF(G32="","",E32*G32))</f>
        <v/>
      </c>
      <c r="I32" s="62" t="n"/>
      <c r="K32" s="38">
        <f>IFERROR(AND(OR(INDEX('Question Restrictions'!$D:$D,MATCH($B32,'Question Restrictions'!$C:$C,0))="All",ISNUMBER(SEARCH('Project Information'!$C$10,INDEX('Question Restrictions'!$D:$D,MATCH($B32,'Question Restrictions'!$C:$C,0))))),OR(INDEX('Question Restrictions'!$E:$E,MATCH($B32,'Question Restrictions'!$C:$C,0))="All",ISNUMBER(SEARCH('Project Information'!$C$11,INDEX('Question Restrictions'!$E:$E,MATCH($B32,'Question Restrictions'!$C:$C,0))))),OR(INDEX('Question Restrictions'!$F:$F,MATCH($B32,'Question Restrictions'!$C:$C,0))="All",ISNUMBER(SEARCH('Project Information'!$C$12,INDEX('Question Restrictions'!$F:$F,MATCH($B32,'Question Restrictions'!$C:$C,0))))),INDEX('Question Restrictions'!$G:$G,MATCH($B32,'Question Restrictions'!$C:$C,0))="Yes"),TRUE())</f>
        <v/>
      </c>
    </row>
    <row r="33" ht="16.4" customHeight="1" s="39">
      <c r="A33" s="62" t="n">
        <v>21</v>
      </c>
      <c r="B33" s="62">
        <f>INDEX(Translations!$D:$ZZ, MATCH(242,Translations!$A:$A,0), MATCH('Project Information'!$C$4,Translations!$D$1:$ZZ$1,0))</f>
        <v/>
      </c>
      <c r="C33" s="62">
        <f>INDEX(Translations!$D:$ZZ, MATCH(194,Translations!$A:$A,0), MATCH('Project Information'!$C$4,Translations!$D$1:$ZZ$1,0))</f>
        <v/>
      </c>
      <c r="D33" s="62">
        <f>INDEX(Translations!$D:$ZZ, MATCH(172,Translations!$A:$A,0), MATCH('Project Information'!$C$4,Translations!$D$1:$ZZ$1,0))</f>
        <v/>
      </c>
      <c r="E33" s="62" t="n"/>
      <c r="F33" s="62" t="n"/>
      <c r="G33" s="62" t="n"/>
      <c r="H33" s="62">
        <f>IF(OR(TRIM(F33)="Evet",TRIM(F33)="Yes"),E33,IF(G33="","",E33*G33))</f>
        <v/>
      </c>
      <c r="I33" s="62" t="n"/>
      <c r="K33" s="38">
        <f>IFERROR(AND(OR(INDEX('Question Restrictions'!$D:$D,MATCH($B33,'Question Restrictions'!$C:$C,0))="All",ISNUMBER(SEARCH('Project Information'!$C$10,INDEX('Question Restrictions'!$D:$D,MATCH($B33,'Question Restrictions'!$C:$C,0))))),OR(INDEX('Question Restrictions'!$E:$E,MATCH($B33,'Question Restrictions'!$C:$C,0))="All",ISNUMBER(SEARCH('Project Information'!$C$11,INDEX('Question Restrictions'!$E:$E,MATCH($B33,'Question Restrictions'!$C:$C,0))))),OR(INDEX('Question Restrictions'!$F:$F,MATCH($B33,'Question Restrictions'!$C:$C,0))="All",ISNUMBER(SEARCH('Project Information'!$C$12,INDEX('Question Restrictions'!$F:$F,MATCH($B33,'Question Restrictions'!$C:$C,0))))),INDEX('Question Restrictions'!$G:$G,MATCH($B33,'Question Restrictions'!$C:$C,0))="Yes"),TRUE())</f>
        <v/>
      </c>
    </row>
    <row r="34" ht="16.4" customHeight="1" s="39">
      <c r="A34" s="62" t="n">
        <v>22</v>
      </c>
      <c r="B34" s="62">
        <f>INDEX(Translations!$D:$ZZ, MATCH(248,Translations!$A:$A,0), MATCH('Project Information'!$C$4,Translations!$D$1:$ZZ$1,0))</f>
        <v/>
      </c>
      <c r="C34" s="62">
        <f>INDEX(Translations!$D:$ZZ, MATCH(1021,Translations!$A:$A,0), MATCH('Project Information'!$C$4,Translations!$D$1:$ZZ$1,0))</f>
        <v/>
      </c>
      <c r="D34" s="62">
        <f>INDEX(Translations!$D:$ZZ, MATCH(172,Translations!$A:$A,0), MATCH('Project Information'!$C$4,Translations!$D$1:$ZZ$1,0))</f>
        <v/>
      </c>
      <c r="E34" s="62" t="n"/>
      <c r="F34" s="62" t="n"/>
      <c r="G34" s="62" t="n"/>
      <c r="H34" s="62">
        <f>IF(OR(TRIM(F34)="Evet",TRIM(F34)="Yes"),E34,IF(G34="","",E34*G34))</f>
        <v/>
      </c>
      <c r="I34" s="62" t="n"/>
      <c r="K34" s="38">
        <f>IFERROR(AND(OR(INDEX('Question Restrictions'!$D:$D,MATCH($B34,'Question Restrictions'!$C:$C,0))="All",ISNUMBER(SEARCH('Project Information'!$C$10,INDEX('Question Restrictions'!$D:$D,MATCH($B34,'Question Restrictions'!$C:$C,0))))),OR(INDEX('Question Restrictions'!$E:$E,MATCH($B34,'Question Restrictions'!$C:$C,0))="All",ISNUMBER(SEARCH('Project Information'!$C$11,INDEX('Question Restrictions'!$E:$E,MATCH($B34,'Question Restrictions'!$C:$C,0))))),OR(INDEX('Question Restrictions'!$F:$F,MATCH($B34,'Question Restrictions'!$C:$C,0))="All",ISNUMBER(SEARCH('Project Information'!$C$12,INDEX('Question Restrictions'!$F:$F,MATCH($B34,'Question Restrictions'!$C:$C,0))))),INDEX('Question Restrictions'!$G:$G,MATCH($B34,'Question Restrictions'!$C:$C,0))="Yes"),TRUE())</f>
        <v/>
      </c>
    </row>
    <row r="35" ht="30" customHeight="1" s="39">
      <c r="A35" s="62" t="n">
        <v>23</v>
      </c>
      <c r="B35" s="62">
        <f>INDEX(Translations!$D:$ZZ, MATCH(251,Translations!$A:$A,0), MATCH('Project Information'!$C$4,Translations!$D$1:$ZZ$1,0))</f>
        <v/>
      </c>
      <c r="C35" s="62">
        <f>INDEX(Translations!$D:$ZZ, MATCH(252,Translations!$A:$A,0), MATCH('Project Information'!$C$4,Translations!$D$1:$ZZ$1,0))</f>
        <v/>
      </c>
      <c r="D35" s="62">
        <f>INDEX(Translations!$D:$ZZ, MATCH(27,Translations!$A:$A,0), MATCH('Project Information'!$C$4,Translations!$D$1:$ZZ$1,0))</f>
        <v/>
      </c>
      <c r="E35" s="62" t="n"/>
      <c r="F35" s="62" t="n"/>
      <c r="G35" s="62" t="n"/>
      <c r="H35" s="62">
        <f>IF(OR(TRIM(F35)="Evet",TRIM(F35)="Yes"),E35,IF(G35="","",E35*G35))</f>
        <v/>
      </c>
      <c r="I35" s="62" t="n"/>
      <c r="K35" s="38">
        <f>IFERROR(AND(OR(INDEX('Question Restrictions'!$D:$D,MATCH($B35,'Question Restrictions'!$C:$C,0))="All",ISNUMBER(SEARCH('Project Information'!$C$10,INDEX('Question Restrictions'!$D:$D,MATCH($B35,'Question Restrictions'!$C:$C,0))))),OR(INDEX('Question Restrictions'!$E:$E,MATCH($B35,'Question Restrictions'!$C:$C,0))="All",ISNUMBER(SEARCH('Project Information'!$C$11,INDEX('Question Restrictions'!$E:$E,MATCH($B35,'Question Restrictions'!$C:$C,0))))),OR(INDEX('Question Restrictions'!$F:$F,MATCH($B35,'Question Restrictions'!$C:$C,0))="All",ISNUMBER(SEARCH('Project Information'!$C$12,INDEX('Question Restrictions'!$F:$F,MATCH($B35,'Question Restrictions'!$C:$C,0))))),INDEX('Question Restrictions'!$G:$G,MATCH($B35,'Question Restrictions'!$C:$C,0))="Yes"),TRUE())</f>
        <v/>
      </c>
    </row>
    <row r="36" ht="30" customHeight="1" s="39">
      <c r="A36" s="62" t="n">
        <v>24</v>
      </c>
      <c r="B36" s="62">
        <f>INDEX(Translations!$D:$ZZ, MATCH(267,Translations!$A:$A,0), MATCH('Project Information'!$C$4,Translations!$D$1:$ZZ$1,0))</f>
        <v/>
      </c>
      <c r="C36" s="62">
        <f>INDEX(Translations!$D:$ZZ, MATCH(268,Translations!$A:$A,0), MATCH('Project Information'!$C$4,Translations!$D$1:$ZZ$1,0))</f>
        <v/>
      </c>
      <c r="D36" s="62">
        <f>INDEX(Translations!$D:$ZZ, MATCH(172,Translations!$A:$A,0), MATCH('Project Information'!$C$4,Translations!$D$1:$ZZ$1,0))</f>
        <v/>
      </c>
      <c r="E36" s="62" t="n"/>
      <c r="F36" s="62" t="n"/>
      <c r="G36" s="62" t="n"/>
      <c r="H36" s="62">
        <f>IF(OR(TRIM(F36)="Evet",TRIM(F36)="Yes"),E36,IF(G36="","",E36*G36))</f>
        <v/>
      </c>
      <c r="I36" s="62" t="n"/>
      <c r="K36" s="38">
        <f>IFERROR(AND(OR(INDEX('Question Restrictions'!$D:$D,MATCH($B36,'Question Restrictions'!$C:$C,0))="All",ISNUMBER(SEARCH('Project Information'!$C$10,INDEX('Question Restrictions'!$D:$D,MATCH($B36,'Question Restrictions'!$C:$C,0))))),OR(INDEX('Question Restrictions'!$E:$E,MATCH($B36,'Question Restrictions'!$C:$C,0))="All",ISNUMBER(SEARCH('Project Information'!$C$11,INDEX('Question Restrictions'!$E:$E,MATCH($B36,'Question Restrictions'!$C:$C,0))))),OR(INDEX('Question Restrictions'!$F:$F,MATCH($B36,'Question Restrictions'!$C:$C,0))="All",ISNUMBER(SEARCH('Project Information'!$C$12,INDEX('Question Restrictions'!$F:$F,MATCH($B36,'Question Restrictions'!$C:$C,0))))),INDEX('Question Restrictions'!$G:$G,MATCH($B36,'Question Restrictions'!$C:$C,0))="Yes"),TRUE())</f>
        <v/>
      </c>
    </row>
  </sheetData>
  <autoFilter ref="A12:K36">
    <filterColumn colId="10" hiddenButton="0" showButton="1">
      <filters>
        <filter val="TRUE"/>
      </filters>
    </filterColumn>
  </autoFilter>
  <mergeCells count="2">
    <mergeCell ref="A4:B4"/>
    <mergeCell ref="A1:H1"/>
  </mergeCells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2" activeCellId="0" sqref="B32"/>
    </sheetView>
  </sheetViews>
  <sheetFormatPr baseColWidth="8" defaultColWidth="8.57421875" defaultRowHeight="15" customHeight="1" zeroHeight="0" outlineLevelRow="0"/>
  <cols>
    <col width="66.56999999999999" customWidth="1" style="38" min="1" max="1"/>
    <col width="15.72" customWidth="1" style="38" min="2" max="2"/>
    <col width="11.86" customWidth="1" style="38" min="3" max="3"/>
    <col width="22" customWidth="1" style="38" min="4" max="4"/>
  </cols>
  <sheetData>
    <row r="1" ht="16.4" customHeight="1" s="39">
      <c r="A1" s="62" t="inlineStr">
        <is>
          <t>Modül</t>
        </is>
      </c>
      <c r="B1" s="62" t="inlineStr">
        <is>
          <t>Var/Yok</t>
        </is>
      </c>
      <c r="C1" s="62" t="inlineStr">
        <is>
          <t>Ekip Sayısı</t>
        </is>
      </c>
      <c r="D1" s="62" t="inlineStr">
        <is>
          <t>Grup</t>
        </is>
      </c>
    </row>
    <row r="2" ht="15" customHeight="1" s="39">
      <c r="A2" s="63" t="inlineStr">
        <is>
          <t>FI</t>
        </is>
      </c>
      <c r="B2" s="64" t="inlineStr">
        <is>
          <t>Yok</t>
        </is>
      </c>
      <c r="C2" s="64" t="n"/>
      <c r="D2" s="64" t="inlineStr">
        <is>
          <t>S4Core</t>
        </is>
      </c>
    </row>
    <row r="3" ht="15" customHeight="1" s="39">
      <c r="A3" s="63" t="inlineStr">
        <is>
          <t>CO</t>
        </is>
      </c>
      <c r="B3" s="64" t="inlineStr">
        <is>
          <t>Yok</t>
        </is>
      </c>
      <c r="C3" s="64" t="n"/>
      <c r="D3" s="64" t="inlineStr">
        <is>
          <t>S4Core</t>
        </is>
      </c>
    </row>
    <row r="4" ht="15" customHeight="1" s="39">
      <c r="A4" s="63" t="inlineStr">
        <is>
          <t>TRM</t>
        </is>
      </c>
      <c r="B4" s="64" t="inlineStr">
        <is>
          <t>Yok</t>
        </is>
      </c>
      <c r="C4" s="64" t="n"/>
      <c r="D4" s="64" t="inlineStr">
        <is>
          <t>Advanced Solution</t>
        </is>
      </c>
    </row>
    <row r="5" ht="15" customHeight="1" s="39">
      <c r="A5" s="63" t="inlineStr">
        <is>
          <t>CM</t>
        </is>
      </c>
      <c r="B5" s="64" t="inlineStr">
        <is>
          <t>Yok</t>
        </is>
      </c>
      <c r="C5" s="64" t="n"/>
      <c r="D5" s="64" t="inlineStr">
        <is>
          <t>Advanced Solution</t>
        </is>
      </c>
    </row>
    <row r="6" ht="15" customHeight="1" s="39">
      <c r="A6" s="63" t="inlineStr">
        <is>
          <t>FM</t>
        </is>
      </c>
      <c r="B6" s="64" t="inlineStr">
        <is>
          <t>Yok</t>
        </is>
      </c>
      <c r="C6" s="64" t="n"/>
      <c r="D6" s="64" t="inlineStr">
        <is>
          <t>Advanced Solution</t>
        </is>
      </c>
    </row>
    <row r="7" ht="15" customHeight="1" s="39">
      <c r="A7" s="63" t="inlineStr">
        <is>
          <t>RM</t>
        </is>
      </c>
      <c r="B7" s="64" t="inlineStr">
        <is>
          <t>Yok</t>
        </is>
      </c>
      <c r="C7" s="64" t="n"/>
      <c r="D7" s="64" t="inlineStr">
        <is>
          <t>Advanced Solution</t>
        </is>
      </c>
    </row>
    <row r="8" ht="15" customHeight="1" s="39">
      <c r="A8" s="63" t="inlineStr">
        <is>
          <t>RE/FX</t>
        </is>
      </c>
      <c r="B8" s="64" t="inlineStr">
        <is>
          <t>Yok</t>
        </is>
      </c>
      <c r="C8" s="64" t="n"/>
      <c r="D8" s="64" t="inlineStr">
        <is>
          <t>Advanced Solution</t>
        </is>
      </c>
    </row>
    <row r="9" ht="15" customHeight="1" s="39">
      <c r="A9" s="63" t="inlineStr">
        <is>
          <t>MM</t>
        </is>
      </c>
      <c r="B9" s="64" t="inlineStr">
        <is>
          <t>Yok</t>
        </is>
      </c>
      <c r="C9" s="64" t="n"/>
      <c r="D9" s="64" t="inlineStr">
        <is>
          <t>S4Core</t>
        </is>
      </c>
    </row>
    <row r="10" ht="15" customHeight="1" s="39">
      <c r="A10" s="63" t="inlineStr">
        <is>
          <t>PP</t>
        </is>
      </c>
      <c r="B10" s="64" t="inlineStr">
        <is>
          <t>Yok</t>
        </is>
      </c>
      <c r="C10" s="64" t="n"/>
      <c r="D10" s="64" t="inlineStr">
        <is>
          <t>S4Core</t>
        </is>
      </c>
    </row>
    <row r="11" ht="15" customHeight="1" s="39">
      <c r="A11" s="63" t="inlineStr">
        <is>
          <t>SD</t>
        </is>
      </c>
      <c r="B11" s="64" t="inlineStr">
        <is>
          <t>Yok</t>
        </is>
      </c>
      <c r="C11" s="64" t="n"/>
      <c r="D11" s="64" t="inlineStr">
        <is>
          <t>S4Core</t>
        </is>
      </c>
    </row>
    <row r="12" ht="15" customHeight="1" s="39">
      <c r="A12" s="63" t="inlineStr">
        <is>
          <t>QM</t>
        </is>
      </c>
      <c r="B12" s="64" t="inlineStr">
        <is>
          <t>Yok</t>
        </is>
      </c>
      <c r="C12" s="64" t="n"/>
      <c r="D12" s="64" t="inlineStr">
        <is>
          <t>S4Core</t>
        </is>
      </c>
    </row>
    <row r="13" ht="15" customHeight="1" s="39">
      <c r="A13" s="63" t="inlineStr">
        <is>
          <t>PM</t>
        </is>
      </c>
      <c r="B13" s="64" t="inlineStr">
        <is>
          <t>Yok</t>
        </is>
      </c>
      <c r="C13" s="64" t="n"/>
      <c r="D13" s="64" t="inlineStr">
        <is>
          <t>S4Core</t>
        </is>
      </c>
    </row>
    <row r="14" ht="15" customHeight="1" s="39">
      <c r="A14" s="63" t="inlineStr">
        <is>
          <t>PS</t>
        </is>
      </c>
      <c r="B14" s="64" t="inlineStr">
        <is>
          <t>Yok</t>
        </is>
      </c>
      <c r="C14" s="64" t="n"/>
      <c r="D14" s="64" t="inlineStr">
        <is>
          <t>S4Core</t>
        </is>
      </c>
    </row>
    <row r="15" ht="15" customHeight="1" s="39">
      <c r="A15" s="63" t="inlineStr">
        <is>
          <t>MII/DM</t>
        </is>
      </c>
      <c r="B15" s="64" t="inlineStr">
        <is>
          <t>Yok</t>
        </is>
      </c>
      <c r="C15" s="64" t="n"/>
      <c r="D15" s="64" t="inlineStr">
        <is>
          <t>Advanced Solution</t>
        </is>
      </c>
    </row>
    <row r="16" ht="15" customHeight="1" s="39">
      <c r="A16" s="63" t="inlineStr">
        <is>
          <t>PM Mobility</t>
        </is>
      </c>
      <c r="B16" s="64" t="inlineStr">
        <is>
          <t>Yok</t>
        </is>
      </c>
      <c r="C16" s="64" t="n"/>
      <c r="D16" s="64" t="inlineStr">
        <is>
          <t>Advanced Solution</t>
        </is>
      </c>
    </row>
    <row r="17" ht="15" customHeight="1" s="39">
      <c r="A17" s="63" t="inlineStr">
        <is>
          <t>Basic EWM</t>
        </is>
      </c>
      <c r="B17" s="64" t="inlineStr">
        <is>
          <t>Yok</t>
        </is>
      </c>
      <c r="C17" s="64" t="n"/>
      <c r="D17" s="64" t="inlineStr">
        <is>
          <t>Advanced Solution</t>
        </is>
      </c>
    </row>
    <row r="18" ht="15" customHeight="1" s="39">
      <c r="A18" s="63" t="inlineStr">
        <is>
          <t>Advanced EWM</t>
        </is>
      </c>
      <c r="B18" s="64" t="inlineStr">
        <is>
          <t>Yok</t>
        </is>
      </c>
      <c r="C18" s="64" t="n"/>
      <c r="D18" s="64" t="inlineStr">
        <is>
          <t>Advanced Solution</t>
        </is>
      </c>
    </row>
    <row r="19" ht="15" customHeight="1" s="39">
      <c r="A19" s="63" t="inlineStr">
        <is>
          <t>TM</t>
        </is>
      </c>
      <c r="B19" s="64" t="inlineStr">
        <is>
          <t>Yok</t>
        </is>
      </c>
      <c r="C19" s="64" t="n"/>
      <c r="D19" s="64" t="inlineStr">
        <is>
          <t>Advanced Solution</t>
        </is>
      </c>
    </row>
    <row r="20" ht="15" customHeight="1" s="39">
      <c r="A20" s="63" t="inlineStr">
        <is>
          <t>PPDS</t>
        </is>
      </c>
      <c r="B20" s="64" t="inlineStr">
        <is>
          <t>Yok</t>
        </is>
      </c>
      <c r="C20" s="64" t="n"/>
      <c r="D20" s="64" t="inlineStr">
        <is>
          <t>Advanced Solution</t>
        </is>
      </c>
    </row>
    <row r="21" ht="15" customHeight="1" s="39">
      <c r="A21" s="63" t="inlineStr">
        <is>
          <t>ABAP</t>
        </is>
      </c>
      <c r="B21" s="64" t="inlineStr">
        <is>
          <t>Yok</t>
        </is>
      </c>
      <c r="C21" s="64" t="n"/>
      <c r="D21" s="64" t="inlineStr">
        <is>
          <t>Advanced Solution</t>
        </is>
      </c>
    </row>
    <row r="22" ht="15" customHeight="1" s="39">
      <c r="A22" s="63" t="inlineStr">
        <is>
          <t>BASIS</t>
        </is>
      </c>
      <c r="B22" s="64" t="inlineStr">
        <is>
          <t>Yok</t>
        </is>
      </c>
      <c r="C22" s="64" t="n"/>
      <c r="D22" s="64" t="inlineStr">
        <is>
          <t>Advanced Solution</t>
        </is>
      </c>
    </row>
    <row r="23" ht="15" customHeight="1" s="39">
      <c r="A23" s="63" t="inlineStr">
        <is>
          <t>E-Fatura/Arşiv</t>
        </is>
      </c>
      <c r="B23" s="64" t="inlineStr">
        <is>
          <t>Yok</t>
        </is>
      </c>
      <c r="C23" s="64" t="n"/>
      <c r="D23" s="64" t="inlineStr">
        <is>
          <t>S4Core</t>
        </is>
      </c>
    </row>
    <row r="24" ht="15" customHeight="1" s="39">
      <c r="A24" s="63" t="inlineStr">
        <is>
          <t>E-İrsaliye</t>
        </is>
      </c>
      <c r="B24" s="64" t="inlineStr">
        <is>
          <t>Yok</t>
        </is>
      </c>
      <c r="C24" s="64" t="n"/>
      <c r="D24" s="64" t="inlineStr">
        <is>
          <t>S4Core</t>
        </is>
      </c>
    </row>
    <row r="25" ht="15" customHeight="1" s="39">
      <c r="A25" s="63" t="inlineStr">
        <is>
          <t>E-Defter</t>
        </is>
      </c>
      <c r="B25" s="64" t="inlineStr">
        <is>
          <t>Yok</t>
        </is>
      </c>
      <c r="C25" s="64" t="n"/>
      <c r="D25" s="64" t="inlineStr">
        <is>
          <t>NTT Own IP</t>
        </is>
      </c>
    </row>
    <row r="26" ht="15" customHeight="1" s="39">
      <c r="A26" s="63" t="inlineStr">
        <is>
          <t>E-Hesap Özeti</t>
        </is>
      </c>
      <c r="B26" s="64" t="inlineStr">
        <is>
          <t>Yok</t>
        </is>
      </c>
      <c r="C26" s="64" t="n"/>
      <c r="D26" s="64" t="inlineStr">
        <is>
          <t>S4Core</t>
        </is>
      </c>
    </row>
    <row r="27" ht="15" customHeight="1" s="39">
      <c r="A27" s="63" t="inlineStr">
        <is>
          <t>E-Ödeme</t>
        </is>
      </c>
      <c r="B27" s="64" t="inlineStr">
        <is>
          <t>Yok</t>
        </is>
      </c>
      <c r="C27" s="64" t="n"/>
      <c r="D27" s="64" t="inlineStr">
        <is>
          <t>S4Core</t>
        </is>
      </c>
    </row>
    <row r="28" ht="15" customHeight="1" s="39">
      <c r="A28" s="63" t="inlineStr">
        <is>
          <t>E-Mutabakat</t>
        </is>
      </c>
      <c r="B28" s="64" t="inlineStr">
        <is>
          <t>Yok</t>
        </is>
      </c>
      <c r="C28" s="64" t="n"/>
      <c r="D28" s="64" t="inlineStr">
        <is>
          <t>NTT Own IP</t>
        </is>
      </c>
    </row>
    <row r="29" ht="15" customHeight="1" s="39">
      <c r="A29" s="63" t="inlineStr">
        <is>
          <t>E-Beyanname</t>
        </is>
      </c>
      <c r="B29" s="64" t="inlineStr">
        <is>
          <t>Yok</t>
        </is>
      </c>
      <c r="C29" s="64" t="n"/>
      <c r="D29" s="64" t="inlineStr">
        <is>
          <t>NTT Own IP</t>
        </is>
      </c>
    </row>
    <row r="30" ht="15" customHeight="1" s="39">
      <c r="A30" s="63" t="inlineStr">
        <is>
          <t>Gelen Fatura Otomasyon</t>
        </is>
      </c>
      <c r="B30" s="64" t="inlineStr">
        <is>
          <t>Yok</t>
        </is>
      </c>
      <c r="C30" s="64" t="n"/>
      <c r="D30" s="64" t="inlineStr">
        <is>
          <t>NTT Own IP</t>
        </is>
      </c>
    </row>
    <row r="31" ht="15" customHeight="1" s="39">
      <c r="A31" s="63" t="inlineStr">
        <is>
          <t>GLASSWING</t>
        </is>
      </c>
      <c r="B31" s="64" t="inlineStr">
        <is>
          <t>Yok</t>
        </is>
      </c>
      <c r="C31" s="64" t="n"/>
      <c r="D31" s="64" t="inlineStr">
        <is>
          <t>NTT Own IP</t>
        </is>
      </c>
    </row>
    <row r="32" ht="15" customHeight="1" s="39">
      <c r="A32" s="63" t="inlineStr">
        <is>
          <t>COMMODITY</t>
        </is>
      </c>
      <c r="B32" s="64" t="inlineStr">
        <is>
          <t>Yok</t>
        </is>
      </c>
      <c r="C32" s="64" t="n"/>
      <c r="D32" s="64" t="inlineStr">
        <is>
          <t>NTT Own IP</t>
        </is>
      </c>
    </row>
    <row r="33" ht="15" customHeight="1" s="39">
      <c r="A33" s="63" t="inlineStr">
        <is>
          <t>Dış Ticaret Çözümü</t>
        </is>
      </c>
      <c r="B33" s="64" t="inlineStr">
        <is>
          <t>Yok</t>
        </is>
      </c>
      <c r="C33" s="64" t="n"/>
      <c r="D33" s="64" t="inlineStr">
        <is>
          <t>S4Core</t>
        </is>
      </c>
    </row>
    <row r="34" ht="15" customHeight="1" s="39">
      <c r="A34" s="63" t="inlineStr">
        <is>
          <t>Seyahat ve Masraf Yönetimi</t>
        </is>
      </c>
      <c r="B34" s="64" t="inlineStr">
        <is>
          <t>Yok</t>
        </is>
      </c>
      <c r="C34" s="64" t="n"/>
      <c r="D34" s="64" t="inlineStr">
        <is>
          <t>S4Core</t>
        </is>
      </c>
    </row>
    <row r="35" ht="15" customHeight="1" s="39">
      <c r="A35" s="63" t="inlineStr">
        <is>
          <t>NTT Data POS</t>
        </is>
      </c>
      <c r="B35" s="64" t="inlineStr">
        <is>
          <t>Yok</t>
        </is>
      </c>
      <c r="C35" s="64" t="n"/>
      <c r="D35" s="64" t="inlineStr">
        <is>
          <t>NTT Own IP</t>
        </is>
      </c>
    </row>
    <row r="36"/>
    <row r="37" ht="15" customHeight="1" s="39">
      <c r="A37" s="38" t="inlineStr">
        <is>
          <t>Not:</t>
        </is>
      </c>
    </row>
    <row r="38" ht="15" customHeight="1" s="39">
      <c r="A38" s="38" t="inlineStr">
        <is>
          <t>Varsayılan tüm modüller 'Var' gelir. Gerekmediklerini 'Yok' yapabilirsiniz.</t>
        </is>
      </c>
      <c r="B38" t="inlineStr">
        <is>
          <t>Yok</t>
        </is>
      </c>
      <c r="D38" t="inlineStr">
        <is>
          <t>S4Core</t>
        </is>
      </c>
    </row>
  </sheetData>
  <dataValidations count="1">
    <dataValidation sqref="B2:B35" showDropDown="0" showInputMessage="0" showErrorMessage="0" allowBlank="0" type="list" errorStyle="stop" operator="between">
      <formula1>"Var,Yok,Include,Exclude"</formula1>
      <formula2>0</formula2>
    </dataValidation>
  </dataValidations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8.57421875" defaultRowHeight="15" customHeight="1" zeroHeight="0" outlineLevelRow="0"/>
  <cols>
    <col width="29.29" customWidth="1" style="38" min="1" max="1"/>
    <col width="7.86" customWidth="1" style="38" min="2" max="2"/>
  </cols>
  <sheetData>
    <row r="1" ht="21" customHeight="1" s="39">
      <c r="A1" s="53">
        <f>INDEX(Translations!$D:$ZZ, MATCH(322,Translations!$A:$A,0), MATCH('Project Information'!$C$4,Translations!$D$1:$ZZ$1,0))</f>
        <v/>
      </c>
    </row>
    <row r="3" ht="16.4" customHeight="1" s="39">
      <c r="A3" s="62">
        <f>INDEX(Translations!$D:$ZZ, MATCH(323,Translations!$A:$A,0), MATCH('Project Information'!$C$4,Translations!$D$1:$ZZ$1,0))</f>
        <v/>
      </c>
      <c r="B3" s="62">
        <f>INDEX(Translations!$D:$ZZ, MATCH(68,Translations!$A:$A,0), MATCH('Project Information'!$C$4,Translations!$D$1:$ZZ$1,0))</f>
        <v/>
      </c>
    </row>
    <row r="4" ht="15" customHeight="1" s="39">
      <c r="A4" s="63">
        <f>INDEX(Translations!$D:$ZZ, MATCH(326,Translations!$A:$A,0), MATCH('Project Information'!$C$4,Translations!$D$1:$ZZ$1,0))</f>
        <v/>
      </c>
      <c r="B4" s="64" t="inlineStr">
        <is>
          <t>Yok</t>
        </is>
      </c>
    </row>
    <row r="5" ht="15" customHeight="1" s="39">
      <c r="A5" s="63">
        <f>INDEX(Translations!$D:$ZZ, MATCH(327,Translations!$A:$A,0), MATCH('Project Information'!$C$4,Translations!$D$1:$ZZ$1,0))</f>
        <v/>
      </c>
      <c r="B5" s="64" t="inlineStr">
        <is>
          <t>Yok</t>
        </is>
      </c>
    </row>
    <row r="6" ht="15" customHeight="1" s="39">
      <c r="A6" s="63">
        <f>INDEX(Translations!$D:$ZZ, MATCH(328,Translations!$A:$A,0), MATCH('Project Information'!$C$4,Translations!$D$1:$ZZ$1,0))</f>
        <v/>
      </c>
      <c r="B6" s="64" t="inlineStr">
        <is>
          <t>Yok</t>
        </is>
      </c>
    </row>
    <row r="7" ht="15" customHeight="1" s="39">
      <c r="A7" s="63">
        <f>INDEX(Translations!$D:$ZZ, MATCH(329,Translations!$A:$A,0), MATCH('Project Information'!$C$4,Translations!$D$1:$ZZ$1,0))</f>
        <v/>
      </c>
      <c r="B7" s="64" t="inlineStr">
        <is>
          <t>Yok</t>
        </is>
      </c>
    </row>
    <row r="8" ht="15" customHeight="1" s="39">
      <c r="A8" s="63">
        <f>INDEX(Translations!$D:$ZZ, MATCH(330,Translations!$A:$A,0), MATCH('Project Information'!$C$4,Translations!$D$1:$ZZ$1,0))</f>
        <v/>
      </c>
      <c r="B8" s="64" t="inlineStr">
        <is>
          <t>Yok</t>
        </is>
      </c>
    </row>
    <row r="9" ht="15" customHeight="1" s="39">
      <c r="A9" s="63">
        <f>INDEX(Translations!$D:$ZZ, MATCH(363,Translations!$A:$A,0), MATCH('Project Information'!$C$4,Translations!$D$1:$ZZ$1,0))</f>
        <v/>
      </c>
      <c r="B9" s="64" t="inlineStr">
        <is>
          <t>Yok</t>
        </is>
      </c>
    </row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25.29" customWidth="1" style="38" min="1" max="1"/>
    <col width="21.71" customWidth="1" style="38" min="2" max="2"/>
    <col width="29.86" customWidth="1" style="38" min="3" max="3"/>
    <col width="23.43" customWidth="1" style="38" min="4" max="4"/>
    <col width="25.29" customWidth="1" style="38" min="5" max="5"/>
    <col width="22.86" customWidth="1" style="38" min="6" max="6"/>
    <col width="21.71" customWidth="1" style="38" min="7" max="7"/>
  </cols>
  <sheetData>
    <row r="1" ht="16.4" customHeight="1" s="39">
      <c r="A1" s="62">
        <f>INDEX(Translations!$D:$ZZ, MATCH(67,Translations!$A:$A,0), MATCH('Project Information'!$C$4,Translations!$D$1:$ZZ$1,0))</f>
        <v/>
      </c>
      <c r="B1" s="62">
        <f>INDEX(Translations!$D:$ZZ, MATCH(294,Translations!$A:$A,0), MATCH('Project Information'!$C$4,Translations!$D$1:$ZZ$1,0))</f>
        <v/>
      </c>
      <c r="C1" s="62">
        <f>INDEX(Translations!$D:$ZZ, MATCH(295,Translations!$A:$A,0), MATCH('Project Information'!$C$4,Translations!$D$1:$ZZ$1,0))</f>
        <v/>
      </c>
      <c r="D1" s="62">
        <f>INDEX(Translations!$D:$ZZ, MATCH(296,Translations!$A:$A,0), MATCH('Project Information'!$C$4,Translations!$D$1:$ZZ$1,0))</f>
        <v/>
      </c>
      <c r="E1" s="62">
        <f>INDEX(Translations!$D:$ZZ, MATCH(297,Translations!$A:$A,0), MATCH('Project Information'!$C$4,Translations!$D$1:$ZZ$1,0))</f>
        <v/>
      </c>
      <c r="F1" s="62">
        <f>INDEX(Translations!$D:$ZZ, MATCH(298,Translations!$A:$A,0), MATCH('Project Information'!$C$4,Translations!$D$1:$ZZ$1,0))</f>
        <v/>
      </c>
      <c r="G1" s="62">
        <f>INDEX(Translations!$D:$ZZ, MATCH(299,Translations!$A:$A,0), MATCH('Project Information'!$C$4,Translations!$D$1:$ZZ$1,0))</f>
        <v/>
      </c>
    </row>
    <row r="2" ht="15" customHeight="1" s="39">
      <c r="A2" s="63">
        <f>IF(OR('Module Selection'!$B$2="Var",'Module Selection'!$B$2="Include"),'Module Selection'!$A$2,"")</f>
        <v/>
      </c>
      <c r="B2" s="64" t="n">
        <v>2</v>
      </c>
      <c r="C2" s="64" t="n">
        <v>5</v>
      </c>
      <c r="D2" s="64" t="n">
        <v>1</v>
      </c>
      <c r="E2" s="64" t="n">
        <v>1</v>
      </c>
      <c r="F2" s="64" t="n">
        <v>60</v>
      </c>
      <c r="G2" s="64">
        <f>IF($A2="","",IF(COUNTA(B2:E2)=0,0,PRODUCT(B2:E2)))</f>
        <v/>
      </c>
    </row>
    <row r="3" ht="15" customHeight="1" s="39">
      <c r="A3" s="63">
        <f>IF(OR('Module Selection'!$B$3="Var",'Module Selection'!$B$3="Include"),'Module Selection'!$A$3,"")</f>
        <v/>
      </c>
      <c r="B3" s="64" t="n">
        <v>2</v>
      </c>
      <c r="C3" s="64" t="n">
        <v>5</v>
      </c>
      <c r="D3" s="64" t="n">
        <v>1</v>
      </c>
      <c r="E3" s="64" t="n">
        <v>1</v>
      </c>
      <c r="F3" s="64" t="n">
        <v>40</v>
      </c>
      <c r="G3" s="64">
        <f>IF($A3="","",IF(COUNTA(B3:E3)=0,0,PRODUCT(B3:E3)))</f>
        <v/>
      </c>
    </row>
    <row r="4" ht="15" customHeight="1" s="39">
      <c r="A4" s="63">
        <f>IF(OR('Module Selection'!$B$4="Var",'Module Selection'!$B$4="Include"),'Module Selection'!$A$4,"")</f>
        <v/>
      </c>
      <c r="B4" s="64" t="n"/>
      <c r="C4" s="64" t="n"/>
      <c r="D4" s="64" t="n"/>
      <c r="E4" s="64" t="n"/>
      <c r="F4" s="64" t="n"/>
      <c r="G4" s="64">
        <f>IF($A4="","",IF(COUNTA(B4:E4)=0,0,PRODUCT(B4:E4)))</f>
        <v/>
      </c>
    </row>
    <row r="5" ht="15" customHeight="1" s="39">
      <c r="A5" s="63">
        <f>IF(OR('Module Selection'!$B$5="Var",'Module Selection'!$B$5="Include"),'Module Selection'!$A$5,"")</f>
        <v/>
      </c>
      <c r="B5" s="64" t="n">
        <v>1</v>
      </c>
      <c r="C5" s="64" t="n">
        <v>4</v>
      </c>
      <c r="D5" s="64" t="n">
        <v>1</v>
      </c>
      <c r="E5" s="64" t="n">
        <v>1</v>
      </c>
      <c r="F5" s="64" t="n">
        <v>15</v>
      </c>
      <c r="G5" s="64">
        <f>IF($A5="","",IF(COUNTA(B5:E5)=0,0,PRODUCT(B5:E5)))</f>
        <v/>
      </c>
    </row>
    <row r="6" ht="15" customHeight="1" s="39">
      <c r="A6" s="63">
        <f>IF(OR('Module Selection'!$B$6="Var",'Module Selection'!$B$6="Include"),'Module Selection'!$A$6,"")</f>
        <v/>
      </c>
      <c r="B6" s="64" t="n"/>
      <c r="C6" s="64" t="n"/>
      <c r="D6" s="64" t="n"/>
      <c r="E6" s="64" t="n"/>
      <c r="F6" s="64" t="n"/>
      <c r="G6" s="64">
        <f>IF($A6="","",IF(COUNTA(B6:E6)=0,0,PRODUCT(B6:E6)))</f>
        <v/>
      </c>
    </row>
    <row r="7" ht="15" customHeight="1" s="39">
      <c r="A7" s="63">
        <f>IF(OR('Module Selection'!$B$7="Var",'Module Selection'!$B$7="Include"),'Module Selection'!$A$7,"")</f>
        <v/>
      </c>
      <c r="B7" s="64" t="n"/>
      <c r="C7" s="64" t="n"/>
      <c r="D7" s="64" t="n"/>
      <c r="E7" s="64" t="n"/>
      <c r="F7" s="64" t="n"/>
      <c r="G7" s="64">
        <f>IF($A7="","",IF(COUNTA(B7:E7)=0,0,PRODUCT(B7:E7)))</f>
        <v/>
      </c>
    </row>
    <row r="8" ht="15" customHeight="1" s="39">
      <c r="A8" s="63">
        <f>IF(OR('Module Selection'!$B$8="Var",'Module Selection'!$B$8="Include"),'Module Selection'!$A$8,"")</f>
        <v/>
      </c>
      <c r="B8" s="64" t="n"/>
      <c r="C8" s="64" t="n"/>
      <c r="D8" s="64" t="n"/>
      <c r="E8" s="64" t="n"/>
      <c r="F8" s="64" t="n"/>
      <c r="G8" s="64">
        <f>IF($A8="","",IF(COUNTA(B8:E8)=0,0,PRODUCT(B8:E8)))</f>
        <v/>
      </c>
    </row>
    <row r="9" ht="15" customHeight="1" s="39">
      <c r="A9" s="63">
        <f>IF(OR('Module Selection'!$B$9="Var",'Module Selection'!$B$9="Include"),'Module Selection'!$A$9,"")</f>
        <v/>
      </c>
      <c r="B9" s="64" t="n">
        <v>2</v>
      </c>
      <c r="C9" s="64" t="n">
        <v>14</v>
      </c>
      <c r="D9" s="64" t="n">
        <v>1</v>
      </c>
      <c r="E9" s="64" t="n">
        <v>1</v>
      </c>
      <c r="F9" s="64" t="n">
        <v>80</v>
      </c>
      <c r="G9" s="64">
        <f>IF($A9="","",IF(COUNTA(B9:E9)=0,0,PRODUCT(B9:E9)))</f>
        <v/>
      </c>
    </row>
    <row r="10" ht="15" customHeight="1" s="39">
      <c r="A10" s="63">
        <f>IF(OR('Module Selection'!$B$10="Var",'Module Selection'!$B$10="Include"),'Module Selection'!$A$10,"")</f>
        <v/>
      </c>
      <c r="B10" s="64" t="n">
        <v>2</v>
      </c>
      <c r="C10" s="64" t="n">
        <v>14</v>
      </c>
      <c r="D10" s="64" t="n">
        <v>1</v>
      </c>
      <c r="E10" s="64" t="n">
        <v>1</v>
      </c>
      <c r="F10" s="64" t="n">
        <v>80</v>
      </c>
      <c r="G10" s="64">
        <f>IF($A10="","",IF(COUNTA(B10:E10)=0,0,PRODUCT(B10:E10)))</f>
        <v/>
      </c>
    </row>
    <row r="11" ht="15" customHeight="1" s="39">
      <c r="A11" s="63">
        <f>IF(OR('Module Selection'!$B$11="Var",'Module Selection'!$B$11="Include"),'Module Selection'!$A$11,"")</f>
        <v/>
      </c>
      <c r="B11" s="64" t="n">
        <v>2</v>
      </c>
      <c r="C11" s="64" t="n">
        <v>14</v>
      </c>
      <c r="D11" s="64" t="n">
        <v>1</v>
      </c>
      <c r="E11" s="64" t="n">
        <v>1</v>
      </c>
      <c r="F11" s="64" t="n">
        <v>80</v>
      </c>
      <c r="G11" s="64">
        <f>IF($A11="","",IF(COUNTA(B11:E11)=0,0,PRODUCT(B11:E11)))</f>
        <v/>
      </c>
    </row>
    <row r="12" ht="15" customHeight="1" s="39">
      <c r="A12" s="63">
        <f>IF(OR('Module Selection'!$B$12="Var",'Module Selection'!$B$12="Include"),'Module Selection'!$A$12,"")</f>
        <v/>
      </c>
      <c r="B12" s="64" t="n">
        <v>2</v>
      </c>
      <c r="C12" s="64" t="n">
        <v>14</v>
      </c>
      <c r="D12" s="64" t="n">
        <v>1</v>
      </c>
      <c r="E12" s="64" t="n">
        <v>1</v>
      </c>
      <c r="F12" s="64" t="n">
        <v>60</v>
      </c>
      <c r="G12" s="64">
        <f>IF($A12="","",IF(COUNTA(B12:E12)=0,0,PRODUCT(B12:E12)))</f>
        <v/>
      </c>
    </row>
    <row r="13" ht="15" customHeight="1" s="39">
      <c r="A13" s="63">
        <f>IF(OR('Module Selection'!$B$13="Var",'Module Selection'!$B$13="Include"),'Module Selection'!$A$13,"")</f>
        <v/>
      </c>
      <c r="B13" s="64" t="n">
        <v>2</v>
      </c>
      <c r="C13" s="64" t="n">
        <v>6</v>
      </c>
      <c r="D13" s="64" t="n">
        <v>1</v>
      </c>
      <c r="E13" s="64" t="n">
        <v>1</v>
      </c>
      <c r="F13" s="64" t="n">
        <v>30</v>
      </c>
      <c r="G13" s="64">
        <f>IF($A13="","",IF(COUNTA(B13:E13)=0,0,PRODUCT(B13:E13)))</f>
        <v/>
      </c>
    </row>
    <row r="14" ht="15" customHeight="1" s="39">
      <c r="A14" s="63">
        <f>IF(OR('Module Selection'!$B$14="Var",'Module Selection'!$B$14="Include"),'Module Selection'!$A$14,"")</f>
        <v/>
      </c>
      <c r="B14" s="64" t="n">
        <v>2</v>
      </c>
      <c r="C14" s="64" t="n">
        <v>6</v>
      </c>
      <c r="D14" s="64" t="n">
        <v>1</v>
      </c>
      <c r="E14" s="64" t="n">
        <v>1</v>
      </c>
      <c r="F14" s="64" t="n">
        <v>30</v>
      </c>
      <c r="G14" s="64">
        <f>IF($A14="","",IF(COUNTA(B14:E14)=0,0,PRODUCT(B14:E14)))</f>
        <v/>
      </c>
    </row>
    <row r="15" ht="15" customHeight="1" s="39">
      <c r="A15" s="63">
        <f>IF(OR('Module Selection'!$B$15="Var",'Module Selection'!$B$15="Include"),'Module Selection'!$A$15,"")</f>
        <v/>
      </c>
      <c r="B15" s="64" t="n">
        <v>2</v>
      </c>
      <c r="C15" s="64" t="n">
        <v>14</v>
      </c>
      <c r="D15" s="64" t="n">
        <v>1</v>
      </c>
      <c r="E15" s="64" t="n">
        <v>1</v>
      </c>
      <c r="F15" s="64" t="n">
        <v>60</v>
      </c>
      <c r="G15" s="64">
        <f>IF($A15="","",IF(COUNTA(B15:E15)=0,0,PRODUCT(B15:E15)))</f>
        <v/>
      </c>
    </row>
    <row r="16" ht="15" customHeight="1" s="39">
      <c r="A16" s="63">
        <f>IF(OR('Module Selection'!$B$16="Var",'Module Selection'!$B$16="Include"),'Module Selection'!$A$16,"")</f>
        <v/>
      </c>
      <c r="B16" s="64" t="n"/>
      <c r="C16" s="64" t="n"/>
      <c r="D16" s="64" t="n"/>
      <c r="E16" s="64" t="n"/>
      <c r="F16" s="64" t="n"/>
      <c r="G16" s="64">
        <f>IF($A16="","",IF(COUNTA(B16:E16)=0,0,PRODUCT(B16:E16)))</f>
        <v/>
      </c>
    </row>
    <row r="17" ht="15" customHeight="1" s="39">
      <c r="A17" s="63">
        <f>IF(OR('Module Selection'!$B$17="Var",'Module Selection'!$B$17="Include"),'Module Selection'!$A$17,"")</f>
        <v/>
      </c>
      <c r="B17" s="64" t="n"/>
      <c r="C17" s="64" t="n"/>
      <c r="D17" s="64" t="n"/>
      <c r="E17" s="64" t="n"/>
      <c r="F17" s="64" t="n"/>
      <c r="G17" s="64">
        <f>IF($A17="","",IF(COUNTA(B17:E17)=0,0,PRODUCT(B17:E17)))</f>
        <v/>
      </c>
    </row>
    <row r="18" ht="15" customHeight="1" s="39">
      <c r="A18" s="63">
        <f>IF(OR('Module Selection'!$B$18="Var",'Module Selection'!$B$18="Include"),'Module Selection'!$A$18,"")</f>
        <v/>
      </c>
      <c r="B18" s="64" t="n"/>
      <c r="C18" s="64" t="n"/>
      <c r="D18" s="64" t="n"/>
      <c r="E18" s="64" t="n"/>
      <c r="F18" s="64" t="n"/>
      <c r="G18" s="64">
        <f>IF($A18="","",IF(COUNTA(B18:E18)=0,0,PRODUCT(B18:E18)))</f>
        <v/>
      </c>
    </row>
    <row r="19" ht="15" customHeight="1" s="39">
      <c r="A19" s="63">
        <f>IF(OR('Module Selection'!$B$19="Var",'Module Selection'!$B$19="Include"),'Module Selection'!$A$19,"")</f>
        <v/>
      </c>
      <c r="B19" s="64" t="n">
        <v>2</v>
      </c>
      <c r="C19" s="64" t="n">
        <v>4</v>
      </c>
      <c r="D19" s="64" t="n">
        <v>1</v>
      </c>
      <c r="E19" s="64" t="n">
        <v>1</v>
      </c>
      <c r="F19" s="64" t="n">
        <v>5</v>
      </c>
      <c r="G19" s="64">
        <f>IF($A19="","",IF(COUNTA(B19:E19)=0,0,PRODUCT(B19:E19)))</f>
        <v/>
      </c>
    </row>
    <row r="20" ht="15" customHeight="1" s="39">
      <c r="A20" s="63">
        <f>IF(OR('Module Selection'!$B$20="Var",'Module Selection'!$B$20="Include"),'Module Selection'!$A$20,"")</f>
        <v/>
      </c>
      <c r="B20" s="64" t="n">
        <v>2</v>
      </c>
      <c r="C20" s="64" t="n">
        <v>5</v>
      </c>
      <c r="D20" s="64" t="n">
        <v>1</v>
      </c>
      <c r="E20" s="64" t="n">
        <v>1</v>
      </c>
      <c r="F20" s="64" t="n">
        <v>15</v>
      </c>
      <c r="G20" s="64">
        <f>IF($A20="","",IF(COUNTA(B20:E20)=0,0,PRODUCT(B20:E20)))</f>
        <v/>
      </c>
    </row>
    <row r="21" ht="15" customHeight="1" s="39">
      <c r="A21" s="63">
        <f>IF(OR('Module Selection'!$B$21="Var",'Module Selection'!$B$21="Include"),'Module Selection'!$A$21,"")</f>
        <v/>
      </c>
      <c r="B21" s="64" t="n">
        <v>2</v>
      </c>
      <c r="C21" s="64" t="n">
        <v>5</v>
      </c>
      <c r="D21" s="64" t="n">
        <v>1</v>
      </c>
      <c r="E21" s="64" t="n">
        <v>1</v>
      </c>
      <c r="F21" s="64" t="n">
        <v>15</v>
      </c>
      <c r="G21" s="64">
        <f>IF($A21="","",IF(COUNTA(B21:E21)=0,0,PRODUCT(B21:E21)))</f>
        <v/>
      </c>
    </row>
    <row r="22" ht="15" customHeight="1" s="39">
      <c r="A22" s="63">
        <f>IF(OR('Module Selection'!$B$22="Var",'Module Selection'!$B$22="Include"),'Module Selection'!$A$22,"")</f>
        <v/>
      </c>
      <c r="B22" s="64" t="n">
        <v>1</v>
      </c>
      <c r="C22" s="64" t="n">
        <v>5</v>
      </c>
      <c r="D22" s="64" t="n">
        <v>1</v>
      </c>
      <c r="E22" s="64" t="n">
        <v>1</v>
      </c>
      <c r="F22" s="64" t="n">
        <v>15</v>
      </c>
      <c r="G22" s="64">
        <f>IF($A22="","",IF(COUNTA(B22:E22)=0,0,PRODUCT(B22:E22)))</f>
        <v/>
      </c>
    </row>
    <row r="23" ht="15" customHeight="1" s="39">
      <c r="A23" s="63">
        <f>IF(OR('Module Selection'!$B$23="Var",'Module Selection'!$B$23="Include"),'Module Selection'!$A$23,"")</f>
        <v/>
      </c>
      <c r="B23" s="64" t="n"/>
      <c r="C23" s="64" t="n"/>
      <c r="D23" s="64" t="n"/>
      <c r="E23" s="64" t="n"/>
      <c r="F23" s="64" t="n"/>
      <c r="G23" s="64">
        <f>IF($A23="","",IF(COUNTA(B23:E23)=0,0,PRODUCT(B23:E23)))</f>
        <v/>
      </c>
    </row>
    <row r="24" ht="15" customHeight="1" s="39">
      <c r="A24" s="63">
        <f>IF(OR('Module Selection'!$B$24="Var",'Module Selection'!$B$24="Include"),'Module Selection'!$A$24,"")</f>
        <v/>
      </c>
      <c r="B24" s="64" t="n"/>
      <c r="C24" s="64" t="n"/>
      <c r="D24" s="64" t="n"/>
      <c r="E24" s="64" t="n"/>
      <c r="F24" s="64" t="n"/>
      <c r="G24" s="64">
        <f>IF($A24="","",IF(COUNTA(B24:E24)=0,0,PRODUCT(B24:E24)))</f>
        <v/>
      </c>
    </row>
    <row r="25" ht="15" customHeight="1" s="39">
      <c r="A25" s="63">
        <f>IF(OR('Module Selection'!$B$25="Var",'Module Selection'!$B$25="Include"),'Module Selection'!$A$25,"")</f>
        <v/>
      </c>
      <c r="B25" s="64" t="n">
        <v>2</v>
      </c>
      <c r="C25" s="64" t="n">
        <v>3</v>
      </c>
      <c r="D25" s="64" t="n">
        <v>1</v>
      </c>
      <c r="E25" s="64" t="n">
        <v>1</v>
      </c>
      <c r="F25" s="64" t="n">
        <v>15</v>
      </c>
      <c r="G25" s="64">
        <f>IF($A25="","",IF(COUNTA(B25:E25)=0,0,PRODUCT(B25:E25)))</f>
        <v/>
      </c>
    </row>
    <row r="26" ht="15" customHeight="1" s="39">
      <c r="A26" s="63">
        <f>IF(OR('Module Selection'!$B$26="Var",'Module Selection'!$B$26="Include"),'Module Selection'!$A$26,"")</f>
        <v/>
      </c>
      <c r="B26" s="64" t="n">
        <v>2</v>
      </c>
      <c r="C26" s="64" t="n">
        <v>3</v>
      </c>
      <c r="D26" s="64" t="n">
        <v>1</v>
      </c>
      <c r="E26" s="64" t="n">
        <v>1</v>
      </c>
      <c r="F26" s="64" t="n">
        <v>15</v>
      </c>
      <c r="G26" s="64">
        <f>IF($A26="","",IF(COUNTA(B26:E26)=0,0,PRODUCT(B26:E26)))</f>
        <v/>
      </c>
    </row>
    <row r="27" ht="15" customHeight="1" s="39">
      <c r="A27" s="63">
        <f>IF(OR('Module Selection'!$B$27="Var",'Module Selection'!$B$27="Include"),'Module Selection'!$A$27,"")</f>
        <v/>
      </c>
      <c r="B27" s="64" t="n"/>
      <c r="C27" s="64" t="n"/>
      <c r="D27" s="64" t="n"/>
      <c r="E27" s="64" t="n"/>
      <c r="F27" s="64" t="n"/>
      <c r="G27" s="64">
        <f>IF($A27="","",IF(COUNTA(B27:E27)=0,0,PRODUCT(B27:E27)))</f>
        <v/>
      </c>
    </row>
    <row r="28" ht="15" customHeight="1" s="39">
      <c r="A28" s="63">
        <f>IF(OR('Module Selection'!$B$28="Var",'Module Selection'!$B$28="Include"),'Module Selection'!$A$28,"")</f>
        <v/>
      </c>
      <c r="B28" s="64" t="n"/>
      <c r="C28" s="64" t="n"/>
      <c r="D28" s="64" t="n"/>
      <c r="E28" s="64" t="n"/>
      <c r="F28" s="64" t="n"/>
      <c r="G28" s="64">
        <f>IF($A28="","",IF(COUNTA(B28:E28)=0,0,PRODUCT(B28:E28)))</f>
        <v/>
      </c>
    </row>
    <row r="29" ht="15" customHeight="1" s="39">
      <c r="A29" s="63">
        <f>IF(OR('Module Selection'!$B$29="Var",'Module Selection'!$B$29="Include"),'Module Selection'!$A$29,"")</f>
        <v/>
      </c>
      <c r="B29" s="64" t="n"/>
      <c r="C29" s="64" t="n"/>
      <c r="D29" s="64" t="n"/>
      <c r="E29" s="64" t="n"/>
      <c r="F29" s="64" t="n"/>
      <c r="G29" s="64">
        <f>IF($A29="","",IF(COUNTA(B29:E29)=0,0,PRODUCT(B29:E29)))</f>
        <v/>
      </c>
    </row>
    <row r="30" ht="15" customHeight="1" s="39">
      <c r="A30" s="63">
        <f>IF(OR('Module Selection'!$B$30="Var",'Module Selection'!$B$30="Include"),'Module Selection'!$A$30,"")</f>
        <v/>
      </c>
      <c r="B30" s="64" t="n"/>
      <c r="C30" s="64" t="n"/>
      <c r="D30" s="64" t="n"/>
      <c r="E30" s="64" t="n"/>
      <c r="F30" s="64" t="n"/>
      <c r="G30" s="64">
        <f>IF($A30="","",IF(COUNTA(B30:E30)=0,0,PRODUCT(B30:E30)))</f>
        <v/>
      </c>
    </row>
    <row r="31" ht="15" customHeight="1" s="39">
      <c r="A31" s="63">
        <f>IF(OR('Module Selection'!$B$31="Var",'Module Selection'!$B$31="Include"),'Module Selection'!$A$31,"")</f>
        <v/>
      </c>
      <c r="B31" s="64" t="n">
        <v>1</v>
      </c>
      <c r="C31" s="64" t="n">
        <v>5</v>
      </c>
      <c r="D31" s="64" t="n">
        <v>1</v>
      </c>
      <c r="E31" s="64" t="n">
        <v>1</v>
      </c>
      <c r="F31" s="64" t="n">
        <v>15</v>
      </c>
      <c r="G31" s="64">
        <f>IF($A31="","",IF(COUNTA(B31:E31)=0,0,PRODUCT(B31:E31)))</f>
        <v/>
      </c>
    </row>
    <row r="32" ht="15" customHeight="1" s="39">
      <c r="A32" s="63">
        <f>IF(OR('Module Selection'!$B$32="Var",'Module Selection'!$B$32="Include"),'Module Selection'!$A$32,"")</f>
        <v/>
      </c>
      <c r="B32" s="64" t="n"/>
      <c r="C32" s="64" t="n"/>
      <c r="D32" s="64" t="n"/>
      <c r="E32" s="64" t="n"/>
      <c r="F32" s="64" t="n"/>
      <c r="G32" s="64">
        <f>IF($A32="","",IF(COUNTA(B32:E32)=0,0,PRODUCT(B32:E32)))</f>
        <v/>
      </c>
    </row>
    <row r="33" ht="15" customHeight="1" s="39">
      <c r="A33" s="63">
        <f>IF(OR('Module Selection'!$B$33="Var",'Module Selection'!$B$33="Include"),'Module Selection'!$A$33,"")</f>
        <v/>
      </c>
      <c r="B33" s="64" t="n"/>
      <c r="C33" s="64" t="n"/>
      <c r="D33" s="64" t="n"/>
      <c r="E33" s="64" t="n"/>
      <c r="F33" s="64" t="n"/>
      <c r="G33" s="64">
        <f>IF($A33="","",IF(COUNTA(B33:E33)=0,0,PRODUCT(B33:E33)))</f>
        <v/>
      </c>
    </row>
    <row r="34" ht="15" customHeight="1" s="39">
      <c r="A34" s="63">
        <f>IF(OR('Module Selection'!$B$34="Var",'Module Selection'!$B$34="Include"),'Module Selection'!$A$34,"")</f>
        <v/>
      </c>
      <c r="B34" s="64" t="n"/>
      <c r="C34" s="64" t="n"/>
      <c r="D34" s="64" t="n"/>
      <c r="E34" s="64" t="n"/>
      <c r="F34" s="64" t="n"/>
      <c r="G34" s="64">
        <f>IF($A34="","",IF(COUNTA(B34:E34)=0,0,PRODUCT(B34:E34)))</f>
        <v/>
      </c>
    </row>
    <row r="35" ht="15" customHeight="1" s="39">
      <c r="A35" s="63">
        <f>IF(OR('Module Selection'!$B$35="Var",'Module Selection'!$B$35="Include"),'Module Selection'!$A$35,"")</f>
        <v/>
      </c>
      <c r="B35" s="64" t="n"/>
      <c r="C35" s="64" t="n"/>
      <c r="D35" s="64" t="n"/>
      <c r="E35" s="64" t="n"/>
      <c r="F35" s="64" t="n"/>
      <c r="G35" s="64">
        <f>IF($A35="","",IF(COUNTA(B35:E35)=0,0,PRODUCT(B35:E35)))</f>
        <v/>
      </c>
    </row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N668"/>
  <sheetViews>
    <sheetView showFormulas="0" showGridLines="1" showRowColHeaders="1" showZeros="1" rightToLeft="0" tabSelected="0" showOutlineSymbols="1" defaultGridColor="1" view="normal" topLeftCell="A40" colorId="64" zoomScale="85" zoomScaleNormal="85" zoomScalePageLayoutView="100" workbookViewId="0">
      <selection pane="topLeft" activeCell="A76" activeCellId="0" sqref="A76"/>
    </sheetView>
  </sheetViews>
  <sheetFormatPr baseColWidth="8" defaultColWidth="8.57421875" defaultRowHeight="15" customHeight="1" zeroHeight="0" outlineLevelRow="0"/>
  <cols>
    <col width="57.86" customWidth="1" style="38" min="1" max="1"/>
    <col width="8.43" customWidth="1" style="38" min="2" max="2"/>
    <col width="14.71" customWidth="1" style="38" min="3" max="3"/>
    <col width="8.859999999999999" customWidth="1" style="38" min="4" max="4"/>
    <col width="13.14" customWidth="1" style="38" min="5" max="5"/>
    <col width="15.57" customWidth="1" style="38" min="7" max="7"/>
    <col width="12.86" customWidth="1" style="38" min="8" max="8"/>
    <col width="26.57" customWidth="1" style="38" min="9" max="9"/>
    <col width="19.15" customWidth="1" style="38" min="10" max="10"/>
    <col width="15.86" customWidth="1" style="38" min="11" max="11"/>
    <col width="28.43" customWidth="1" style="38" min="12" max="12"/>
    <col width="16.86" customWidth="1" style="38" min="13" max="13"/>
    <col width="17.14" customWidth="1" style="38" min="14" max="14"/>
    <col width="12.43" customWidth="1" style="38" min="15" max="15"/>
    <col width="14.71" customWidth="1" style="38" min="16" max="16"/>
    <col width="13" customWidth="1" style="38" min="17" max="31"/>
    <col hidden="1" width="2" customWidth="1" style="38" min="32" max="32"/>
    <col width="12" customWidth="1" style="38" min="33" max="33"/>
    <col hidden="1" width="2" customWidth="1" style="38" min="34" max="40"/>
    <col width="13" customWidth="1" style="38" min="41" max="41"/>
    <col hidden="1" width="13" customWidth="1" style="38" min="52" max="66"/>
  </cols>
  <sheetData>
    <row r="1" ht="15" customHeight="1" s="39">
      <c r="A1" s="38">
        <f>INDEX(Translations!$D:$ZZ, MATCH(67,Translations!$A:$A,0), MATCH('Project Information'!$C$4,Translations!$D$1:$ZZ$1,0))</f>
        <v/>
      </c>
      <c r="B1" s="38">
        <f>INDEX(Translations!$D:$ZZ, MATCH(75,Translations!$A:$A,0), MATCH('Project Information'!$C$4,Translations!$D$1:$ZZ$1,0))</f>
        <v/>
      </c>
      <c r="C1" s="38">
        <f>INDEX(Translations!$D:$ZZ, MATCH(76,Translations!$A:$A,0), MATCH('Project Information'!$C$4,Translations!$D$1:$ZZ$1,0))</f>
        <v/>
      </c>
      <c r="D1" s="38">
        <f>INDEX(Translations!$D:$ZZ, MATCH(77,Translations!$A:$A,0), MATCH('Project Information'!$C$4,Translations!$D$1:$ZZ$1,0))</f>
        <v/>
      </c>
      <c r="E1" s="38">
        <f>INDEX(Translations!$D:$ZZ, MATCH(78,Translations!$A:$A,0), MATCH('Project Information'!$C$4,Translations!$D$1:$ZZ$1,0))</f>
        <v/>
      </c>
      <c r="F1" s="38">
        <f>INDEX(Translations!$D:$ZZ, MATCH(79,Translations!$A:$A,0), MATCH('Project Information'!$C$4,Translations!$D$1:$ZZ$1,0))</f>
        <v/>
      </c>
      <c r="G1" s="38">
        <f>INDEX(Translations!$D:$ZZ, MATCH(80,Translations!$A:$A,0), MATCH('Project Information'!$C$4,Translations!$D$1:$ZZ$1,0))</f>
        <v/>
      </c>
      <c r="H1" s="38">
        <f>INDEX(Translations!$D:$ZZ, MATCH(81,Translations!$A:$A,0), MATCH('Project Information'!$C$4,Translations!$D$1:$ZZ$1,0))</f>
        <v/>
      </c>
      <c r="I1" s="38">
        <f>INDEX(Translations!$D:$ZZ, MATCH(82,Translations!$A:$A,0), MATCH('Project Information'!$C$4,Translations!$D$1:$ZZ$1,0))</f>
        <v/>
      </c>
      <c r="J1" s="38">
        <f>INDEX(Translations!$D:$ZZ, MATCH(83,Translations!$A:$A,0), MATCH('Project Information'!$C$4,Translations!$D$1:$ZZ$1,0))</f>
        <v/>
      </c>
      <c r="K1" s="38">
        <f>INDEX(Translations!$D:$ZZ, MATCH(84,Translations!$A:$A,0), MATCH('Project Information'!$C$4,Translations!$D$1:$ZZ$1,0))</f>
        <v/>
      </c>
      <c r="L1" s="38">
        <f>INDEX(Translations!$D:$ZZ, MATCH(85,Translations!$A:$A,0), MATCH('Project Information'!$C$4,Translations!$D$1:$ZZ$1,0))</f>
        <v/>
      </c>
      <c r="M1" s="38">
        <f>INDEX(Translations!$D:$ZZ, MATCH(86,Translations!$A:$A,0), MATCH('Project Information'!$C$4,Translations!$D$1:$ZZ$1,0))</f>
        <v/>
      </c>
      <c r="N1" s="38">
        <f>INDEX(Translations!$D:$ZZ, MATCH(87,Translations!$A:$A,0), MATCH('Project Information'!$C$4,Translations!$D$1:$ZZ$1,0))</f>
        <v/>
      </c>
      <c r="O1" s="38">
        <f>INDEX(Translations!$D:$ZZ, MATCH(88,Translations!$A:$A,0), MATCH('Project Information'!$C$4,Translations!$D$1:$ZZ$1,0))</f>
        <v/>
      </c>
      <c r="P1" s="38">
        <f>INDEX(Translations!$D:$ZZ, MATCH(89,Translations!$A:$A,0), MATCH('Project Information'!$C$4,Translations!$D$1:$ZZ$1,0))</f>
        <v/>
      </c>
      <c r="Q1" s="38">
        <f>INDEX(Translations!$D:$ZZ, MATCH(90,Translations!$A:$A,0), MATCH('Project Information'!$C$4,Translations!$D$1:$ZZ$1,0))</f>
        <v/>
      </c>
      <c r="AZ1" s="38">
        <f>INDEX(Translations!$D:$ZZ, MATCH(300,Translations!$A:$A,0), MATCH('Project Information'!$C$4,Translations!$D$1:$ZZ$1,0))</f>
        <v/>
      </c>
      <c r="BA1" s="38">
        <f>INDEX(Translations!$D:$ZZ, MATCH(276,Translations!$A:$A,0), MATCH('Project Information'!$C$4,Translations!$D$1:$ZZ$1,0))</f>
        <v/>
      </c>
      <c r="BB1" s="38">
        <f>INDEX(Translations!$D:$ZZ, MATCH(67,Translations!$A:$A,0), MATCH('Project Information'!$C$4,Translations!$D$1:$ZZ$1,0))</f>
        <v/>
      </c>
      <c r="BC1" s="38">
        <f>INDEX(Translations!$D:$ZZ, MATCH(301,Translations!$A:$A,0), MATCH('Project Information'!$C$4,Translations!$D$1:$ZZ$1,0))</f>
        <v/>
      </c>
      <c r="BD1" s="38">
        <f>INDEX(Translations!$D:$ZZ, MATCH(302,Translations!$A:$A,0), MATCH('Project Information'!$C$4,Translations!$D$1:$ZZ$1,0))</f>
        <v/>
      </c>
      <c r="BE1" s="38">
        <f>INDEX(Translations!$D:$ZZ, MATCH(303,Translations!$A:$A,0), MATCH('Project Information'!$C$4,Translations!$D$1:$ZZ$1,0))</f>
        <v/>
      </c>
      <c r="BF1" s="38">
        <f>INDEX(Translations!$D:$ZZ, MATCH(304,Translations!$A:$A,0), MATCH('Project Information'!$C$4,Translations!$D$1:$ZZ$1,0))</f>
        <v/>
      </c>
      <c r="BH1" s="38">
        <f>INDEX(Translations!$D:$ZZ, MATCH(300,Translations!$A:$A,0), MATCH('Project Information'!$C$4,Translations!$D$1:$ZZ$1,0))</f>
        <v/>
      </c>
      <c r="BI1" s="38">
        <f>INDEX(Translations!$D:$ZZ, MATCH(276,Translations!$A:$A,0), MATCH('Project Information'!$C$4,Translations!$D$1:$ZZ$1,0))</f>
        <v/>
      </c>
      <c r="BJ1" s="38">
        <f>INDEX(Translations!$D:$ZZ, MATCH(67,Translations!$A:$A,0), MATCH('Project Information'!$C$4,Translations!$D$1:$ZZ$1,0))</f>
        <v/>
      </c>
      <c r="BK1" s="38">
        <f>INDEX(Translations!$D:$ZZ, MATCH(301,Translations!$A:$A,0), MATCH('Project Information'!$C$4,Translations!$D$1:$ZZ$1,0))</f>
        <v/>
      </c>
      <c r="BL1" s="38">
        <f>INDEX(Translations!$D:$ZZ, MATCH(302,Translations!$A:$A,0), MATCH('Project Information'!$C$4,Translations!$D$1:$ZZ$1,0))</f>
        <v/>
      </c>
      <c r="BM1" s="38">
        <f>INDEX(Translations!$D:$ZZ, MATCH(303,Translations!$A:$A,0), MATCH('Project Information'!$C$4,Translations!$D$1:$ZZ$1,0))</f>
        <v/>
      </c>
      <c r="BN1" s="38">
        <f>INDEX(Translations!$D:$ZZ, MATCH(304,Translations!$A:$A,0), MATCH('Project Information'!$C$4,Translations!$D$1:$ZZ$1,0))</f>
        <v/>
      </c>
    </row>
    <row r="2" ht="15" customHeight="1" s="39">
      <c r="A2" s="38">
        <f>'Project Definitions'!$D$2</f>
        <v/>
      </c>
      <c r="B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Days'!$AA:$AA,0),MATCH(B$1,'Fixed Days'!$B$3:$P$3,0)),0)*IFERROR(IF(OR(TRIM("")="Evet",TRIM("")="Yes"),MAX(N('Module Selection'!$C2),1),1),1)+IFERROR(SUMIFS($BF$2:$BF$700,$BB$2:$BB$700,$A2,$BC$2:$BC$700,B$1),0)+0))</f>
        <v/>
      </c>
      <c r="C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Days'!$AA:$AA,0),MATCH(C$1,'Fixed Days'!$B$3:$P$3,0)),0)*IFERROR(IF(OR(TRIM("")="Evet",TRIM("")="Yes"),MAX(N('Module Selection'!$C2),1),1),1)+IFERROR(SUMIFS($BF$2:$BF$700,$BB$2:$BB$700,$A2,$BC$2:$BC$700,C$1),0)+0))</f>
        <v/>
      </c>
      <c r="D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Days'!$AA:$AA,0),MATCH(D$1,'Fixed Days'!$B$3:$P$3,0)),0)*IFERROR(IF(OR(TRIM("")="Evet",TRIM("")="Yes"),MAX(N('Module Selection'!$C2),1),1),1)+IFERROR(SUMIFS($BF$2:$BF$700,$BB$2:$BB$700,$A2,$BC$2:$BC$700,D$1),0)+0))</f>
        <v/>
      </c>
      <c r="E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Days'!$AA:$AA,0),MATCH(E$1,'Fixed Days'!$B$3:$P$3,0)),0)*IFERROR(IF(OR(TRIM("")="Evet",TRIM("")="Yes"),MAX(N('Module Selection'!$C2),1),1),1)+IFERROR(SUMIFS($BF$2:$BF$700,$BB$2:$BB$700,$A2,$BC$2:$BC$700,E$1),0)+0))</f>
        <v/>
      </c>
      <c r="F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Days'!$AA:$AA,0),MATCH(F$1,'Fixed Days'!$B$3:$P$3,0)),0)*IFERROR(IF(OR(TRIM("")="Evet",TRIM("")="Yes"),MAX(N('Module Selection'!$C2),1),1),1)+IFERROR(SUMIFS($BF$2:$BF$700,$BB$2:$BB$700,$A2,$BC$2:$BC$700,F$1),0)+0))</f>
        <v/>
      </c>
      <c r="G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Days'!$AA:$AA,0),MATCH(G$1,'Fixed Days'!$B$3:$P$3,0)),0)*IFERROR(IF(OR(TRIM("")="Evet",TRIM("")="Yes"),MAX(N('Module Selection'!$C2),1),1),1)+IFERROR(SUMIFS($BF$2:$BF$700,$BB$2:$BB$700,$A2,$BC$2:$BC$700,G$1),0)+0))</f>
        <v/>
      </c>
      <c r="H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Days'!$AA:$AA,0),MATCH(H$1,'Fixed Days'!$B$3:$P$3,0)),0)*IFERROR(IF(OR(TRIM("")="Evet",TRIM("")="Yes"),MAX(N('Module Selection'!$C2),1),1),1)+IFERROR(SUMIFS($BF$2:$BF$700,$BB$2:$BB$700,$A2,$BC$2:$BC$700,H$1),0)+0))</f>
        <v/>
      </c>
      <c r="I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Days'!$AA:$AA,0),MATCH(I$1,'Fixed Days'!$B$3:$P$3,0)),0)*IFERROR(IF(OR(TRIM("")="Evet",TRIM("")="Yes"),MAX(N('Module Selection'!$C2),1),1),1)+IFERROR(SUMIFS($BF$2:$BF$700,$BB$2:$BB$700,$A2,$BC$2:$BC$700,I$1),0)+0))</f>
        <v/>
      </c>
      <c r="J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Days'!$AA:$AA,0),MATCH(J$1,'Fixed Days'!$B$3:$P$3,0)),0)*IFERROR(IF(OR(TRIM("")="Evet",TRIM("")="Yes"),MAX(N('Module Selection'!$C2),1),1),1)+IFERROR(SUMIFS($BF$2:$BF$700,$BB$2:$BB$700,$A2,$BC$2:$BC$700,J$1),0)+0))</f>
        <v/>
      </c>
      <c r="K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Days'!$AA:$AA,0),MATCH(K$1,'Fixed Days'!$B$3:$P$3,0)),0)*IFERROR(IF(OR(TRIM("")="Evet",TRIM("")="Yes"),MAX(N('Module Selection'!$C2),1),1),1)+IFERROR(SUMIFS($BF$2:$BF$700,$BB$2:$BB$700,$A2,$BC$2:$BC$700,K$1),0)+0))</f>
        <v/>
      </c>
      <c r="L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Days'!$AA:$AA,0),MATCH(L$1,'Fixed Days'!$B$3:$P$3,0)),0)*IFERROR(IF(OR(TRIM("")="Evet",TRIM("")="Yes"),MAX(N('Module Selection'!$C2),1),1),1)+IFERROR(SUMIFS($BF$2:$BF$700,$BB$2:$BB$700,$A2,$BC$2:$BC$700,L$1),0)+0))</f>
        <v/>
      </c>
      <c r="M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Days'!$AA:$AA,0),MATCH(M$1,'Fixed Days'!$B$3:$P$3,0)),0)*IFERROR(IF(OR(TRIM("")="Evet",TRIM("")="Yes"),MAX(N('Module Selection'!$C2),1),1),1)+IFERROR(SUMIFS($BF$2:$BF$700,$BB$2:$BB$700,$A2,$BC$2:$BC$700,M$1),0)+0))</f>
        <v/>
      </c>
      <c r="N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Days'!$AA:$AA,0),MATCH(N$1,'Fixed Days'!$B$3:$P$3,0)),0)*IFERROR(IF(OR(TRIM("")="Evet",TRIM("")="Yes"),MAX(N('Module Selection'!$C2),1),1),1)+IFERROR(SUMIFS($BF$2:$BF$700,$BB$2:$BB$700,$A2,$BC$2:$BC$700,N$1),0)+0))</f>
        <v/>
      </c>
      <c r="O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Days'!$AA:$AA,0),MATCH(O$1,'Fixed Days'!$B$3:$P$3,0)),0)*IFERROR(IF(OR(TRIM("")="Evet",TRIM("")="Yes"),MAX(N('Module Selection'!$C2),1),1),1)+IFERROR(SUMIFS($BF$2:$BF$700,$BB$2:$BB$700,$A2,$BC$2:$BC$700,O$1),0)+IFERROR(INDEX('Hypercare &amp; Go Live Support'!$G:$G,MATCH($A2,'Hypercare &amp; Go Live Support'!$A:$A,0)),0)))</f>
        <v/>
      </c>
      <c r="P2" s="38">
        <f>IF(AND('Module Selection'!$B2&lt;&gt;"Var",'Module Selection'!$B2&lt;&gt;"Include"),"",IF($A2="","",IFERROR(INDEX('Fixed Days'!$B:$P,MATCH('Project Information'!$C$11&amp;"|"&amp;IF(Scope!$J$9="S","SMALL",IF(Scope!$J$9="M","MEDIUM",IF(Scope!$J$9="L","LARGE","X-LARGE")))&amp;"|"&amp;$A2,'Fixed Days'!$AA:$AA,0),MATCH(P$1,'Fixed Days'!$B$3:$P$3,0)),0)*IFERROR(IF(OR(TRIM("")="Evet",TRIM("")="Yes"),MAX(N('Module Selection'!$C2),1),1),1)+IFERROR(SUMIFS($BF$2:$BF$700,$BB$2:$BB$700,$A2,$BC$2:$BC$700,P$1),0)+IFERROR(INDEX('Hypercare &amp; Go Live Support'!$F:$F,MATCH($A2,'Hypercare &amp; Go Live Support'!$A:$A,0)),0)))</f>
        <v/>
      </c>
      <c r="Q2" s="38">
        <f>SUM(B2:P2)</f>
        <v/>
      </c>
      <c r="AZ2" s="38">
        <f>INDEX(Translations!$D:$ZZ, MATCH(305,Translations!$A:$A,0), MATCH('Project Information'!$C$4,Translations!$D$1:$ZZ$1,0))</f>
        <v/>
      </c>
      <c r="BA2" s="38">
        <f>INDEX(Translations!$D:$ZZ, MATCH(32,Translations!$A:$A,0), MATCH('Project Information'!$C$4,Translations!$D$1:$ZZ$1,0))</f>
        <v/>
      </c>
      <c r="BB2" s="38">
        <f>INDEX(Translations!$D:$ZZ, MATCH(343,Translations!$A:$A,0), MATCH('Project Information'!$C$4,Translations!$D$1:$ZZ$1,0))</f>
        <v/>
      </c>
      <c r="BC2" s="38">
        <f>INDEX(Translations!$D:$ZZ, MATCH(75,Translations!$A:$A,0), MATCH('Project Information'!$C$4,Translations!$D$1:$ZZ$1,0))</f>
        <v/>
      </c>
      <c r="BD2" s="38">
        <f>IF(OR(TRIM("")="Evet",TRIM("")="Yes"),1,0)</f>
        <v/>
      </c>
      <c r="BE2" s="38" t="n">
        <v>3</v>
      </c>
      <c r="BF2" s="38">
        <f>BD2*BE2</f>
        <v/>
      </c>
      <c r="BH2" s="38">
        <f>INDEX(Translations!$D:$ZZ, MATCH(306,Translations!$A:$A,0), MATCH('Project Information'!$C$4,Translations!$D$1:$ZZ$1,0))</f>
        <v/>
      </c>
      <c r="BI2" s="38">
        <f>INDEX(Translations!$D:$ZZ, MATCH(251,Translations!$A:$A,0), MATCH('Project Information'!$C$4,Translations!$D$1:$ZZ$1,0))</f>
        <v/>
      </c>
      <c r="BJ2" s="38">
        <f>INDEX(Translations!$D:$ZZ, MATCH(346,Translations!$A:$A,0), MATCH('Project Information'!$C$4,Translations!$D$1:$ZZ$1,0))</f>
        <v/>
      </c>
      <c r="BK2" s="38">
        <f>INDEX(Translations!$D:$ZZ, MATCH(78,Translations!$A:$A,0), MATCH('Project Information'!$C$4,Translations!$D$1:$ZZ$1,0))</f>
        <v/>
      </c>
      <c r="BL2" s="38">
        <f>MAX(N(Development!$G$35),0)</f>
        <v/>
      </c>
      <c r="BM2" s="38" t="n">
        <v>12</v>
      </c>
      <c r="BN2" s="38">
        <f>BL2*BM2</f>
        <v/>
      </c>
    </row>
    <row r="3" ht="15" customHeight="1" s="39">
      <c r="A3" s="38">
        <f>'Project Definitions'!$D$3</f>
        <v/>
      </c>
      <c r="B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Days'!$AA:$AA,0),MATCH(B$1,'Fixed Days'!$B$3:$P$3,0)),0)*IFERROR(IF(OR(TRIM("")="Evet",TRIM("")="Yes"),MAX(N('Module Selection'!$C3),1),1),1)+IFERROR(SUMIFS($BF$2:$BF$700,$BB$2:$BB$700,$A3,$BC$2:$BC$700,B$1),0)+0))</f>
        <v/>
      </c>
      <c r="C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Days'!$AA:$AA,0),MATCH(C$1,'Fixed Days'!$B$3:$P$3,0)),0)*IFERROR(IF(OR(TRIM("")="Evet",TRIM("")="Yes"),MAX(N('Module Selection'!$C3),1),1),1)+IFERROR(SUMIFS($BF$2:$BF$700,$BB$2:$BB$700,$A3,$BC$2:$BC$700,C$1),0)+0))</f>
        <v/>
      </c>
      <c r="D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Days'!$AA:$AA,0),MATCH(D$1,'Fixed Days'!$B$3:$P$3,0)),0)*IFERROR(IF(OR(TRIM("")="Evet",TRIM("")="Yes"),MAX(N('Module Selection'!$C3),1),1),1)+IFERROR(SUMIFS($BF$2:$BF$700,$BB$2:$BB$700,$A3,$BC$2:$BC$700,D$1),0)+0))</f>
        <v/>
      </c>
      <c r="E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Days'!$AA:$AA,0),MATCH(E$1,'Fixed Days'!$B$3:$P$3,0)),0)*IFERROR(IF(OR(TRIM("")="Evet",TRIM("")="Yes"),MAX(N('Module Selection'!$C3),1),1),1)+IFERROR(SUMIFS($BF$2:$BF$700,$BB$2:$BB$700,$A3,$BC$2:$BC$700,E$1),0)+0))</f>
        <v/>
      </c>
      <c r="F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Days'!$AA:$AA,0),MATCH(F$1,'Fixed Days'!$B$3:$P$3,0)),0)*IFERROR(IF(OR(TRIM("")="Evet",TRIM("")="Yes"),MAX(N('Module Selection'!$C3),1),1),1)+IFERROR(SUMIFS($BF$2:$BF$700,$BB$2:$BB$700,$A3,$BC$2:$BC$700,F$1),0)+0))</f>
        <v/>
      </c>
      <c r="G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Days'!$AA:$AA,0),MATCH(G$1,'Fixed Days'!$B$3:$P$3,0)),0)*IFERROR(IF(OR(TRIM("")="Evet",TRIM("")="Yes"),MAX(N('Module Selection'!$C3),1),1),1)+IFERROR(SUMIFS($BF$2:$BF$700,$BB$2:$BB$700,$A3,$BC$2:$BC$700,G$1),0)+0))</f>
        <v/>
      </c>
      <c r="H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Days'!$AA:$AA,0),MATCH(H$1,'Fixed Days'!$B$3:$P$3,0)),0)*IFERROR(IF(OR(TRIM("")="Evet",TRIM("")="Yes"),MAX(N('Module Selection'!$C3),1),1),1)+IFERROR(SUMIFS($BF$2:$BF$700,$BB$2:$BB$700,$A3,$BC$2:$BC$700,H$1),0)+0))</f>
        <v/>
      </c>
      <c r="I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Days'!$AA:$AA,0),MATCH(I$1,'Fixed Days'!$B$3:$P$3,0)),0)*IFERROR(IF(OR(TRIM("")="Evet",TRIM("")="Yes"),MAX(N('Module Selection'!$C3),1),1),1)+IFERROR(SUMIFS($BF$2:$BF$700,$BB$2:$BB$700,$A3,$BC$2:$BC$700,I$1),0)+0))</f>
        <v/>
      </c>
      <c r="J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Days'!$AA:$AA,0),MATCH(J$1,'Fixed Days'!$B$3:$P$3,0)),0)*IFERROR(IF(OR(TRIM("")="Evet",TRIM("")="Yes"),MAX(N('Module Selection'!$C3),1),1),1)+IFERROR(SUMIFS($BF$2:$BF$700,$BB$2:$BB$700,$A3,$BC$2:$BC$700,J$1),0)+0))</f>
        <v/>
      </c>
      <c r="K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Days'!$AA:$AA,0),MATCH(K$1,'Fixed Days'!$B$3:$P$3,0)),0)*IFERROR(IF(OR(TRIM("")="Evet",TRIM("")="Yes"),MAX(N('Module Selection'!$C3),1),1),1)+IFERROR(SUMIFS($BF$2:$BF$700,$BB$2:$BB$700,$A3,$BC$2:$BC$700,K$1),0)+0))</f>
        <v/>
      </c>
      <c r="L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Days'!$AA:$AA,0),MATCH(L$1,'Fixed Days'!$B$3:$P$3,0)),0)*IFERROR(IF(OR(TRIM("")="Evet",TRIM("")="Yes"),MAX(N('Module Selection'!$C3),1),1),1)+IFERROR(SUMIFS($BF$2:$BF$700,$BB$2:$BB$700,$A3,$BC$2:$BC$700,L$1),0)+0))</f>
        <v/>
      </c>
      <c r="M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Days'!$AA:$AA,0),MATCH(M$1,'Fixed Days'!$B$3:$P$3,0)),0)*IFERROR(IF(OR(TRIM("")="Evet",TRIM("")="Yes"),MAX(N('Module Selection'!$C3),1),1),1)+IFERROR(SUMIFS($BF$2:$BF$700,$BB$2:$BB$700,$A3,$BC$2:$BC$700,M$1),0)+0))</f>
        <v/>
      </c>
      <c r="N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Days'!$AA:$AA,0),MATCH(N$1,'Fixed Days'!$B$3:$P$3,0)),0)*IFERROR(IF(OR(TRIM("")="Evet",TRIM("")="Yes"),MAX(N('Module Selection'!$C3),1),1),1)+IFERROR(SUMIFS($BF$2:$BF$700,$BB$2:$BB$700,$A3,$BC$2:$BC$700,N$1),0)+0))</f>
        <v/>
      </c>
      <c r="O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Days'!$AA:$AA,0),MATCH(O$1,'Fixed Days'!$B$3:$P$3,0)),0)*IFERROR(IF(OR(TRIM("")="Evet",TRIM("")="Yes"),MAX(N('Module Selection'!$C3),1),1),1)+IFERROR(SUMIFS($BF$2:$BF$700,$BB$2:$BB$700,$A3,$BC$2:$BC$700,O$1),0)+IFERROR(INDEX('Hypercare &amp; Go Live Support'!$G:$G,MATCH($A3,'Hypercare &amp; Go Live Support'!$A:$A,0)),0)))</f>
        <v/>
      </c>
      <c r="P3" s="38">
        <f>IF(AND('Module Selection'!$B3&lt;&gt;"Var",'Module Selection'!$B3&lt;&gt;"Include"),"",IF($A3="","",IFERROR(INDEX('Fixed Days'!$B:$P,MATCH('Project Information'!$C$11&amp;"|"&amp;IF(Scope!$J$9="S","SMALL",IF(Scope!$J$9="M","MEDIUM",IF(Scope!$J$9="L","LARGE","X-LARGE")))&amp;"|"&amp;$A3,'Fixed Days'!$AA:$AA,0),MATCH(P$1,'Fixed Days'!$B$3:$P$3,0)),0)*IFERROR(IF(OR(TRIM("")="Evet",TRIM("")="Yes"),MAX(N('Module Selection'!$C3),1),1),1)+IFERROR(SUMIFS($BF$2:$BF$700,$BB$2:$BB$700,$A3,$BC$2:$BC$700,P$1),0)+IFERROR(INDEX('Hypercare &amp; Go Live Support'!$F:$F,MATCH($A3,'Hypercare &amp; Go Live Support'!$A:$A,0)),0)))</f>
        <v/>
      </c>
      <c r="Q3" s="38">
        <f>SUM(B3:P3)</f>
        <v/>
      </c>
      <c r="AZ3" s="38">
        <f>INDEX(Translations!$D:$ZZ, MATCH(305,Translations!$A:$A,0), MATCH('Project Information'!$C$4,Translations!$D$1:$ZZ$1,0))</f>
        <v/>
      </c>
      <c r="BA3" s="38">
        <f>INDEX(Translations!$D:$ZZ, MATCH(32,Translations!$A:$A,0), MATCH('Project Information'!$C$4,Translations!$D$1:$ZZ$1,0))</f>
        <v/>
      </c>
      <c r="BB3" s="38">
        <f>INDEX(Translations!$D:$ZZ, MATCH(343,Translations!$A:$A,0), MATCH('Project Information'!$C$4,Translations!$D$1:$ZZ$1,0))</f>
        <v/>
      </c>
      <c r="BC3" s="38">
        <f>INDEX(Translations!$D:$ZZ, MATCH(76,Translations!$A:$A,0), MATCH('Project Information'!$C$4,Translations!$D$1:$ZZ$1,0))</f>
        <v/>
      </c>
      <c r="BD3" s="38">
        <f>IF(OR(TRIM("")="Evet",TRIM("")="Yes"),1,0)</f>
        <v/>
      </c>
      <c r="BE3" s="38" t="n">
        <v>1</v>
      </c>
      <c r="BF3" s="38">
        <f>BD3*BE3</f>
        <v/>
      </c>
      <c r="BH3" s="38">
        <f>INDEX(Translations!$D:$ZZ, MATCH(306,Translations!$A:$A,0), MATCH('Project Information'!$C$4,Translations!$D$1:$ZZ$1,0))</f>
        <v/>
      </c>
      <c r="BI3" s="38">
        <f>INDEX(Translations!$D:$ZZ, MATCH(251,Translations!$A:$A,0), MATCH('Project Information'!$C$4,Translations!$D$1:$ZZ$1,0))</f>
        <v/>
      </c>
      <c r="BJ3" s="38">
        <f>INDEX(Translations!$D:$ZZ, MATCH(343,Translations!$A:$A,0), MATCH('Project Information'!$C$4,Translations!$D$1:$ZZ$1,0))</f>
        <v/>
      </c>
      <c r="BK3" s="38">
        <f>INDEX(Translations!$D:$ZZ, MATCH(75,Translations!$A:$A,0), MATCH('Project Information'!$C$4,Translations!$D$1:$ZZ$1,0))</f>
        <v/>
      </c>
      <c r="BL3" s="38">
        <f>MAX(N(Development!$G$35),0)</f>
        <v/>
      </c>
      <c r="BM3" s="38" t="n">
        <v>3</v>
      </c>
      <c r="BN3" s="38">
        <f>BL3*BM3</f>
        <v/>
      </c>
    </row>
    <row r="4" ht="15" customHeight="1" s="39">
      <c r="A4" s="38">
        <f>'Project Definitions'!$D$4</f>
        <v/>
      </c>
      <c r="B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Days'!$AA:$AA,0),MATCH(B$1,'Fixed Days'!$B$3:$P$3,0)),0)*IFERROR(IF(OR(TRIM("")="Evet",TRIM("")="Yes"),MAX(N('Module Selection'!$C4),1),1),1)+IFERROR(SUMIFS($BF$2:$BF$700,$BB$2:$BB$700,$A4,$BC$2:$BC$700,B$1),0)+0))</f>
        <v/>
      </c>
      <c r="C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Days'!$AA:$AA,0),MATCH(C$1,'Fixed Days'!$B$3:$P$3,0)),0)*IFERROR(IF(OR(TRIM("")="Evet",TRIM("")="Yes"),MAX(N('Module Selection'!$C4),1),1),1)+IFERROR(SUMIFS($BF$2:$BF$700,$BB$2:$BB$700,$A4,$BC$2:$BC$700,C$1),0)+0))</f>
        <v/>
      </c>
      <c r="D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Days'!$AA:$AA,0),MATCH(D$1,'Fixed Days'!$B$3:$P$3,0)),0)*IFERROR(IF(OR(TRIM("")="Evet",TRIM("")="Yes"),MAX(N('Module Selection'!$C4),1),1),1)+IFERROR(SUMIFS($BF$2:$BF$700,$BB$2:$BB$700,$A4,$BC$2:$BC$700,D$1),0)+0))</f>
        <v/>
      </c>
      <c r="E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Days'!$AA:$AA,0),MATCH(E$1,'Fixed Days'!$B$3:$P$3,0)),0)*IFERROR(IF(OR(TRIM("")="Evet",TRIM("")="Yes"),MAX(N('Module Selection'!$C4),1),1),1)+IFERROR(SUMIFS($BF$2:$BF$700,$BB$2:$BB$700,$A4,$BC$2:$BC$700,E$1),0)+0))</f>
        <v/>
      </c>
      <c r="F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Days'!$AA:$AA,0),MATCH(F$1,'Fixed Days'!$B$3:$P$3,0)),0)*IFERROR(IF(OR(TRIM("")="Evet",TRIM("")="Yes"),MAX(N('Module Selection'!$C4),1),1),1)+IFERROR(SUMIFS($BF$2:$BF$700,$BB$2:$BB$700,$A4,$BC$2:$BC$700,F$1),0)+0))</f>
        <v/>
      </c>
      <c r="G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Days'!$AA:$AA,0),MATCH(G$1,'Fixed Days'!$B$3:$P$3,0)),0)*IFERROR(IF(OR(TRIM("")="Evet",TRIM("")="Yes"),MAX(N('Module Selection'!$C4),1),1),1)+IFERROR(SUMIFS($BF$2:$BF$700,$BB$2:$BB$700,$A4,$BC$2:$BC$700,G$1),0)+0))</f>
        <v/>
      </c>
      <c r="H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Days'!$AA:$AA,0),MATCH(H$1,'Fixed Days'!$B$3:$P$3,0)),0)*IFERROR(IF(OR(TRIM("")="Evet",TRIM("")="Yes"),MAX(N('Module Selection'!$C4),1),1),1)+IFERROR(SUMIFS($BF$2:$BF$700,$BB$2:$BB$700,$A4,$BC$2:$BC$700,H$1),0)+0))</f>
        <v/>
      </c>
      <c r="I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Days'!$AA:$AA,0),MATCH(I$1,'Fixed Days'!$B$3:$P$3,0)),0)*IFERROR(IF(OR(TRIM("")="Evet",TRIM("")="Yes"),MAX(N('Module Selection'!$C4),1),1),1)+IFERROR(SUMIFS($BF$2:$BF$700,$BB$2:$BB$700,$A4,$BC$2:$BC$700,I$1),0)+0))</f>
        <v/>
      </c>
      <c r="J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Days'!$AA:$AA,0),MATCH(J$1,'Fixed Days'!$B$3:$P$3,0)),0)*IFERROR(IF(OR(TRIM("")="Evet",TRIM("")="Yes"),MAX(N('Module Selection'!$C4),1),1),1)+IFERROR(SUMIFS($BF$2:$BF$700,$BB$2:$BB$700,$A4,$BC$2:$BC$700,J$1),0)+0))</f>
        <v/>
      </c>
      <c r="K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Days'!$AA:$AA,0),MATCH(K$1,'Fixed Days'!$B$3:$P$3,0)),0)*IFERROR(IF(OR(TRIM("")="Evet",TRIM("")="Yes"),MAX(N('Module Selection'!$C4),1),1),1)+IFERROR(SUMIFS($BF$2:$BF$700,$BB$2:$BB$700,$A4,$BC$2:$BC$700,K$1),0)+0))</f>
        <v/>
      </c>
      <c r="L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Days'!$AA:$AA,0),MATCH(L$1,'Fixed Days'!$B$3:$P$3,0)),0)*IFERROR(IF(OR(TRIM("")="Evet",TRIM("")="Yes"),MAX(N('Module Selection'!$C4),1),1),1)+IFERROR(SUMIFS($BF$2:$BF$700,$BB$2:$BB$700,$A4,$BC$2:$BC$700,L$1),0)+0))</f>
        <v/>
      </c>
      <c r="M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Days'!$AA:$AA,0),MATCH(M$1,'Fixed Days'!$B$3:$P$3,0)),0)*IFERROR(IF(OR(TRIM("")="Evet",TRIM("")="Yes"),MAX(N('Module Selection'!$C4),1),1),1)+IFERROR(SUMIFS($BF$2:$BF$700,$BB$2:$BB$700,$A4,$BC$2:$BC$700,M$1),0)+0))</f>
        <v/>
      </c>
      <c r="N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Days'!$AA:$AA,0),MATCH(N$1,'Fixed Days'!$B$3:$P$3,0)),0)*IFERROR(IF(OR(TRIM("")="Evet",TRIM("")="Yes"),MAX(N('Module Selection'!$C4),1),1),1)+IFERROR(SUMIFS($BF$2:$BF$700,$BB$2:$BB$700,$A4,$BC$2:$BC$700,N$1),0)+0))</f>
        <v/>
      </c>
      <c r="O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Days'!$AA:$AA,0),MATCH(O$1,'Fixed Days'!$B$3:$P$3,0)),0)*IFERROR(IF(OR(TRIM("")="Evet",TRIM("")="Yes"),MAX(N('Module Selection'!$C4),1),1),1)+IFERROR(SUMIFS($BF$2:$BF$700,$BB$2:$BB$700,$A4,$BC$2:$BC$700,O$1),0)+IFERROR(INDEX('Hypercare &amp; Go Live Support'!$G:$G,MATCH($A4,'Hypercare &amp; Go Live Support'!$A:$A,0)),0)))</f>
        <v/>
      </c>
      <c r="P4" s="38">
        <f>IF(AND('Module Selection'!$B4&lt;&gt;"Var",'Module Selection'!$B4&lt;&gt;"Include"),"",IF($A4="","",IFERROR(INDEX('Fixed Days'!$B:$P,MATCH('Project Information'!$C$11&amp;"|"&amp;IF(Scope!$J$9="S","SMALL",IF(Scope!$J$9="M","MEDIUM",IF(Scope!$J$9="L","LARGE","X-LARGE")))&amp;"|"&amp;$A4,'Fixed Days'!$AA:$AA,0),MATCH(P$1,'Fixed Days'!$B$3:$P$3,0)),0)*IFERROR(IF(OR(TRIM("")="Evet",TRIM("")="Yes"),MAX(N('Module Selection'!$C4),1),1),1)+IFERROR(SUMIFS($BF$2:$BF$700,$BB$2:$BB$700,$A4,$BC$2:$BC$700,P$1),0)+IFERROR(INDEX('Hypercare &amp; Go Live Support'!$F:$F,MATCH($A4,'Hypercare &amp; Go Live Support'!$A:$A,0)),0)))</f>
        <v/>
      </c>
      <c r="Q4" s="38">
        <f>SUM(B4:P4)</f>
        <v/>
      </c>
      <c r="AZ4" s="38">
        <f>INDEX(Translations!$D:$ZZ, MATCH(305,Translations!$A:$A,0), MATCH('Project Information'!$C$4,Translations!$D$1:$ZZ$1,0))</f>
        <v/>
      </c>
      <c r="BA4" s="38">
        <f>INDEX(Translations!$D:$ZZ, MATCH(32,Translations!$A:$A,0), MATCH('Project Information'!$C$4,Translations!$D$1:$ZZ$1,0))</f>
        <v/>
      </c>
      <c r="BB4" s="38">
        <f>INDEX(Translations!$D:$ZZ, MATCH(343,Translations!$A:$A,0), MATCH('Project Information'!$C$4,Translations!$D$1:$ZZ$1,0))</f>
        <v/>
      </c>
      <c r="BC4" s="38">
        <f>INDEX(Translations!$D:$ZZ, MATCH(79,Translations!$A:$A,0), MATCH('Project Information'!$C$4,Translations!$D$1:$ZZ$1,0))</f>
        <v/>
      </c>
      <c r="BD4" s="38">
        <f>IF(OR(TRIM("")="Evet",TRIM("")="Yes"),1,0)</f>
        <v/>
      </c>
      <c r="BE4" s="38" t="n">
        <v>1</v>
      </c>
      <c r="BF4" s="38">
        <f>BD4*BE4</f>
        <v/>
      </c>
      <c r="BH4" s="38">
        <f>INDEX(Translations!$D:$ZZ, MATCH(306,Translations!$A:$A,0), MATCH('Project Information'!$C$4,Translations!$D$1:$ZZ$1,0))</f>
        <v/>
      </c>
      <c r="BI4" s="38">
        <f>INDEX(Translations!$D:$ZZ, MATCH(251,Translations!$A:$A,0), MATCH('Project Information'!$C$4,Translations!$D$1:$ZZ$1,0))</f>
        <v/>
      </c>
      <c r="BJ4" s="38">
        <f>INDEX(Translations!$D:$ZZ, MATCH(343,Translations!$A:$A,0), MATCH('Project Information'!$C$4,Translations!$D$1:$ZZ$1,0))</f>
        <v/>
      </c>
      <c r="BK4" s="38">
        <f>INDEX(Translations!$D:$ZZ, MATCH(76,Translations!$A:$A,0), MATCH('Project Information'!$C$4,Translations!$D$1:$ZZ$1,0))</f>
        <v/>
      </c>
      <c r="BL4" s="38">
        <f>MAX(N(Development!$G$35),0)</f>
        <v/>
      </c>
      <c r="BM4" s="38" t="n">
        <v>1</v>
      </c>
      <c r="BN4" s="38">
        <f>BL4*BM4</f>
        <v/>
      </c>
    </row>
    <row r="5" ht="15" customHeight="1" s="39">
      <c r="A5" s="38">
        <f>'Project Definitions'!$D$5</f>
        <v/>
      </c>
      <c r="B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Days'!$AA:$AA,0),MATCH(B$1,'Fixed Days'!$B$3:$P$3,0)),0)*IFERROR(IF(OR(TRIM("")="Evet",TRIM("")="Yes"),MAX(N('Module Selection'!$C5),1),1),1)+IFERROR(SUMIFS($BF$2:$BF$700,$BB$2:$BB$700,$A5,$BC$2:$BC$700,B$1),0)+0))</f>
        <v/>
      </c>
      <c r="C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Days'!$AA:$AA,0),MATCH(C$1,'Fixed Days'!$B$3:$P$3,0)),0)*IFERROR(IF(OR(TRIM("")="Evet",TRIM("")="Yes"),MAX(N('Module Selection'!$C5),1),1),1)+IFERROR(SUMIFS($BF$2:$BF$700,$BB$2:$BB$700,$A5,$BC$2:$BC$700,C$1),0)+0))</f>
        <v/>
      </c>
      <c r="D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Days'!$AA:$AA,0),MATCH(D$1,'Fixed Days'!$B$3:$P$3,0)),0)*IFERROR(IF(OR(TRIM("")="Evet",TRIM("")="Yes"),MAX(N('Module Selection'!$C5),1),1),1)+IFERROR(SUMIFS($BF$2:$BF$700,$BB$2:$BB$700,$A5,$BC$2:$BC$700,D$1),0)+0))</f>
        <v/>
      </c>
      <c r="E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Days'!$AA:$AA,0),MATCH(E$1,'Fixed Days'!$B$3:$P$3,0)),0)*IFERROR(IF(OR(TRIM("")="Evet",TRIM("")="Yes"),MAX(N('Module Selection'!$C5),1),1),1)+IFERROR(SUMIFS($BF$2:$BF$700,$BB$2:$BB$700,$A5,$BC$2:$BC$700,E$1),0)+0))</f>
        <v/>
      </c>
      <c r="F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Days'!$AA:$AA,0),MATCH(F$1,'Fixed Days'!$B$3:$P$3,0)),0)*IFERROR(IF(OR(TRIM("")="Evet",TRIM("")="Yes"),MAX(N('Module Selection'!$C5),1),1),1)+IFERROR(SUMIFS($BF$2:$BF$700,$BB$2:$BB$700,$A5,$BC$2:$BC$700,F$1),0)+0))</f>
        <v/>
      </c>
      <c r="G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Days'!$AA:$AA,0),MATCH(G$1,'Fixed Days'!$B$3:$P$3,0)),0)*IFERROR(IF(OR(TRIM("")="Evet",TRIM("")="Yes"),MAX(N('Module Selection'!$C5),1),1),1)+IFERROR(SUMIFS($BF$2:$BF$700,$BB$2:$BB$700,$A5,$BC$2:$BC$700,G$1),0)+0))</f>
        <v/>
      </c>
      <c r="H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Days'!$AA:$AA,0),MATCH(H$1,'Fixed Days'!$B$3:$P$3,0)),0)*IFERROR(IF(OR(TRIM("")="Evet",TRIM("")="Yes"),MAX(N('Module Selection'!$C5),1),1),1)+IFERROR(SUMIFS($BF$2:$BF$700,$BB$2:$BB$700,$A5,$BC$2:$BC$700,H$1),0)+0))</f>
        <v/>
      </c>
      <c r="I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Days'!$AA:$AA,0),MATCH(I$1,'Fixed Days'!$B$3:$P$3,0)),0)*IFERROR(IF(OR(TRIM("")="Evet",TRIM("")="Yes"),MAX(N('Module Selection'!$C5),1),1),1)+IFERROR(SUMIFS($BF$2:$BF$700,$BB$2:$BB$700,$A5,$BC$2:$BC$700,I$1),0)+0))</f>
        <v/>
      </c>
      <c r="J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Days'!$AA:$AA,0),MATCH(J$1,'Fixed Days'!$B$3:$P$3,0)),0)*IFERROR(IF(OR(TRIM("")="Evet",TRIM("")="Yes"),MAX(N('Module Selection'!$C5),1),1),1)+IFERROR(SUMIFS($BF$2:$BF$700,$BB$2:$BB$700,$A5,$BC$2:$BC$700,J$1),0)+0))</f>
        <v/>
      </c>
      <c r="K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Days'!$AA:$AA,0),MATCH(K$1,'Fixed Days'!$B$3:$P$3,0)),0)*IFERROR(IF(OR(TRIM("")="Evet",TRIM("")="Yes"),MAX(N('Module Selection'!$C5),1),1),1)+IFERROR(SUMIFS($BF$2:$BF$700,$BB$2:$BB$700,$A5,$BC$2:$BC$700,K$1),0)+0))</f>
        <v/>
      </c>
      <c r="L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Days'!$AA:$AA,0),MATCH(L$1,'Fixed Days'!$B$3:$P$3,0)),0)*IFERROR(IF(OR(TRIM("")="Evet",TRIM("")="Yes"),MAX(N('Module Selection'!$C5),1),1),1)+IFERROR(SUMIFS($BF$2:$BF$700,$BB$2:$BB$700,$A5,$BC$2:$BC$700,L$1),0)+0))</f>
        <v/>
      </c>
      <c r="M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Days'!$AA:$AA,0),MATCH(M$1,'Fixed Days'!$B$3:$P$3,0)),0)*IFERROR(IF(OR(TRIM("")="Evet",TRIM("")="Yes"),MAX(N('Module Selection'!$C5),1),1),1)+IFERROR(SUMIFS($BF$2:$BF$700,$BB$2:$BB$700,$A5,$BC$2:$BC$700,M$1),0)+0))</f>
        <v/>
      </c>
      <c r="N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Days'!$AA:$AA,0),MATCH(N$1,'Fixed Days'!$B$3:$P$3,0)),0)*IFERROR(IF(OR(TRIM("")="Evet",TRIM("")="Yes"),MAX(N('Module Selection'!$C5),1),1),1)+IFERROR(SUMIFS($BF$2:$BF$700,$BB$2:$BB$700,$A5,$BC$2:$BC$700,N$1),0)+0))</f>
        <v/>
      </c>
      <c r="O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Days'!$AA:$AA,0),MATCH(O$1,'Fixed Days'!$B$3:$P$3,0)),0)*IFERROR(IF(OR(TRIM("")="Evet",TRIM("")="Yes"),MAX(N('Module Selection'!$C5),1),1),1)+IFERROR(SUMIFS($BF$2:$BF$700,$BB$2:$BB$700,$A5,$BC$2:$BC$700,O$1),0)+IFERROR(INDEX('Hypercare &amp; Go Live Support'!$G:$G,MATCH($A5,'Hypercare &amp; Go Live Support'!$A:$A,0)),0)))</f>
        <v/>
      </c>
      <c r="P5" s="38">
        <f>IF(AND('Module Selection'!$B5&lt;&gt;"Var",'Module Selection'!$B5&lt;&gt;"Include"),"",IF($A5="","",IFERROR(INDEX('Fixed Days'!$B:$P,MATCH('Project Information'!$C$11&amp;"|"&amp;IF(Scope!$J$9="S","SMALL",IF(Scope!$J$9="M","MEDIUM",IF(Scope!$J$9="L","LARGE","X-LARGE")))&amp;"|"&amp;$A5,'Fixed Days'!$AA:$AA,0),MATCH(P$1,'Fixed Days'!$B$3:$P$3,0)),0)*IFERROR(IF(OR(TRIM("")="Evet",TRIM("")="Yes"),MAX(N('Module Selection'!$C5),1),1),1)+IFERROR(SUMIFS($BF$2:$BF$700,$BB$2:$BB$700,$A5,$BC$2:$BC$700,P$1),0)+IFERROR(INDEX('Hypercare &amp; Go Live Support'!$F:$F,MATCH($A5,'Hypercare &amp; Go Live Support'!$A:$A,0)),0)))</f>
        <v/>
      </c>
      <c r="Q5" s="38">
        <f>SUM(B5:P5)</f>
        <v/>
      </c>
      <c r="AZ5" s="38">
        <f>INDEX(Translations!$D:$ZZ, MATCH(305,Translations!$A:$A,0), MATCH('Project Information'!$C$4,Translations!$D$1:$ZZ$1,0))</f>
        <v/>
      </c>
      <c r="BA5" s="38">
        <f>INDEX(Translations!$D:$ZZ, MATCH(32,Translations!$A:$A,0), MATCH('Project Information'!$C$4,Translations!$D$1:$ZZ$1,0))</f>
        <v/>
      </c>
      <c r="BB5" s="38">
        <f>INDEX(Translations!$D:$ZZ, MATCH(343,Translations!$A:$A,0), MATCH('Project Information'!$C$4,Translations!$D$1:$ZZ$1,0))</f>
        <v/>
      </c>
      <c r="BC5" s="38">
        <f>INDEX(Translations!$D:$ZZ, MATCH(82,Translations!$A:$A,0), MATCH('Project Information'!$C$4,Translations!$D$1:$ZZ$1,0))</f>
        <v/>
      </c>
      <c r="BD5" s="38">
        <f>IF(OR(TRIM("")="Evet",TRIM("")="Yes"),1,0)</f>
        <v/>
      </c>
      <c r="BE5" s="38" t="n">
        <v>0.5</v>
      </c>
      <c r="BF5" s="38">
        <f>BD5*BE5</f>
        <v/>
      </c>
      <c r="BH5" s="38">
        <f>INDEX(Translations!$D:$ZZ, MATCH(306,Translations!$A:$A,0), MATCH('Project Information'!$C$4,Translations!$D$1:$ZZ$1,0))</f>
        <v/>
      </c>
      <c r="BI5" s="38">
        <f>INDEX(Translations!$D:$ZZ, MATCH(251,Translations!$A:$A,0), MATCH('Project Information'!$C$4,Translations!$D$1:$ZZ$1,0))</f>
        <v/>
      </c>
      <c r="BJ5" s="38">
        <f>INDEX(Translations!$D:$ZZ, MATCH(343,Translations!$A:$A,0), MATCH('Project Information'!$C$4,Translations!$D$1:$ZZ$1,0))</f>
        <v/>
      </c>
      <c r="BK5" s="38">
        <f>INDEX(Translations!$D:$ZZ, MATCH(79,Translations!$A:$A,0), MATCH('Project Information'!$C$4,Translations!$D$1:$ZZ$1,0))</f>
        <v/>
      </c>
      <c r="BL5" s="38">
        <f>MAX(N(Development!$G$35),0)</f>
        <v/>
      </c>
      <c r="BM5" s="38" t="n">
        <v>5</v>
      </c>
      <c r="BN5" s="38">
        <f>BL5*BM5</f>
        <v/>
      </c>
    </row>
    <row r="6" ht="15" customHeight="1" s="39">
      <c r="A6" s="38">
        <f>'Project Definitions'!$D$6</f>
        <v/>
      </c>
      <c r="B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Days'!$AA:$AA,0),MATCH(B$1,'Fixed Days'!$B$3:$P$3,0)),0)*IFERROR(IF(OR(TRIM("")="Evet",TRIM("")="Yes"),MAX(N('Module Selection'!$C6),1),1),1)+IFERROR(SUMIFS($BF$2:$BF$700,$BB$2:$BB$700,$A6,$BC$2:$BC$700,B$1),0)+0))</f>
        <v/>
      </c>
      <c r="C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Days'!$AA:$AA,0),MATCH(C$1,'Fixed Days'!$B$3:$P$3,0)),0)*IFERROR(IF(OR(TRIM("")="Evet",TRIM("")="Yes"),MAX(N('Module Selection'!$C6),1),1),1)+IFERROR(SUMIFS($BF$2:$BF$700,$BB$2:$BB$700,$A6,$BC$2:$BC$700,C$1),0)+0))</f>
        <v/>
      </c>
      <c r="D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Days'!$AA:$AA,0),MATCH(D$1,'Fixed Days'!$B$3:$P$3,0)),0)*IFERROR(IF(OR(TRIM("")="Evet",TRIM("")="Yes"),MAX(N('Module Selection'!$C6),1),1),1)+IFERROR(SUMIFS($BF$2:$BF$700,$BB$2:$BB$700,$A6,$BC$2:$BC$700,D$1),0)+0))</f>
        <v/>
      </c>
      <c r="E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Days'!$AA:$AA,0),MATCH(E$1,'Fixed Days'!$B$3:$P$3,0)),0)*IFERROR(IF(OR(TRIM("")="Evet",TRIM("")="Yes"),MAX(N('Module Selection'!$C6),1),1),1)+IFERROR(SUMIFS($BF$2:$BF$700,$BB$2:$BB$700,$A6,$BC$2:$BC$700,E$1),0)+0))</f>
        <v/>
      </c>
      <c r="F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Days'!$AA:$AA,0),MATCH(F$1,'Fixed Days'!$B$3:$P$3,0)),0)*IFERROR(IF(OR(TRIM("")="Evet",TRIM("")="Yes"),MAX(N('Module Selection'!$C6),1),1),1)+IFERROR(SUMIFS($BF$2:$BF$700,$BB$2:$BB$700,$A6,$BC$2:$BC$700,F$1),0)+0))</f>
        <v/>
      </c>
      <c r="G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Days'!$AA:$AA,0),MATCH(G$1,'Fixed Days'!$B$3:$P$3,0)),0)*IFERROR(IF(OR(TRIM("")="Evet",TRIM("")="Yes"),MAX(N('Module Selection'!$C6),1),1),1)+IFERROR(SUMIFS($BF$2:$BF$700,$BB$2:$BB$700,$A6,$BC$2:$BC$700,G$1),0)+0))</f>
        <v/>
      </c>
      <c r="H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Days'!$AA:$AA,0),MATCH(H$1,'Fixed Days'!$B$3:$P$3,0)),0)*IFERROR(IF(OR(TRIM("")="Evet",TRIM("")="Yes"),MAX(N('Module Selection'!$C6),1),1),1)+IFERROR(SUMIFS($BF$2:$BF$700,$BB$2:$BB$700,$A6,$BC$2:$BC$700,H$1),0)+0))</f>
        <v/>
      </c>
      <c r="I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Days'!$AA:$AA,0),MATCH(I$1,'Fixed Days'!$B$3:$P$3,0)),0)*IFERROR(IF(OR(TRIM("")="Evet",TRIM("")="Yes"),MAX(N('Module Selection'!$C6),1),1),1)+IFERROR(SUMIFS($BF$2:$BF$700,$BB$2:$BB$700,$A6,$BC$2:$BC$700,I$1),0)+0))</f>
        <v/>
      </c>
      <c r="J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Days'!$AA:$AA,0),MATCH(J$1,'Fixed Days'!$B$3:$P$3,0)),0)*IFERROR(IF(OR(TRIM("")="Evet",TRIM("")="Yes"),MAX(N('Module Selection'!$C6),1),1),1)+IFERROR(SUMIFS($BF$2:$BF$700,$BB$2:$BB$700,$A6,$BC$2:$BC$700,J$1),0)+0))</f>
        <v/>
      </c>
      <c r="K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Days'!$AA:$AA,0),MATCH(K$1,'Fixed Days'!$B$3:$P$3,0)),0)*IFERROR(IF(OR(TRIM("")="Evet",TRIM("")="Yes"),MAX(N('Module Selection'!$C6),1),1),1)+IFERROR(SUMIFS($BF$2:$BF$700,$BB$2:$BB$700,$A6,$BC$2:$BC$700,K$1),0)+0))</f>
        <v/>
      </c>
      <c r="L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Days'!$AA:$AA,0),MATCH(L$1,'Fixed Days'!$B$3:$P$3,0)),0)*IFERROR(IF(OR(TRIM("")="Evet",TRIM("")="Yes"),MAX(N('Module Selection'!$C6),1),1),1)+IFERROR(SUMIFS($BF$2:$BF$700,$BB$2:$BB$700,$A6,$BC$2:$BC$700,L$1),0)+0))</f>
        <v/>
      </c>
      <c r="M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Days'!$AA:$AA,0),MATCH(M$1,'Fixed Days'!$B$3:$P$3,0)),0)*IFERROR(IF(OR(TRIM("")="Evet",TRIM("")="Yes"),MAX(N('Module Selection'!$C6),1),1),1)+IFERROR(SUMIFS($BF$2:$BF$700,$BB$2:$BB$700,$A6,$BC$2:$BC$700,M$1),0)+0))</f>
        <v/>
      </c>
      <c r="N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Days'!$AA:$AA,0),MATCH(N$1,'Fixed Days'!$B$3:$P$3,0)),0)*IFERROR(IF(OR(TRIM("")="Evet",TRIM("")="Yes"),MAX(N('Module Selection'!$C6),1),1),1)+IFERROR(SUMIFS($BF$2:$BF$700,$BB$2:$BB$700,$A6,$BC$2:$BC$700,N$1),0)+0))</f>
        <v/>
      </c>
      <c r="O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Days'!$AA:$AA,0),MATCH(O$1,'Fixed Days'!$B$3:$P$3,0)),0)*IFERROR(IF(OR(TRIM("")="Evet",TRIM("")="Yes"),MAX(N('Module Selection'!$C6),1),1),1)+IFERROR(SUMIFS($BF$2:$BF$700,$BB$2:$BB$700,$A6,$BC$2:$BC$700,O$1),0)+IFERROR(INDEX('Hypercare &amp; Go Live Support'!$G:$G,MATCH($A6,'Hypercare &amp; Go Live Support'!$A:$A,0)),0)))</f>
        <v/>
      </c>
      <c r="P6" s="38">
        <f>IF(AND('Module Selection'!$B6&lt;&gt;"Var",'Module Selection'!$B6&lt;&gt;"Include"),"",IF($A6="","",IFERROR(INDEX('Fixed Days'!$B:$P,MATCH('Project Information'!$C$11&amp;"|"&amp;IF(Scope!$J$9="S","SMALL",IF(Scope!$J$9="M","MEDIUM",IF(Scope!$J$9="L","LARGE","X-LARGE")))&amp;"|"&amp;$A6,'Fixed Days'!$AA:$AA,0),MATCH(P$1,'Fixed Days'!$B$3:$P$3,0)),0)*IFERROR(IF(OR(TRIM("")="Evet",TRIM("")="Yes"),MAX(N('Module Selection'!$C6),1),1),1)+IFERROR(SUMIFS($BF$2:$BF$700,$BB$2:$BB$700,$A6,$BC$2:$BC$700,P$1),0)+IFERROR(INDEX('Hypercare &amp; Go Live Support'!$F:$F,MATCH($A6,'Hypercare &amp; Go Live Support'!$A:$A,0)),0)))</f>
        <v/>
      </c>
      <c r="Q6" s="38">
        <f>SUM(B6:P6)</f>
        <v/>
      </c>
      <c r="AZ6" s="38">
        <f>INDEX(Translations!$D:$ZZ, MATCH(305,Translations!$A:$A,0), MATCH('Project Information'!$C$4,Translations!$D$1:$ZZ$1,0))</f>
        <v/>
      </c>
      <c r="BA6" s="38">
        <f>INDEX(Translations!$D:$ZZ, MATCH(32,Translations!$A:$A,0), MATCH('Project Information'!$C$4,Translations!$D$1:$ZZ$1,0))</f>
        <v/>
      </c>
      <c r="BB6" s="38">
        <f>INDEX(Translations!$D:$ZZ, MATCH(343,Translations!$A:$A,0), MATCH('Project Information'!$C$4,Translations!$D$1:$ZZ$1,0))</f>
        <v/>
      </c>
      <c r="BC6" s="38">
        <f>INDEX(Translations!$D:$ZZ, MATCH(83,Translations!$A:$A,0), MATCH('Project Information'!$C$4,Translations!$D$1:$ZZ$1,0))</f>
        <v/>
      </c>
      <c r="BD6" s="38">
        <f>IF(OR(TRIM("")="Evet",TRIM("")="Yes"),1,0)</f>
        <v/>
      </c>
      <c r="BE6" s="38" t="n">
        <v>1</v>
      </c>
      <c r="BF6" s="38">
        <f>BD6*BE6</f>
        <v/>
      </c>
      <c r="BH6" s="38">
        <f>INDEX(Translations!$D:$ZZ, MATCH(306,Translations!$A:$A,0), MATCH('Project Information'!$C$4,Translations!$D$1:$ZZ$1,0))</f>
        <v/>
      </c>
      <c r="BI6" s="38">
        <f>INDEX(Translations!$D:$ZZ, MATCH(251,Translations!$A:$A,0), MATCH('Project Information'!$C$4,Translations!$D$1:$ZZ$1,0))</f>
        <v/>
      </c>
      <c r="BJ6" s="38">
        <f>INDEX(Translations!$D:$ZZ, MATCH(337,Translations!$A:$A,0), MATCH('Project Information'!$C$4,Translations!$D$1:$ZZ$1,0))</f>
        <v/>
      </c>
      <c r="BK6" s="38">
        <f>INDEX(Translations!$D:$ZZ, MATCH(75,Translations!$A:$A,0), MATCH('Project Information'!$C$4,Translations!$D$1:$ZZ$1,0))</f>
        <v/>
      </c>
      <c r="BL6" s="38">
        <f>MAX(N(Development!$G$35),0)</f>
        <v/>
      </c>
      <c r="BM6" s="38" t="n">
        <v>2</v>
      </c>
      <c r="BN6" s="38">
        <f>BL6*BM6</f>
        <v/>
      </c>
    </row>
    <row r="7" ht="15" customHeight="1" s="39">
      <c r="A7" s="38">
        <f>'Project Definitions'!$D$7</f>
        <v/>
      </c>
      <c r="B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Days'!$AA:$AA,0),MATCH(B$1,'Fixed Days'!$B$3:$P$3,0)),0)*IFERROR(IF(OR(TRIM("")="Evet",TRIM("")="Yes"),MAX(N('Module Selection'!$C7),1),1),1)+IFERROR(SUMIFS($BF$2:$BF$700,$BB$2:$BB$700,$A7,$BC$2:$BC$700,B$1),0)+0))</f>
        <v/>
      </c>
      <c r="C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Days'!$AA:$AA,0),MATCH(C$1,'Fixed Days'!$B$3:$P$3,0)),0)*IFERROR(IF(OR(TRIM("")="Evet",TRIM("")="Yes"),MAX(N('Module Selection'!$C7),1),1),1)+IFERROR(SUMIFS($BF$2:$BF$700,$BB$2:$BB$700,$A7,$BC$2:$BC$700,C$1),0)+0))</f>
        <v/>
      </c>
      <c r="D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Days'!$AA:$AA,0),MATCH(D$1,'Fixed Days'!$B$3:$P$3,0)),0)*IFERROR(IF(OR(TRIM("")="Evet",TRIM("")="Yes"),MAX(N('Module Selection'!$C7),1),1),1)+IFERROR(SUMIFS($BF$2:$BF$700,$BB$2:$BB$700,$A7,$BC$2:$BC$700,D$1),0)+0))</f>
        <v/>
      </c>
      <c r="E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Days'!$AA:$AA,0),MATCH(E$1,'Fixed Days'!$B$3:$P$3,0)),0)*IFERROR(IF(OR(TRIM("")="Evet",TRIM("")="Yes"),MAX(N('Module Selection'!$C7),1),1),1)+IFERROR(SUMIFS($BF$2:$BF$700,$BB$2:$BB$700,$A7,$BC$2:$BC$700,E$1),0)+0))</f>
        <v/>
      </c>
      <c r="F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Days'!$AA:$AA,0),MATCH(F$1,'Fixed Days'!$B$3:$P$3,0)),0)*IFERROR(IF(OR(TRIM("")="Evet",TRIM("")="Yes"),MAX(N('Module Selection'!$C7),1),1),1)+IFERROR(SUMIFS($BF$2:$BF$700,$BB$2:$BB$700,$A7,$BC$2:$BC$700,F$1),0)+0))</f>
        <v/>
      </c>
      <c r="G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Days'!$AA:$AA,0),MATCH(G$1,'Fixed Days'!$B$3:$P$3,0)),0)*IFERROR(IF(OR(TRIM("")="Evet",TRIM("")="Yes"),MAX(N('Module Selection'!$C7),1),1),1)+IFERROR(SUMIFS($BF$2:$BF$700,$BB$2:$BB$700,$A7,$BC$2:$BC$700,G$1),0)+0))</f>
        <v/>
      </c>
      <c r="H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Days'!$AA:$AA,0),MATCH(H$1,'Fixed Days'!$B$3:$P$3,0)),0)*IFERROR(IF(OR(TRIM("")="Evet",TRIM("")="Yes"),MAX(N('Module Selection'!$C7),1),1),1)+IFERROR(SUMIFS($BF$2:$BF$700,$BB$2:$BB$700,$A7,$BC$2:$BC$700,H$1),0)+0))</f>
        <v/>
      </c>
      <c r="I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Days'!$AA:$AA,0),MATCH(I$1,'Fixed Days'!$B$3:$P$3,0)),0)*IFERROR(IF(OR(TRIM("")="Evet",TRIM("")="Yes"),MAX(N('Module Selection'!$C7),1),1),1)+IFERROR(SUMIFS($BF$2:$BF$700,$BB$2:$BB$700,$A7,$BC$2:$BC$700,I$1),0)+0))</f>
        <v/>
      </c>
      <c r="J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Days'!$AA:$AA,0),MATCH(J$1,'Fixed Days'!$B$3:$P$3,0)),0)*IFERROR(IF(OR(TRIM("")="Evet",TRIM("")="Yes"),MAX(N('Module Selection'!$C7),1),1),1)+IFERROR(SUMIFS($BF$2:$BF$700,$BB$2:$BB$700,$A7,$BC$2:$BC$700,J$1),0)+0))</f>
        <v/>
      </c>
      <c r="K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Days'!$AA:$AA,0),MATCH(K$1,'Fixed Days'!$B$3:$P$3,0)),0)*IFERROR(IF(OR(TRIM("")="Evet",TRIM("")="Yes"),MAX(N('Module Selection'!$C7),1),1),1)+IFERROR(SUMIFS($BF$2:$BF$700,$BB$2:$BB$700,$A7,$BC$2:$BC$700,K$1),0)+0))</f>
        <v/>
      </c>
      <c r="L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Days'!$AA:$AA,0),MATCH(L$1,'Fixed Days'!$B$3:$P$3,0)),0)*IFERROR(IF(OR(TRIM("")="Evet",TRIM("")="Yes"),MAX(N('Module Selection'!$C7),1),1),1)+IFERROR(SUMIFS($BF$2:$BF$700,$BB$2:$BB$700,$A7,$BC$2:$BC$700,L$1),0)+0))</f>
        <v/>
      </c>
      <c r="M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Days'!$AA:$AA,0),MATCH(M$1,'Fixed Days'!$B$3:$P$3,0)),0)*IFERROR(IF(OR(TRIM("")="Evet",TRIM("")="Yes"),MAX(N('Module Selection'!$C7),1),1),1)+IFERROR(SUMIFS($BF$2:$BF$700,$BB$2:$BB$700,$A7,$BC$2:$BC$700,M$1),0)+0))</f>
        <v/>
      </c>
      <c r="N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Days'!$AA:$AA,0),MATCH(N$1,'Fixed Days'!$B$3:$P$3,0)),0)*IFERROR(IF(OR(TRIM("")="Evet",TRIM("")="Yes"),MAX(N('Module Selection'!$C7),1),1),1)+IFERROR(SUMIFS($BF$2:$BF$700,$BB$2:$BB$700,$A7,$BC$2:$BC$700,N$1),0)+0))</f>
        <v/>
      </c>
      <c r="O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Days'!$AA:$AA,0),MATCH(O$1,'Fixed Days'!$B$3:$P$3,0)),0)*IFERROR(IF(OR(TRIM("")="Evet",TRIM("")="Yes"),MAX(N('Module Selection'!$C7),1),1),1)+IFERROR(SUMIFS($BF$2:$BF$700,$BB$2:$BB$700,$A7,$BC$2:$BC$700,O$1),0)+IFERROR(INDEX('Hypercare &amp; Go Live Support'!$G:$G,MATCH($A7,'Hypercare &amp; Go Live Support'!$A:$A,0)),0)))</f>
        <v/>
      </c>
      <c r="P7" s="38">
        <f>IF(AND('Module Selection'!$B7&lt;&gt;"Var",'Module Selection'!$B7&lt;&gt;"Include"),"",IF($A7="","",IFERROR(INDEX('Fixed Days'!$B:$P,MATCH('Project Information'!$C$11&amp;"|"&amp;IF(Scope!$J$9="S","SMALL",IF(Scope!$J$9="M","MEDIUM",IF(Scope!$J$9="L","LARGE","X-LARGE")))&amp;"|"&amp;$A7,'Fixed Days'!$AA:$AA,0),MATCH(P$1,'Fixed Days'!$B$3:$P$3,0)),0)*IFERROR(IF(OR(TRIM("")="Evet",TRIM("")="Yes"),MAX(N('Module Selection'!$C7),1),1),1)+IFERROR(SUMIFS($BF$2:$BF$700,$BB$2:$BB$700,$A7,$BC$2:$BC$700,P$1),0)+IFERROR(INDEX('Hypercare &amp; Go Live Support'!$F:$F,MATCH($A7,'Hypercare &amp; Go Live Support'!$A:$A,0)),0)))</f>
        <v/>
      </c>
      <c r="Q7" s="38">
        <f>SUM(B7:P7)</f>
        <v/>
      </c>
      <c r="AZ7" s="38">
        <f>INDEX(Translations!$D:$ZZ, MATCH(305,Translations!$A:$A,0), MATCH('Project Information'!$C$4,Translations!$D$1:$ZZ$1,0))</f>
        <v/>
      </c>
      <c r="BA7" s="38">
        <f>INDEX(Translations!$D:$ZZ, MATCH(32,Translations!$A:$A,0), MATCH('Project Information'!$C$4,Translations!$D$1:$ZZ$1,0))</f>
        <v/>
      </c>
      <c r="BB7" s="38">
        <f>INDEX(Translations!$D:$ZZ, MATCH(341,Translations!$A:$A,0), MATCH('Project Information'!$C$4,Translations!$D$1:$ZZ$1,0))</f>
        <v/>
      </c>
      <c r="BC7" s="38">
        <f>INDEX(Translations!$D:$ZZ, MATCH(75,Translations!$A:$A,0), MATCH('Project Information'!$C$4,Translations!$D$1:$ZZ$1,0))</f>
        <v/>
      </c>
      <c r="BD7" s="38">
        <f>IF(OR(TRIM("")="Evet",TRIM("")="Yes"),1,0)</f>
        <v/>
      </c>
      <c r="BE7" s="38" t="n">
        <v>3</v>
      </c>
      <c r="BF7" s="38">
        <f>BD7*BE7</f>
        <v/>
      </c>
      <c r="BH7" s="38">
        <f>INDEX(Translations!$D:$ZZ, MATCH(306,Translations!$A:$A,0), MATCH('Project Information'!$C$4,Translations!$D$1:$ZZ$1,0))</f>
        <v/>
      </c>
      <c r="BI7" s="38">
        <f>INDEX(Translations!$D:$ZZ, MATCH(251,Translations!$A:$A,0), MATCH('Project Information'!$C$4,Translations!$D$1:$ZZ$1,0))</f>
        <v/>
      </c>
      <c r="BJ7" s="38">
        <f>INDEX(Translations!$D:$ZZ, MATCH(337,Translations!$A:$A,0), MATCH('Project Information'!$C$4,Translations!$D$1:$ZZ$1,0))</f>
        <v/>
      </c>
      <c r="BK7" s="38">
        <f>INDEX(Translations!$D:$ZZ, MATCH(76,Translations!$A:$A,0), MATCH('Project Information'!$C$4,Translations!$D$1:$ZZ$1,0))</f>
        <v/>
      </c>
      <c r="BL7" s="38">
        <f>MAX(N(Development!$G$35),0)</f>
        <v/>
      </c>
      <c r="BM7" s="38" t="n">
        <v>1</v>
      </c>
      <c r="BN7" s="38">
        <f>BL7*BM7</f>
        <v/>
      </c>
    </row>
    <row r="8" ht="15" customHeight="1" s="39">
      <c r="A8" s="38">
        <f>'Project Definitions'!$D$8</f>
        <v/>
      </c>
      <c r="B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Days'!$AA:$AA,0),MATCH(B$1,'Fixed Days'!$B$3:$P$3,0)),0)*IFERROR(IF(OR(TRIM("")="Evet",TRIM("")="Yes"),MAX(N('Module Selection'!$C8),1),1),1)+IFERROR(SUMIFS($BF$2:$BF$700,$BB$2:$BB$700,$A8,$BC$2:$BC$700,B$1),0)+0))</f>
        <v/>
      </c>
      <c r="C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Days'!$AA:$AA,0),MATCH(C$1,'Fixed Days'!$B$3:$P$3,0)),0)*IFERROR(IF(OR(TRIM("")="Evet",TRIM("")="Yes"),MAX(N('Module Selection'!$C8),1),1),1)+IFERROR(SUMIFS($BF$2:$BF$700,$BB$2:$BB$700,$A8,$BC$2:$BC$700,C$1),0)+0))</f>
        <v/>
      </c>
      <c r="D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Days'!$AA:$AA,0),MATCH(D$1,'Fixed Days'!$B$3:$P$3,0)),0)*IFERROR(IF(OR(TRIM("")="Evet",TRIM("")="Yes"),MAX(N('Module Selection'!$C8),1),1),1)+IFERROR(SUMIFS($BF$2:$BF$700,$BB$2:$BB$700,$A8,$BC$2:$BC$700,D$1),0)+0))</f>
        <v/>
      </c>
      <c r="E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Days'!$AA:$AA,0),MATCH(E$1,'Fixed Days'!$B$3:$P$3,0)),0)*IFERROR(IF(OR(TRIM("")="Evet",TRIM("")="Yes"),MAX(N('Module Selection'!$C8),1),1),1)+IFERROR(SUMIFS($BF$2:$BF$700,$BB$2:$BB$700,$A8,$BC$2:$BC$700,E$1),0)+0))</f>
        <v/>
      </c>
      <c r="F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Days'!$AA:$AA,0),MATCH(F$1,'Fixed Days'!$B$3:$P$3,0)),0)*IFERROR(IF(OR(TRIM("")="Evet",TRIM("")="Yes"),MAX(N('Module Selection'!$C8),1),1),1)+IFERROR(SUMIFS($BF$2:$BF$700,$BB$2:$BB$700,$A8,$BC$2:$BC$700,F$1),0)+0))</f>
        <v/>
      </c>
      <c r="G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Days'!$AA:$AA,0),MATCH(G$1,'Fixed Days'!$B$3:$P$3,0)),0)*IFERROR(IF(OR(TRIM("")="Evet",TRIM("")="Yes"),MAX(N('Module Selection'!$C8),1),1),1)+IFERROR(SUMIFS($BF$2:$BF$700,$BB$2:$BB$700,$A8,$BC$2:$BC$700,G$1),0)+0))</f>
        <v/>
      </c>
      <c r="H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Days'!$AA:$AA,0),MATCH(H$1,'Fixed Days'!$B$3:$P$3,0)),0)*IFERROR(IF(OR(TRIM("")="Evet",TRIM("")="Yes"),MAX(N('Module Selection'!$C8),1),1),1)+IFERROR(SUMIFS($BF$2:$BF$700,$BB$2:$BB$700,$A8,$BC$2:$BC$700,H$1),0)+0))</f>
        <v/>
      </c>
      <c r="I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Days'!$AA:$AA,0),MATCH(I$1,'Fixed Days'!$B$3:$P$3,0)),0)*IFERROR(IF(OR(TRIM("")="Evet",TRIM("")="Yes"),MAX(N('Module Selection'!$C8),1),1),1)+IFERROR(SUMIFS($BF$2:$BF$700,$BB$2:$BB$700,$A8,$BC$2:$BC$700,I$1),0)+0))</f>
        <v/>
      </c>
      <c r="J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Days'!$AA:$AA,0),MATCH(J$1,'Fixed Days'!$B$3:$P$3,0)),0)*IFERROR(IF(OR(TRIM("")="Evet",TRIM("")="Yes"),MAX(N('Module Selection'!$C8),1),1),1)+IFERROR(SUMIFS($BF$2:$BF$700,$BB$2:$BB$700,$A8,$BC$2:$BC$700,J$1),0)+0))</f>
        <v/>
      </c>
      <c r="K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Days'!$AA:$AA,0),MATCH(K$1,'Fixed Days'!$B$3:$P$3,0)),0)*IFERROR(IF(OR(TRIM("")="Evet",TRIM("")="Yes"),MAX(N('Module Selection'!$C8),1),1),1)+IFERROR(SUMIFS($BF$2:$BF$700,$BB$2:$BB$700,$A8,$BC$2:$BC$700,K$1),0)+0))</f>
        <v/>
      </c>
      <c r="L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Days'!$AA:$AA,0),MATCH(L$1,'Fixed Days'!$B$3:$P$3,0)),0)*IFERROR(IF(OR(TRIM("")="Evet",TRIM("")="Yes"),MAX(N('Module Selection'!$C8),1),1),1)+IFERROR(SUMIFS($BF$2:$BF$700,$BB$2:$BB$700,$A8,$BC$2:$BC$700,L$1),0)+0))</f>
        <v/>
      </c>
      <c r="M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Days'!$AA:$AA,0),MATCH(M$1,'Fixed Days'!$B$3:$P$3,0)),0)*IFERROR(IF(OR(TRIM("")="Evet",TRIM("")="Yes"),MAX(N('Module Selection'!$C8),1),1),1)+IFERROR(SUMIFS($BF$2:$BF$700,$BB$2:$BB$700,$A8,$BC$2:$BC$700,M$1),0)+0))</f>
        <v/>
      </c>
      <c r="N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Days'!$AA:$AA,0),MATCH(N$1,'Fixed Days'!$B$3:$P$3,0)),0)*IFERROR(IF(OR(TRIM("")="Evet",TRIM("")="Yes"),MAX(N('Module Selection'!$C8),1),1),1)+IFERROR(SUMIFS($BF$2:$BF$700,$BB$2:$BB$700,$A8,$BC$2:$BC$700,N$1),0)+0))</f>
        <v/>
      </c>
      <c r="O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Days'!$AA:$AA,0),MATCH(O$1,'Fixed Days'!$B$3:$P$3,0)),0)*IFERROR(IF(OR(TRIM("")="Evet",TRIM("")="Yes"),MAX(N('Module Selection'!$C8),1),1),1)+IFERROR(SUMIFS($BF$2:$BF$700,$BB$2:$BB$700,$A8,$BC$2:$BC$700,O$1),0)+IFERROR(INDEX('Hypercare &amp; Go Live Support'!$G:$G,MATCH($A8,'Hypercare &amp; Go Live Support'!$A:$A,0)),0)))</f>
        <v/>
      </c>
      <c r="P8" s="38">
        <f>IF(AND('Module Selection'!$B8&lt;&gt;"Var",'Module Selection'!$B8&lt;&gt;"Include"),"",IF($A8="","",IFERROR(INDEX('Fixed Days'!$B:$P,MATCH('Project Information'!$C$11&amp;"|"&amp;IF(Scope!$J$9="S","SMALL",IF(Scope!$J$9="M","MEDIUM",IF(Scope!$J$9="L","LARGE","X-LARGE")))&amp;"|"&amp;$A8,'Fixed Days'!$AA:$AA,0),MATCH(P$1,'Fixed Days'!$B$3:$P$3,0)),0)*IFERROR(IF(OR(TRIM("")="Evet",TRIM("")="Yes"),MAX(N('Module Selection'!$C8),1),1),1)+IFERROR(SUMIFS($BF$2:$BF$700,$BB$2:$BB$700,$A8,$BC$2:$BC$700,P$1),0)+IFERROR(INDEX('Hypercare &amp; Go Live Support'!$F:$F,MATCH($A8,'Hypercare &amp; Go Live Support'!$A:$A,0)),0)))</f>
        <v/>
      </c>
      <c r="Q8" s="38">
        <f>SUM(B8:P8)</f>
        <v/>
      </c>
      <c r="AZ8" s="38">
        <f>INDEX(Translations!$D:$ZZ, MATCH(305,Translations!$A:$A,0), MATCH('Project Information'!$C$4,Translations!$D$1:$ZZ$1,0))</f>
        <v/>
      </c>
      <c r="BA8" s="38">
        <f>INDEX(Translations!$D:$ZZ, MATCH(32,Translations!$A:$A,0), MATCH('Project Information'!$C$4,Translations!$D$1:$ZZ$1,0))</f>
        <v/>
      </c>
      <c r="BB8" s="38">
        <f>INDEX(Translations!$D:$ZZ, MATCH(341,Translations!$A:$A,0), MATCH('Project Information'!$C$4,Translations!$D$1:$ZZ$1,0))</f>
        <v/>
      </c>
      <c r="BC8" s="38">
        <f>INDEX(Translations!$D:$ZZ, MATCH(76,Translations!$A:$A,0), MATCH('Project Information'!$C$4,Translations!$D$1:$ZZ$1,0))</f>
        <v/>
      </c>
      <c r="BD8" s="38">
        <f>IF(OR(TRIM("")="Evet",TRIM("")="Yes"),1,0)</f>
        <v/>
      </c>
      <c r="BE8" s="38" t="n">
        <v>1</v>
      </c>
      <c r="BF8" s="38">
        <f>BD8*BE8</f>
        <v/>
      </c>
      <c r="BH8" s="38">
        <f>INDEX(Translations!$D:$ZZ, MATCH(306,Translations!$A:$A,0), MATCH('Project Information'!$C$4,Translations!$D$1:$ZZ$1,0))</f>
        <v/>
      </c>
      <c r="BI8" s="38">
        <f>INDEX(Translations!$D:$ZZ, MATCH(251,Translations!$A:$A,0), MATCH('Project Information'!$C$4,Translations!$D$1:$ZZ$1,0))</f>
        <v/>
      </c>
      <c r="BJ8" s="38">
        <f>INDEX(Translations!$D:$ZZ, MATCH(337,Translations!$A:$A,0), MATCH('Project Information'!$C$4,Translations!$D$1:$ZZ$1,0))</f>
        <v/>
      </c>
      <c r="BK8" s="38">
        <f>INDEX(Translations!$D:$ZZ, MATCH(79,Translations!$A:$A,0), MATCH('Project Information'!$C$4,Translations!$D$1:$ZZ$1,0))</f>
        <v/>
      </c>
      <c r="BL8" s="38">
        <f>MAX(N(Development!$G$35),0)</f>
        <v/>
      </c>
      <c r="BM8" s="38" t="n">
        <v>5</v>
      </c>
      <c r="BN8" s="38">
        <f>BL8*BM8</f>
        <v/>
      </c>
    </row>
    <row r="9" ht="15" customHeight="1" s="39">
      <c r="A9" s="38">
        <f>'Project Definitions'!$D$9</f>
        <v/>
      </c>
      <c r="B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Days'!$AA:$AA,0),MATCH(B$1,'Fixed Days'!$B$3:$P$3,0)),0)*IFERROR(IF(OR(TRIM("")="Evet",TRIM("")="Yes"),MAX(N('Module Selection'!$C9),1),1),1)+IFERROR(SUMIFS($BF$2:$BF$700,$BB$2:$BB$700,$A9,$BC$2:$BC$700,B$1),0)+0))</f>
        <v/>
      </c>
      <c r="C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Days'!$AA:$AA,0),MATCH(C$1,'Fixed Days'!$B$3:$P$3,0)),0)*IFERROR(IF(OR(TRIM("")="Evet",TRIM("")="Yes"),MAX(N('Module Selection'!$C9),1),1),1)+IFERROR(SUMIFS($BF$2:$BF$700,$BB$2:$BB$700,$A9,$BC$2:$BC$700,C$1),0)+0))</f>
        <v/>
      </c>
      <c r="D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Days'!$AA:$AA,0),MATCH(D$1,'Fixed Days'!$B$3:$P$3,0)),0)*IFERROR(IF(OR(TRIM("")="Evet",TRIM("")="Yes"),MAX(N('Module Selection'!$C9),1),1),1)+IFERROR(SUMIFS($BF$2:$BF$700,$BB$2:$BB$700,$A9,$BC$2:$BC$700,D$1),0)+0))</f>
        <v/>
      </c>
      <c r="E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Days'!$AA:$AA,0),MATCH(E$1,'Fixed Days'!$B$3:$P$3,0)),0)*IFERROR(IF(OR(TRIM("")="Evet",TRIM("")="Yes"),MAX(N('Module Selection'!$C9),1),1),1)+IFERROR(SUMIFS($BF$2:$BF$700,$BB$2:$BB$700,$A9,$BC$2:$BC$700,E$1),0)+0))</f>
        <v/>
      </c>
      <c r="F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Days'!$AA:$AA,0),MATCH(F$1,'Fixed Days'!$B$3:$P$3,0)),0)*IFERROR(IF(OR(TRIM("")="Evet",TRIM("")="Yes"),MAX(N('Module Selection'!$C9),1),1),1)+IFERROR(SUMIFS($BF$2:$BF$700,$BB$2:$BB$700,$A9,$BC$2:$BC$700,F$1),0)+0))</f>
        <v/>
      </c>
      <c r="G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Days'!$AA:$AA,0),MATCH(G$1,'Fixed Days'!$B$3:$P$3,0)),0)*IFERROR(IF(OR(TRIM("")="Evet",TRIM("")="Yes"),MAX(N('Module Selection'!$C9),1),1),1)+IFERROR(SUMIFS($BF$2:$BF$700,$BB$2:$BB$700,$A9,$BC$2:$BC$700,G$1),0)+0))</f>
        <v/>
      </c>
      <c r="H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Days'!$AA:$AA,0),MATCH(H$1,'Fixed Days'!$B$3:$P$3,0)),0)*IFERROR(IF(OR(TRIM("")="Evet",TRIM("")="Yes"),MAX(N('Module Selection'!$C9),1),1),1)+IFERROR(SUMIFS($BF$2:$BF$700,$BB$2:$BB$700,$A9,$BC$2:$BC$700,H$1),0)+0))</f>
        <v/>
      </c>
      <c r="I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Days'!$AA:$AA,0),MATCH(I$1,'Fixed Days'!$B$3:$P$3,0)),0)*IFERROR(IF(OR(TRIM("")="Evet",TRIM("")="Yes"),MAX(N('Module Selection'!$C9),1),1),1)+IFERROR(SUMIFS($BF$2:$BF$700,$BB$2:$BB$700,$A9,$BC$2:$BC$700,I$1),0)+0))</f>
        <v/>
      </c>
      <c r="J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Days'!$AA:$AA,0),MATCH(J$1,'Fixed Days'!$B$3:$P$3,0)),0)*IFERROR(IF(OR(TRIM("")="Evet",TRIM("")="Yes"),MAX(N('Module Selection'!$C9),1),1),1)+IFERROR(SUMIFS($BF$2:$BF$700,$BB$2:$BB$700,$A9,$BC$2:$BC$700,J$1),0)+0))</f>
        <v/>
      </c>
      <c r="K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Days'!$AA:$AA,0),MATCH(K$1,'Fixed Days'!$B$3:$P$3,0)),0)*IFERROR(IF(OR(TRIM("")="Evet",TRIM("")="Yes"),MAX(N('Module Selection'!$C9),1),1),1)+IFERROR(SUMIFS($BF$2:$BF$700,$BB$2:$BB$700,$A9,$BC$2:$BC$700,K$1),0)+0))</f>
        <v/>
      </c>
      <c r="L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Days'!$AA:$AA,0),MATCH(L$1,'Fixed Days'!$B$3:$P$3,0)),0)*IFERROR(IF(OR(TRIM("")="Evet",TRIM("")="Yes"),MAX(N('Module Selection'!$C9),1),1),1)+IFERROR(SUMIFS($BF$2:$BF$700,$BB$2:$BB$700,$A9,$BC$2:$BC$700,L$1),0)+0))</f>
        <v/>
      </c>
      <c r="M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Days'!$AA:$AA,0),MATCH(M$1,'Fixed Days'!$B$3:$P$3,0)),0)*IFERROR(IF(OR(TRIM("")="Evet",TRIM("")="Yes"),MAX(N('Module Selection'!$C9),1),1),1)+IFERROR(SUMIFS($BF$2:$BF$700,$BB$2:$BB$700,$A9,$BC$2:$BC$700,M$1),0)+0))</f>
        <v/>
      </c>
      <c r="N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Days'!$AA:$AA,0),MATCH(N$1,'Fixed Days'!$B$3:$P$3,0)),0)*IFERROR(IF(OR(TRIM("")="Evet",TRIM("")="Yes"),MAX(N('Module Selection'!$C9),1),1),1)+IFERROR(SUMIFS($BF$2:$BF$700,$BB$2:$BB$700,$A9,$BC$2:$BC$700,N$1),0)+0))</f>
        <v/>
      </c>
      <c r="O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Days'!$AA:$AA,0),MATCH(O$1,'Fixed Days'!$B$3:$P$3,0)),0)*IFERROR(IF(OR(TRIM("")="Evet",TRIM("")="Yes"),MAX(N('Module Selection'!$C9),1),1),1)+IFERROR(SUMIFS($BF$2:$BF$700,$BB$2:$BB$700,$A9,$BC$2:$BC$700,O$1),0)+IFERROR(INDEX('Hypercare &amp; Go Live Support'!$G:$G,MATCH($A9,'Hypercare &amp; Go Live Support'!$A:$A,0)),0)))</f>
        <v/>
      </c>
      <c r="P9" s="38">
        <f>IF(AND('Module Selection'!$B9&lt;&gt;"Var",'Module Selection'!$B9&lt;&gt;"Include"),"",IF($A9="","",IFERROR(INDEX('Fixed Days'!$B:$P,MATCH('Project Information'!$C$11&amp;"|"&amp;IF(Scope!$J$9="S","SMALL",IF(Scope!$J$9="M","MEDIUM",IF(Scope!$J$9="L","LARGE","X-LARGE")))&amp;"|"&amp;$A9,'Fixed Days'!$AA:$AA,0),MATCH(P$1,'Fixed Days'!$B$3:$P$3,0)),0)*IFERROR(IF(OR(TRIM("")="Evet",TRIM("")="Yes"),MAX(N('Module Selection'!$C9),1),1),1)+IFERROR(SUMIFS($BF$2:$BF$700,$BB$2:$BB$700,$A9,$BC$2:$BC$700,P$1),0)+IFERROR(INDEX('Hypercare &amp; Go Live Support'!$F:$F,MATCH($A9,'Hypercare &amp; Go Live Support'!$A:$A,0)),0)))</f>
        <v/>
      </c>
      <c r="Q9" s="38">
        <f>SUM(B9:P9)</f>
        <v/>
      </c>
      <c r="AZ9" s="38">
        <f>INDEX(Translations!$D:$ZZ, MATCH(305,Translations!$A:$A,0), MATCH('Project Information'!$C$4,Translations!$D$1:$ZZ$1,0))</f>
        <v/>
      </c>
      <c r="BA9" s="38">
        <f>INDEX(Translations!$D:$ZZ, MATCH(32,Translations!$A:$A,0), MATCH('Project Information'!$C$4,Translations!$D$1:$ZZ$1,0))</f>
        <v/>
      </c>
      <c r="BB9" s="38">
        <f>INDEX(Translations!$D:$ZZ, MATCH(341,Translations!$A:$A,0), MATCH('Project Information'!$C$4,Translations!$D$1:$ZZ$1,0))</f>
        <v/>
      </c>
      <c r="BC9" s="38">
        <f>INDEX(Translations!$D:$ZZ, MATCH(79,Translations!$A:$A,0), MATCH('Project Information'!$C$4,Translations!$D$1:$ZZ$1,0))</f>
        <v/>
      </c>
      <c r="BD9" s="38">
        <f>IF(OR(TRIM("")="Evet",TRIM("")="Yes"),1,0)</f>
        <v/>
      </c>
      <c r="BE9" s="38" t="n">
        <v>1</v>
      </c>
      <c r="BF9" s="38">
        <f>BD9*BE9</f>
        <v/>
      </c>
      <c r="BH9" s="38">
        <f>INDEX(Translations!$D:$ZZ, MATCH(306,Translations!$A:$A,0), MATCH('Project Information'!$C$4,Translations!$D$1:$ZZ$1,0))</f>
        <v/>
      </c>
      <c r="BI9" s="38">
        <f>INDEX(Translations!$D:$ZZ, MATCH(205,Translations!$A:$A,0), MATCH('Project Information'!$C$4,Translations!$D$1:$ZZ$1,0))</f>
        <v/>
      </c>
      <c r="BJ9" s="38">
        <f>INDEX(Translations!$D:$ZZ, MATCH(346,Translations!$A:$A,0), MATCH('Project Information'!$C$4,Translations!$D$1:$ZZ$1,0))</f>
        <v/>
      </c>
      <c r="BK9" s="38">
        <f>INDEX(Translations!$D:$ZZ, MATCH(78,Translations!$A:$A,0), MATCH('Project Information'!$C$4,Translations!$D$1:$ZZ$1,0))</f>
        <v/>
      </c>
      <c r="BL9" s="38">
        <f>MAX(N(Development!$G$17),0)</f>
        <v/>
      </c>
      <c r="BM9" s="38" t="n">
        <v>5</v>
      </c>
      <c r="BN9" s="38">
        <f>BL9*BM9</f>
        <v/>
      </c>
    </row>
    <row r="10" ht="15" customHeight="1" s="39">
      <c r="A10" s="38">
        <f>'Project Definitions'!$D$10</f>
        <v/>
      </c>
      <c r="B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Days'!$AA:$AA,0),MATCH(B$1,'Fixed Days'!$B$3:$P$3,0)),0)*IFERROR(IF(OR(TRIM("")="Evet",TRIM("")="Yes"),MAX(N('Module Selection'!$C10),1),1),1)+IFERROR(SUMIFS($BF$2:$BF$700,$BB$2:$BB$700,$A10,$BC$2:$BC$700,B$1),0)+0))</f>
        <v/>
      </c>
      <c r="C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Days'!$AA:$AA,0),MATCH(C$1,'Fixed Days'!$B$3:$P$3,0)),0)*IFERROR(IF(OR(TRIM("")="Evet",TRIM("")="Yes"),MAX(N('Module Selection'!$C10),1),1),1)+IFERROR(SUMIFS($BF$2:$BF$700,$BB$2:$BB$700,$A10,$BC$2:$BC$700,C$1),0)+0))</f>
        <v/>
      </c>
      <c r="D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Days'!$AA:$AA,0),MATCH(D$1,'Fixed Days'!$B$3:$P$3,0)),0)*IFERROR(IF(OR(TRIM("")="Evet",TRIM("")="Yes"),MAX(N('Module Selection'!$C10),1),1),1)+IFERROR(SUMIFS($BF$2:$BF$700,$BB$2:$BB$700,$A10,$BC$2:$BC$700,D$1),0)+0))</f>
        <v/>
      </c>
      <c r="E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Days'!$AA:$AA,0),MATCH(E$1,'Fixed Days'!$B$3:$P$3,0)),0)*IFERROR(IF(OR(TRIM("")="Evet",TRIM("")="Yes"),MAX(N('Module Selection'!$C10),1),1),1)+IFERROR(SUMIFS($BF$2:$BF$700,$BB$2:$BB$700,$A10,$BC$2:$BC$700,E$1),0)+0))</f>
        <v/>
      </c>
      <c r="F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Days'!$AA:$AA,0),MATCH(F$1,'Fixed Days'!$B$3:$P$3,0)),0)*IFERROR(IF(OR(TRIM("")="Evet",TRIM("")="Yes"),MAX(N('Module Selection'!$C10),1),1),1)+IFERROR(SUMIFS($BF$2:$BF$700,$BB$2:$BB$700,$A10,$BC$2:$BC$700,F$1),0)+0))</f>
        <v/>
      </c>
      <c r="G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Days'!$AA:$AA,0),MATCH(G$1,'Fixed Days'!$B$3:$P$3,0)),0)*IFERROR(IF(OR(TRIM("")="Evet",TRIM("")="Yes"),MAX(N('Module Selection'!$C10),1),1),1)+IFERROR(SUMIFS($BF$2:$BF$700,$BB$2:$BB$700,$A10,$BC$2:$BC$700,G$1),0)+0))</f>
        <v/>
      </c>
      <c r="H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Days'!$AA:$AA,0),MATCH(H$1,'Fixed Days'!$B$3:$P$3,0)),0)*IFERROR(IF(OR(TRIM("")="Evet",TRIM("")="Yes"),MAX(N('Module Selection'!$C10),1),1),1)+IFERROR(SUMIFS($BF$2:$BF$700,$BB$2:$BB$700,$A10,$BC$2:$BC$700,H$1),0)+0))</f>
        <v/>
      </c>
      <c r="I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Days'!$AA:$AA,0),MATCH(I$1,'Fixed Days'!$B$3:$P$3,0)),0)*IFERROR(IF(OR(TRIM("")="Evet",TRIM("")="Yes"),MAX(N('Module Selection'!$C10),1),1),1)+IFERROR(SUMIFS($BF$2:$BF$700,$BB$2:$BB$700,$A10,$BC$2:$BC$700,I$1),0)+0))</f>
        <v/>
      </c>
      <c r="J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Days'!$AA:$AA,0),MATCH(J$1,'Fixed Days'!$B$3:$P$3,0)),0)*IFERROR(IF(OR(TRIM("")="Evet",TRIM("")="Yes"),MAX(N('Module Selection'!$C10),1),1),1)+IFERROR(SUMIFS($BF$2:$BF$700,$BB$2:$BB$700,$A10,$BC$2:$BC$700,J$1),0)+0))</f>
        <v/>
      </c>
      <c r="K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Days'!$AA:$AA,0),MATCH(K$1,'Fixed Days'!$B$3:$P$3,0)),0)*IFERROR(IF(OR(TRIM("")="Evet",TRIM("")="Yes"),MAX(N('Module Selection'!$C10),1),1),1)+IFERROR(SUMIFS($BF$2:$BF$700,$BB$2:$BB$700,$A10,$BC$2:$BC$700,K$1),0)+0))</f>
        <v/>
      </c>
      <c r="L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Days'!$AA:$AA,0),MATCH(L$1,'Fixed Days'!$B$3:$P$3,0)),0)*IFERROR(IF(OR(TRIM("")="Evet",TRIM("")="Yes"),MAX(N('Module Selection'!$C10),1),1),1)+IFERROR(SUMIFS($BF$2:$BF$700,$BB$2:$BB$700,$A10,$BC$2:$BC$700,L$1),0)+0))</f>
        <v/>
      </c>
      <c r="M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Days'!$AA:$AA,0),MATCH(M$1,'Fixed Days'!$B$3:$P$3,0)),0)*IFERROR(IF(OR(TRIM("")="Evet",TRIM("")="Yes"),MAX(N('Module Selection'!$C10),1),1),1)+IFERROR(SUMIFS($BF$2:$BF$700,$BB$2:$BB$700,$A10,$BC$2:$BC$700,M$1),0)+0))</f>
        <v/>
      </c>
      <c r="N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Days'!$AA:$AA,0),MATCH(N$1,'Fixed Days'!$B$3:$P$3,0)),0)*IFERROR(IF(OR(TRIM("")="Evet",TRIM("")="Yes"),MAX(N('Module Selection'!$C10),1),1),1)+IFERROR(SUMIFS($BF$2:$BF$700,$BB$2:$BB$700,$A10,$BC$2:$BC$700,N$1),0)+0))</f>
        <v/>
      </c>
      <c r="O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Days'!$AA:$AA,0),MATCH(O$1,'Fixed Days'!$B$3:$P$3,0)),0)*IFERROR(IF(OR(TRIM("")="Evet",TRIM("")="Yes"),MAX(N('Module Selection'!$C10),1),1),1)+IFERROR(SUMIFS($BF$2:$BF$700,$BB$2:$BB$700,$A10,$BC$2:$BC$700,O$1),0)+IFERROR(INDEX('Hypercare &amp; Go Live Support'!$G:$G,MATCH($A10,'Hypercare &amp; Go Live Support'!$A:$A,0)),0)))</f>
        <v/>
      </c>
      <c r="P10" s="38">
        <f>IF(AND('Module Selection'!$B10&lt;&gt;"Var",'Module Selection'!$B10&lt;&gt;"Include"),"",IF($A10="","",IFERROR(INDEX('Fixed Days'!$B:$P,MATCH('Project Information'!$C$11&amp;"|"&amp;IF(Scope!$J$9="S","SMALL",IF(Scope!$J$9="M","MEDIUM",IF(Scope!$J$9="L","LARGE","X-LARGE")))&amp;"|"&amp;$A10,'Fixed Days'!$AA:$AA,0),MATCH(P$1,'Fixed Days'!$B$3:$P$3,0)),0)*IFERROR(IF(OR(TRIM("")="Evet",TRIM("")="Yes"),MAX(N('Module Selection'!$C10),1),1),1)+IFERROR(SUMIFS($BF$2:$BF$700,$BB$2:$BB$700,$A10,$BC$2:$BC$700,P$1),0)+IFERROR(INDEX('Hypercare &amp; Go Live Support'!$F:$F,MATCH($A10,'Hypercare &amp; Go Live Support'!$A:$A,0)),0)))</f>
        <v/>
      </c>
      <c r="Q10" s="38">
        <f>SUM(B10:P10)</f>
        <v/>
      </c>
      <c r="AZ10" s="38">
        <f>INDEX(Translations!$D:$ZZ, MATCH(305,Translations!$A:$A,0), MATCH('Project Information'!$C$4,Translations!$D$1:$ZZ$1,0))</f>
        <v/>
      </c>
      <c r="BA10" s="38">
        <f>INDEX(Translations!$D:$ZZ, MATCH(32,Translations!$A:$A,0), MATCH('Project Information'!$C$4,Translations!$D$1:$ZZ$1,0))</f>
        <v/>
      </c>
      <c r="BB10" s="38">
        <f>INDEX(Translations!$D:$ZZ, MATCH(341,Translations!$A:$A,0), MATCH('Project Information'!$C$4,Translations!$D$1:$ZZ$1,0))</f>
        <v/>
      </c>
      <c r="BC10" s="38">
        <f>INDEX(Translations!$D:$ZZ, MATCH(82,Translations!$A:$A,0), MATCH('Project Information'!$C$4,Translations!$D$1:$ZZ$1,0))</f>
        <v/>
      </c>
      <c r="BD10" s="38">
        <f>IF(OR(TRIM("")="Evet",TRIM("")="Yes"),1,0)</f>
        <v/>
      </c>
      <c r="BE10" s="38" t="n">
        <v>0.5</v>
      </c>
      <c r="BF10" s="38">
        <f>BD10*BE10</f>
        <v/>
      </c>
      <c r="BH10" s="38">
        <f>INDEX(Translations!$D:$ZZ, MATCH(306,Translations!$A:$A,0), MATCH('Project Information'!$C$4,Translations!$D$1:$ZZ$1,0))</f>
        <v/>
      </c>
      <c r="BI10" s="38">
        <f>INDEX(Translations!$D:$ZZ, MATCH(205,Translations!$A:$A,0), MATCH('Project Information'!$C$4,Translations!$D$1:$ZZ$1,0))</f>
        <v/>
      </c>
      <c r="BJ10" s="38">
        <f>INDEX(Translations!$D:$ZZ, MATCH(332,Translations!$A:$A,0), MATCH('Project Information'!$C$4,Translations!$D$1:$ZZ$1,0))</f>
        <v/>
      </c>
      <c r="BK10" s="38">
        <f>INDEX(Translations!$D:$ZZ, MATCH(75,Translations!$A:$A,0), MATCH('Project Information'!$C$4,Translations!$D$1:$ZZ$1,0))</f>
        <v/>
      </c>
      <c r="BL10" s="38">
        <f>MAX(N(Development!$G$17),0)</f>
        <v/>
      </c>
      <c r="BM10" s="38" t="n">
        <v>0.5</v>
      </c>
      <c r="BN10" s="38">
        <f>BL10*BM10</f>
        <v/>
      </c>
    </row>
    <row r="11" ht="15" customHeight="1" s="39">
      <c r="A11" s="38">
        <f>'Project Definitions'!$D$11</f>
        <v/>
      </c>
      <c r="B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Days'!$AA:$AA,0),MATCH(B$1,'Fixed Days'!$B$3:$P$3,0)),0)*IFERROR(IF(OR(TRIM("")="Evet",TRIM("")="Yes"),MAX(N('Module Selection'!$C11),1),1),1)+IFERROR(SUMIFS($BF$2:$BF$700,$BB$2:$BB$700,$A11,$BC$2:$BC$700,B$1),0)+0))</f>
        <v/>
      </c>
      <c r="C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Days'!$AA:$AA,0),MATCH(C$1,'Fixed Days'!$B$3:$P$3,0)),0)*IFERROR(IF(OR(TRIM("")="Evet",TRIM("")="Yes"),MAX(N('Module Selection'!$C11),1),1),1)+IFERROR(SUMIFS($BF$2:$BF$700,$BB$2:$BB$700,$A11,$BC$2:$BC$700,C$1),0)+0))</f>
        <v/>
      </c>
      <c r="D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Days'!$AA:$AA,0),MATCH(D$1,'Fixed Days'!$B$3:$P$3,0)),0)*IFERROR(IF(OR(TRIM("")="Evet",TRIM("")="Yes"),MAX(N('Module Selection'!$C11),1),1),1)+IFERROR(SUMIFS($BF$2:$BF$700,$BB$2:$BB$700,$A11,$BC$2:$BC$700,D$1),0)+0))</f>
        <v/>
      </c>
      <c r="E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Days'!$AA:$AA,0),MATCH(E$1,'Fixed Days'!$B$3:$P$3,0)),0)*IFERROR(IF(OR(TRIM("")="Evet",TRIM("")="Yes"),MAX(N('Module Selection'!$C11),1),1),1)+IFERROR(SUMIFS($BF$2:$BF$700,$BB$2:$BB$700,$A11,$BC$2:$BC$700,E$1),0)+0))</f>
        <v/>
      </c>
      <c r="F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Days'!$AA:$AA,0),MATCH(F$1,'Fixed Days'!$B$3:$P$3,0)),0)*IFERROR(IF(OR(TRIM("")="Evet",TRIM("")="Yes"),MAX(N('Module Selection'!$C11),1),1),1)+IFERROR(SUMIFS($BF$2:$BF$700,$BB$2:$BB$700,$A11,$BC$2:$BC$700,F$1),0)+0))</f>
        <v/>
      </c>
      <c r="G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Days'!$AA:$AA,0),MATCH(G$1,'Fixed Days'!$B$3:$P$3,0)),0)*IFERROR(IF(OR(TRIM("")="Evet",TRIM("")="Yes"),MAX(N('Module Selection'!$C11),1),1),1)+IFERROR(SUMIFS($BF$2:$BF$700,$BB$2:$BB$700,$A11,$BC$2:$BC$700,G$1),0)+0))</f>
        <v/>
      </c>
      <c r="H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Days'!$AA:$AA,0),MATCH(H$1,'Fixed Days'!$B$3:$P$3,0)),0)*IFERROR(IF(OR(TRIM("")="Evet",TRIM("")="Yes"),MAX(N('Module Selection'!$C11),1),1),1)+IFERROR(SUMIFS($BF$2:$BF$700,$BB$2:$BB$700,$A11,$BC$2:$BC$700,H$1),0)+0))</f>
        <v/>
      </c>
      <c r="I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Days'!$AA:$AA,0),MATCH(I$1,'Fixed Days'!$B$3:$P$3,0)),0)*IFERROR(IF(OR(TRIM("")="Evet",TRIM("")="Yes"),MAX(N('Module Selection'!$C11),1),1),1)+IFERROR(SUMIFS($BF$2:$BF$700,$BB$2:$BB$700,$A11,$BC$2:$BC$700,I$1),0)+0))</f>
        <v/>
      </c>
      <c r="J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Days'!$AA:$AA,0),MATCH(J$1,'Fixed Days'!$B$3:$P$3,0)),0)*IFERROR(IF(OR(TRIM("")="Evet",TRIM("")="Yes"),MAX(N('Module Selection'!$C11),1),1),1)+IFERROR(SUMIFS($BF$2:$BF$700,$BB$2:$BB$700,$A11,$BC$2:$BC$700,J$1),0)+0))</f>
        <v/>
      </c>
      <c r="K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Days'!$AA:$AA,0),MATCH(K$1,'Fixed Days'!$B$3:$P$3,0)),0)*IFERROR(IF(OR(TRIM("")="Evet",TRIM("")="Yes"),MAX(N('Module Selection'!$C11),1),1),1)+IFERROR(SUMIFS($BF$2:$BF$700,$BB$2:$BB$700,$A11,$BC$2:$BC$700,K$1),0)+0))</f>
        <v/>
      </c>
      <c r="L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Days'!$AA:$AA,0),MATCH(L$1,'Fixed Days'!$B$3:$P$3,0)),0)*IFERROR(IF(OR(TRIM("")="Evet",TRIM("")="Yes"),MAX(N('Module Selection'!$C11),1),1),1)+IFERROR(SUMIFS($BF$2:$BF$700,$BB$2:$BB$700,$A11,$BC$2:$BC$700,L$1),0)+0))</f>
        <v/>
      </c>
      <c r="M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Days'!$AA:$AA,0),MATCH(M$1,'Fixed Days'!$B$3:$P$3,0)),0)*IFERROR(IF(OR(TRIM("")="Evet",TRIM("")="Yes"),MAX(N('Module Selection'!$C11),1),1),1)+IFERROR(SUMIFS($BF$2:$BF$700,$BB$2:$BB$700,$A11,$BC$2:$BC$700,M$1),0)+0))</f>
        <v/>
      </c>
      <c r="N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Days'!$AA:$AA,0),MATCH(N$1,'Fixed Days'!$B$3:$P$3,0)),0)*IFERROR(IF(OR(TRIM("")="Evet",TRIM("")="Yes"),MAX(N('Module Selection'!$C11),1),1),1)+IFERROR(SUMIFS($BF$2:$BF$700,$BB$2:$BB$700,$A11,$BC$2:$BC$700,N$1),0)+0))</f>
        <v/>
      </c>
      <c r="O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Days'!$AA:$AA,0),MATCH(O$1,'Fixed Days'!$B$3:$P$3,0)),0)*IFERROR(IF(OR(TRIM("")="Evet",TRIM("")="Yes"),MAX(N('Module Selection'!$C11),1),1),1)+IFERROR(SUMIFS($BF$2:$BF$700,$BB$2:$BB$700,$A11,$BC$2:$BC$700,O$1),0)+IFERROR(INDEX('Hypercare &amp; Go Live Support'!$G:$G,MATCH($A11,'Hypercare &amp; Go Live Support'!$A:$A,0)),0)))</f>
        <v/>
      </c>
      <c r="P11" s="38">
        <f>IF(AND('Module Selection'!$B11&lt;&gt;"Var",'Module Selection'!$B11&lt;&gt;"Include"),"",IF($A11="","",IFERROR(INDEX('Fixed Days'!$B:$P,MATCH('Project Information'!$C$11&amp;"|"&amp;IF(Scope!$J$9="S","SMALL",IF(Scope!$J$9="M","MEDIUM",IF(Scope!$J$9="L","LARGE","X-LARGE")))&amp;"|"&amp;$A11,'Fixed Days'!$AA:$AA,0),MATCH(P$1,'Fixed Days'!$B$3:$P$3,0)),0)*IFERROR(IF(OR(TRIM("")="Evet",TRIM("")="Yes"),MAX(N('Module Selection'!$C11),1),1),1)+IFERROR(SUMIFS($BF$2:$BF$700,$BB$2:$BB$700,$A11,$BC$2:$BC$700,P$1),0)+IFERROR(INDEX('Hypercare &amp; Go Live Support'!$F:$F,MATCH($A11,'Hypercare &amp; Go Live Support'!$A:$A,0)),0)))</f>
        <v/>
      </c>
      <c r="Q11" s="38">
        <f>SUM(B11:P11)</f>
        <v/>
      </c>
      <c r="AZ11" s="38">
        <f>INDEX(Translations!$D:$ZZ, MATCH(305,Translations!$A:$A,0), MATCH('Project Information'!$C$4,Translations!$D$1:$ZZ$1,0))</f>
        <v/>
      </c>
      <c r="BA11" s="38">
        <f>INDEX(Translations!$D:$ZZ, MATCH(32,Translations!$A:$A,0), MATCH('Project Information'!$C$4,Translations!$D$1:$ZZ$1,0))</f>
        <v/>
      </c>
      <c r="BB11" s="38">
        <f>INDEX(Translations!$D:$ZZ, MATCH(341,Translations!$A:$A,0), MATCH('Project Information'!$C$4,Translations!$D$1:$ZZ$1,0))</f>
        <v/>
      </c>
      <c r="BC11" s="38">
        <f>INDEX(Translations!$D:$ZZ, MATCH(83,Translations!$A:$A,0), MATCH('Project Information'!$C$4,Translations!$D$1:$ZZ$1,0))</f>
        <v/>
      </c>
      <c r="BD11" s="38">
        <f>IF(OR(TRIM("")="Evet",TRIM("")="Yes"),1,0)</f>
        <v/>
      </c>
      <c r="BE11" s="38" t="n">
        <v>1</v>
      </c>
      <c r="BF11" s="38">
        <f>BD11*BE11</f>
        <v/>
      </c>
      <c r="BH11" s="38">
        <f>INDEX(Translations!$D:$ZZ, MATCH(306,Translations!$A:$A,0), MATCH('Project Information'!$C$4,Translations!$D$1:$ZZ$1,0))</f>
        <v/>
      </c>
      <c r="BI11" s="38">
        <f>INDEX(Translations!$D:$ZZ, MATCH(205,Translations!$A:$A,0), MATCH('Project Information'!$C$4,Translations!$D$1:$ZZ$1,0))</f>
        <v/>
      </c>
      <c r="BJ11" s="38">
        <f>INDEX(Translations!$D:$ZZ, MATCH(332,Translations!$A:$A,0), MATCH('Project Information'!$C$4,Translations!$D$1:$ZZ$1,0))</f>
        <v/>
      </c>
      <c r="BK11" s="38">
        <f>INDEX(Translations!$D:$ZZ, MATCH(76,Translations!$A:$A,0), MATCH('Project Information'!$C$4,Translations!$D$1:$ZZ$1,0))</f>
        <v/>
      </c>
      <c r="BL11" s="38">
        <f>MAX(N(Development!$G$17),0)</f>
        <v/>
      </c>
      <c r="BM11" s="38" t="n">
        <v>0.25</v>
      </c>
      <c r="BN11" s="38">
        <f>BL11*BM11</f>
        <v/>
      </c>
    </row>
    <row r="12" ht="15" customHeight="1" s="39">
      <c r="A12" s="38">
        <f>'Project Definitions'!$D$12</f>
        <v/>
      </c>
      <c r="B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Days'!$AA:$AA,0),MATCH(B$1,'Fixed Days'!$B$3:$P$3,0)),0)*IFERROR(IF(OR(TRIM("")="Evet",TRIM("")="Yes"),MAX(N('Module Selection'!$C12),1),1),1)+IFERROR(SUMIFS($BF$2:$BF$700,$BB$2:$BB$700,$A12,$BC$2:$BC$700,B$1),0)+0))</f>
        <v/>
      </c>
      <c r="C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Days'!$AA:$AA,0),MATCH(C$1,'Fixed Days'!$B$3:$P$3,0)),0)*IFERROR(IF(OR(TRIM("")="Evet",TRIM("")="Yes"),MAX(N('Module Selection'!$C12),1),1),1)+IFERROR(SUMIFS($BF$2:$BF$700,$BB$2:$BB$700,$A12,$BC$2:$BC$700,C$1),0)+0))</f>
        <v/>
      </c>
      <c r="D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Days'!$AA:$AA,0),MATCH(D$1,'Fixed Days'!$B$3:$P$3,0)),0)*IFERROR(IF(OR(TRIM("")="Evet",TRIM("")="Yes"),MAX(N('Module Selection'!$C12),1),1),1)+IFERROR(SUMIFS($BF$2:$BF$700,$BB$2:$BB$700,$A12,$BC$2:$BC$700,D$1),0)+0))</f>
        <v/>
      </c>
      <c r="E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Days'!$AA:$AA,0),MATCH(E$1,'Fixed Days'!$B$3:$P$3,0)),0)*IFERROR(IF(OR(TRIM("")="Evet",TRIM("")="Yes"),MAX(N('Module Selection'!$C12),1),1),1)+IFERROR(SUMIFS($BF$2:$BF$700,$BB$2:$BB$700,$A12,$BC$2:$BC$700,E$1),0)+0))</f>
        <v/>
      </c>
      <c r="F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Days'!$AA:$AA,0),MATCH(F$1,'Fixed Days'!$B$3:$P$3,0)),0)*IFERROR(IF(OR(TRIM("")="Evet",TRIM("")="Yes"),MAX(N('Module Selection'!$C12),1),1),1)+IFERROR(SUMIFS($BF$2:$BF$700,$BB$2:$BB$700,$A12,$BC$2:$BC$700,F$1),0)+0))</f>
        <v/>
      </c>
      <c r="G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Days'!$AA:$AA,0),MATCH(G$1,'Fixed Days'!$B$3:$P$3,0)),0)*IFERROR(IF(OR(TRIM("")="Evet",TRIM("")="Yes"),MAX(N('Module Selection'!$C12),1),1),1)+IFERROR(SUMIFS($BF$2:$BF$700,$BB$2:$BB$700,$A12,$BC$2:$BC$700,G$1),0)+0))</f>
        <v/>
      </c>
      <c r="H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Days'!$AA:$AA,0),MATCH(H$1,'Fixed Days'!$B$3:$P$3,0)),0)*IFERROR(IF(OR(TRIM("")="Evet",TRIM("")="Yes"),MAX(N('Module Selection'!$C12),1),1),1)+IFERROR(SUMIFS($BF$2:$BF$700,$BB$2:$BB$700,$A12,$BC$2:$BC$700,H$1),0)+0))</f>
        <v/>
      </c>
      <c r="I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Days'!$AA:$AA,0),MATCH(I$1,'Fixed Days'!$B$3:$P$3,0)),0)*IFERROR(IF(OR(TRIM("")="Evet",TRIM("")="Yes"),MAX(N('Module Selection'!$C12),1),1),1)+IFERROR(SUMIFS($BF$2:$BF$700,$BB$2:$BB$700,$A12,$BC$2:$BC$700,I$1),0)+0))</f>
        <v/>
      </c>
      <c r="J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Days'!$AA:$AA,0),MATCH(J$1,'Fixed Days'!$B$3:$P$3,0)),0)*IFERROR(IF(OR(TRIM("")="Evet",TRIM("")="Yes"),MAX(N('Module Selection'!$C12),1),1),1)+IFERROR(SUMIFS($BF$2:$BF$700,$BB$2:$BB$700,$A12,$BC$2:$BC$700,J$1),0)+0))</f>
        <v/>
      </c>
      <c r="K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Days'!$AA:$AA,0),MATCH(K$1,'Fixed Days'!$B$3:$P$3,0)),0)*IFERROR(IF(OR(TRIM("")="Evet",TRIM("")="Yes"),MAX(N('Module Selection'!$C12),1),1),1)+IFERROR(SUMIFS($BF$2:$BF$700,$BB$2:$BB$700,$A12,$BC$2:$BC$700,K$1),0)+0))</f>
        <v/>
      </c>
      <c r="L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Days'!$AA:$AA,0),MATCH(L$1,'Fixed Days'!$B$3:$P$3,0)),0)*IFERROR(IF(OR(TRIM("")="Evet",TRIM("")="Yes"),MAX(N('Module Selection'!$C12),1),1),1)+IFERROR(SUMIFS($BF$2:$BF$700,$BB$2:$BB$700,$A12,$BC$2:$BC$700,L$1),0)+0))</f>
        <v/>
      </c>
      <c r="M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Days'!$AA:$AA,0),MATCH(M$1,'Fixed Days'!$B$3:$P$3,0)),0)*IFERROR(IF(OR(TRIM("")="Evet",TRIM("")="Yes"),MAX(N('Module Selection'!$C12),1),1),1)+IFERROR(SUMIFS($BF$2:$BF$700,$BB$2:$BB$700,$A12,$BC$2:$BC$700,M$1),0)+0))</f>
        <v/>
      </c>
      <c r="N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Days'!$AA:$AA,0),MATCH(N$1,'Fixed Days'!$B$3:$P$3,0)),0)*IFERROR(IF(OR(TRIM("")="Evet",TRIM("")="Yes"),MAX(N('Module Selection'!$C12),1),1),1)+IFERROR(SUMIFS($BF$2:$BF$700,$BB$2:$BB$700,$A12,$BC$2:$BC$700,N$1),0)+0))</f>
        <v/>
      </c>
      <c r="O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Days'!$AA:$AA,0),MATCH(O$1,'Fixed Days'!$B$3:$P$3,0)),0)*IFERROR(IF(OR(TRIM("")="Evet",TRIM("")="Yes"),MAX(N('Module Selection'!$C12),1),1),1)+IFERROR(SUMIFS($BF$2:$BF$700,$BB$2:$BB$700,$A12,$BC$2:$BC$700,O$1),0)+IFERROR(INDEX('Hypercare &amp; Go Live Support'!$G:$G,MATCH($A12,'Hypercare &amp; Go Live Support'!$A:$A,0)),0)))</f>
        <v/>
      </c>
      <c r="P12" s="38">
        <f>IF(AND('Module Selection'!$B12&lt;&gt;"Var",'Module Selection'!$B12&lt;&gt;"Include"),"",IF($A12="","",IFERROR(INDEX('Fixed Days'!$B:$P,MATCH('Project Information'!$C$11&amp;"|"&amp;IF(Scope!$J$9="S","SMALL",IF(Scope!$J$9="M","MEDIUM",IF(Scope!$J$9="L","LARGE","X-LARGE")))&amp;"|"&amp;$A12,'Fixed Days'!$AA:$AA,0),MATCH(P$1,'Fixed Days'!$B$3:$P$3,0)),0)*IFERROR(IF(OR(TRIM("")="Evet",TRIM("")="Yes"),MAX(N('Module Selection'!$C12),1),1),1)+IFERROR(SUMIFS($BF$2:$BF$700,$BB$2:$BB$700,$A12,$BC$2:$BC$700,P$1),0)+IFERROR(INDEX('Hypercare &amp; Go Live Support'!$F:$F,MATCH($A12,'Hypercare &amp; Go Live Support'!$A:$A,0)),0)))</f>
        <v/>
      </c>
      <c r="Q12" s="38">
        <f>SUM(B12:P12)</f>
        <v/>
      </c>
      <c r="AZ12" s="38">
        <f>INDEX(Translations!$D:$ZZ, MATCH(305,Translations!$A:$A,0), MATCH('Project Information'!$C$4,Translations!$D$1:$ZZ$1,0))</f>
        <v/>
      </c>
      <c r="BA12" s="38">
        <f>INDEX(Translations!$D:$ZZ, MATCH(32,Translations!$A:$A,0), MATCH('Project Information'!$C$4,Translations!$D$1:$ZZ$1,0))</f>
        <v/>
      </c>
      <c r="BB12" s="38">
        <f>INDEX(Translations!$D:$ZZ, MATCH(338,Translations!$A:$A,0), MATCH('Project Information'!$C$4,Translations!$D$1:$ZZ$1,0))</f>
        <v/>
      </c>
      <c r="BC12" s="38">
        <f>INDEX(Translations!$D:$ZZ, MATCH(75,Translations!$A:$A,0), MATCH('Project Information'!$C$4,Translations!$D$1:$ZZ$1,0))</f>
        <v/>
      </c>
      <c r="BD12" s="38">
        <f>IF(OR(TRIM("")="Evet",TRIM("")="Yes"),1,0)</f>
        <v/>
      </c>
      <c r="BE12" s="38" t="n">
        <v>6</v>
      </c>
      <c r="BF12" s="38">
        <f>BD12*BE12</f>
        <v/>
      </c>
      <c r="BH12" s="38">
        <f>INDEX(Translations!$D:$ZZ, MATCH(306,Translations!$A:$A,0), MATCH('Project Information'!$C$4,Translations!$D$1:$ZZ$1,0))</f>
        <v/>
      </c>
      <c r="BI12" s="38">
        <f>INDEX(Translations!$D:$ZZ, MATCH(205,Translations!$A:$A,0), MATCH('Project Information'!$C$4,Translations!$D$1:$ZZ$1,0))</f>
        <v/>
      </c>
      <c r="BJ12" s="38">
        <f>INDEX(Translations!$D:$ZZ, MATCH(332,Translations!$A:$A,0), MATCH('Project Information'!$C$4,Translations!$D$1:$ZZ$1,0))</f>
        <v/>
      </c>
      <c r="BK12" s="38">
        <f>INDEX(Translations!$D:$ZZ, MATCH(79,Translations!$A:$A,0), MATCH('Project Information'!$C$4,Translations!$D$1:$ZZ$1,0))</f>
        <v/>
      </c>
      <c r="BL12" s="38">
        <f>MAX(N(Development!$G$17),0)</f>
        <v/>
      </c>
      <c r="BM12" s="38" t="n">
        <v>3</v>
      </c>
      <c r="BN12" s="38">
        <f>BL12*BM12</f>
        <v/>
      </c>
    </row>
    <row r="13" ht="15" customHeight="1" s="39">
      <c r="A13" s="38">
        <f>'Project Definitions'!$D$13</f>
        <v/>
      </c>
      <c r="B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Days'!$AA:$AA,0),MATCH(B$1,'Fixed Days'!$B$3:$P$3,0)),0)*IFERROR(IF(OR(TRIM("")="Evet",TRIM("")="Yes"),MAX(N('Module Selection'!$C13),1),1),1)+IFERROR(SUMIFS($BF$2:$BF$700,$BB$2:$BB$700,$A13,$BC$2:$BC$700,B$1),0)+0))</f>
        <v/>
      </c>
      <c r="C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Days'!$AA:$AA,0),MATCH(C$1,'Fixed Days'!$B$3:$P$3,0)),0)*IFERROR(IF(OR(TRIM("")="Evet",TRIM("")="Yes"),MAX(N('Module Selection'!$C13),1),1),1)+IFERROR(SUMIFS($BF$2:$BF$700,$BB$2:$BB$700,$A13,$BC$2:$BC$700,C$1),0)+0))</f>
        <v/>
      </c>
      <c r="D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Days'!$AA:$AA,0),MATCH(D$1,'Fixed Days'!$B$3:$P$3,0)),0)*IFERROR(IF(OR(TRIM("")="Evet",TRIM("")="Yes"),MAX(N('Module Selection'!$C13),1),1),1)+IFERROR(SUMIFS($BF$2:$BF$700,$BB$2:$BB$700,$A13,$BC$2:$BC$700,D$1),0)+0))</f>
        <v/>
      </c>
      <c r="E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Days'!$AA:$AA,0),MATCH(E$1,'Fixed Days'!$B$3:$P$3,0)),0)*IFERROR(IF(OR(TRIM("")="Evet",TRIM("")="Yes"),MAX(N('Module Selection'!$C13),1),1),1)+IFERROR(SUMIFS($BF$2:$BF$700,$BB$2:$BB$700,$A13,$BC$2:$BC$700,E$1),0)+0))</f>
        <v/>
      </c>
      <c r="F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Days'!$AA:$AA,0),MATCH(F$1,'Fixed Days'!$B$3:$P$3,0)),0)*IFERROR(IF(OR(TRIM("")="Evet",TRIM("")="Yes"),MAX(N('Module Selection'!$C13),1),1),1)+IFERROR(SUMIFS($BF$2:$BF$700,$BB$2:$BB$700,$A13,$BC$2:$BC$700,F$1),0)+0))</f>
        <v/>
      </c>
      <c r="G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Days'!$AA:$AA,0),MATCH(G$1,'Fixed Days'!$B$3:$P$3,0)),0)*IFERROR(IF(OR(TRIM("")="Evet",TRIM("")="Yes"),MAX(N('Module Selection'!$C13),1),1),1)+IFERROR(SUMIFS($BF$2:$BF$700,$BB$2:$BB$700,$A13,$BC$2:$BC$700,G$1),0)+0))</f>
        <v/>
      </c>
      <c r="H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Days'!$AA:$AA,0),MATCH(H$1,'Fixed Days'!$B$3:$P$3,0)),0)*IFERROR(IF(OR(TRIM("")="Evet",TRIM("")="Yes"),MAX(N('Module Selection'!$C13),1),1),1)+IFERROR(SUMIFS($BF$2:$BF$700,$BB$2:$BB$700,$A13,$BC$2:$BC$700,H$1),0)+0))</f>
        <v/>
      </c>
      <c r="I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Days'!$AA:$AA,0),MATCH(I$1,'Fixed Days'!$B$3:$P$3,0)),0)*IFERROR(IF(OR(TRIM("")="Evet",TRIM("")="Yes"),MAX(N('Module Selection'!$C13),1),1),1)+IFERROR(SUMIFS($BF$2:$BF$700,$BB$2:$BB$700,$A13,$BC$2:$BC$700,I$1),0)+0))</f>
        <v/>
      </c>
      <c r="J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Days'!$AA:$AA,0),MATCH(J$1,'Fixed Days'!$B$3:$P$3,0)),0)*IFERROR(IF(OR(TRIM("")="Evet",TRIM("")="Yes"),MAX(N('Module Selection'!$C13),1),1),1)+IFERROR(SUMIFS($BF$2:$BF$700,$BB$2:$BB$700,$A13,$BC$2:$BC$700,J$1),0)+0))</f>
        <v/>
      </c>
      <c r="K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Days'!$AA:$AA,0),MATCH(K$1,'Fixed Days'!$B$3:$P$3,0)),0)*IFERROR(IF(OR(TRIM("")="Evet",TRIM("")="Yes"),MAX(N('Module Selection'!$C13),1),1),1)+IFERROR(SUMIFS($BF$2:$BF$700,$BB$2:$BB$700,$A13,$BC$2:$BC$700,K$1),0)+0))</f>
        <v/>
      </c>
      <c r="L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Days'!$AA:$AA,0),MATCH(L$1,'Fixed Days'!$B$3:$P$3,0)),0)*IFERROR(IF(OR(TRIM("")="Evet",TRIM("")="Yes"),MAX(N('Module Selection'!$C13),1),1),1)+IFERROR(SUMIFS($BF$2:$BF$700,$BB$2:$BB$700,$A13,$BC$2:$BC$700,L$1),0)+0))</f>
        <v/>
      </c>
      <c r="M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Days'!$AA:$AA,0),MATCH(M$1,'Fixed Days'!$B$3:$P$3,0)),0)*IFERROR(IF(OR(TRIM("")="Evet",TRIM("")="Yes"),MAX(N('Module Selection'!$C13),1),1),1)+IFERROR(SUMIFS($BF$2:$BF$700,$BB$2:$BB$700,$A13,$BC$2:$BC$700,M$1),0)+0))</f>
        <v/>
      </c>
      <c r="N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Days'!$AA:$AA,0),MATCH(N$1,'Fixed Days'!$B$3:$P$3,0)),0)*IFERROR(IF(OR(TRIM("")="Evet",TRIM("")="Yes"),MAX(N('Module Selection'!$C13),1),1),1)+IFERROR(SUMIFS($BF$2:$BF$700,$BB$2:$BB$700,$A13,$BC$2:$BC$700,N$1),0)+0))</f>
        <v/>
      </c>
      <c r="O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Days'!$AA:$AA,0),MATCH(O$1,'Fixed Days'!$B$3:$P$3,0)),0)*IFERROR(IF(OR(TRIM("")="Evet",TRIM("")="Yes"),MAX(N('Module Selection'!$C13),1),1),1)+IFERROR(SUMIFS($BF$2:$BF$700,$BB$2:$BB$700,$A13,$BC$2:$BC$700,O$1),0)+IFERROR(INDEX('Hypercare &amp; Go Live Support'!$G:$G,MATCH($A13,'Hypercare &amp; Go Live Support'!$A:$A,0)),0)))</f>
        <v/>
      </c>
      <c r="P13" s="38">
        <f>IF(AND('Module Selection'!$B13&lt;&gt;"Var",'Module Selection'!$B13&lt;&gt;"Include"),"",IF($A13="","",IFERROR(INDEX('Fixed Days'!$B:$P,MATCH('Project Information'!$C$11&amp;"|"&amp;IF(Scope!$J$9="S","SMALL",IF(Scope!$J$9="M","MEDIUM",IF(Scope!$J$9="L","LARGE","X-LARGE")))&amp;"|"&amp;$A13,'Fixed Days'!$AA:$AA,0),MATCH(P$1,'Fixed Days'!$B$3:$P$3,0)),0)*IFERROR(IF(OR(TRIM("")="Evet",TRIM("")="Yes"),MAX(N('Module Selection'!$C13),1),1),1)+IFERROR(SUMIFS($BF$2:$BF$700,$BB$2:$BB$700,$A13,$BC$2:$BC$700,P$1),0)+IFERROR(INDEX('Hypercare &amp; Go Live Support'!$F:$F,MATCH($A13,'Hypercare &amp; Go Live Support'!$A:$A,0)),0)))</f>
        <v/>
      </c>
      <c r="Q13" s="38">
        <f>SUM(B13:P13)</f>
        <v/>
      </c>
      <c r="AZ13" s="38">
        <f>INDEX(Translations!$D:$ZZ, MATCH(305,Translations!$A:$A,0), MATCH('Project Information'!$C$4,Translations!$D$1:$ZZ$1,0))</f>
        <v/>
      </c>
      <c r="BA13" s="38">
        <f>INDEX(Translations!$D:$ZZ, MATCH(32,Translations!$A:$A,0), MATCH('Project Information'!$C$4,Translations!$D$1:$ZZ$1,0))</f>
        <v/>
      </c>
      <c r="BB13" s="38">
        <f>INDEX(Translations!$D:$ZZ, MATCH(338,Translations!$A:$A,0), MATCH('Project Information'!$C$4,Translations!$D$1:$ZZ$1,0))</f>
        <v/>
      </c>
      <c r="BC13" s="38">
        <f>INDEX(Translations!$D:$ZZ, MATCH(76,Translations!$A:$A,0), MATCH('Project Information'!$C$4,Translations!$D$1:$ZZ$1,0))</f>
        <v/>
      </c>
      <c r="BD13" s="38">
        <f>IF(OR(TRIM("")="Evet",TRIM("")="Yes"),1,0)</f>
        <v/>
      </c>
      <c r="BE13" s="38" t="n">
        <v>2</v>
      </c>
      <c r="BF13" s="38">
        <f>BD13*BE13</f>
        <v/>
      </c>
      <c r="BH13" s="38">
        <f>INDEX(Translations!$D:$ZZ, MATCH(306,Translations!$A:$A,0), MATCH('Project Information'!$C$4,Translations!$D$1:$ZZ$1,0))</f>
        <v/>
      </c>
      <c r="BI13" s="38">
        <f>INDEX(Translations!$D:$ZZ, MATCH(215,Translations!$A:$A,0), MATCH('Project Information'!$C$4,Translations!$D$1:$ZZ$1,0))</f>
        <v/>
      </c>
      <c r="BJ13" s="38">
        <f>INDEX(Translations!$D:$ZZ, MATCH(346,Translations!$A:$A,0), MATCH('Project Information'!$C$4,Translations!$D$1:$ZZ$1,0))</f>
        <v/>
      </c>
      <c r="BK13" s="38">
        <f>INDEX(Translations!$D:$ZZ, MATCH(78,Translations!$A:$A,0), MATCH('Project Information'!$C$4,Translations!$D$1:$ZZ$1,0))</f>
        <v/>
      </c>
      <c r="BL13" s="38">
        <f>IF(OR(TRIM(Development!$F$21)="Evet",TRIM(Development!$F$21)="Yes"),1,0)</f>
        <v/>
      </c>
      <c r="BM13" s="38" t="n">
        <v>12</v>
      </c>
      <c r="BN13" s="38">
        <f>BL13*BM13</f>
        <v/>
      </c>
    </row>
    <row r="14" ht="15" customHeight="1" s="39">
      <c r="A14" s="38">
        <f>'Project Definitions'!$D$14</f>
        <v/>
      </c>
      <c r="B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Days'!$AA:$AA,0),MATCH(B$1,'Fixed Days'!$B$3:$P$3,0)),0)*IFERROR(IF(OR(TRIM("")="Evet",TRIM("")="Yes"),MAX(N('Module Selection'!$C14),1),1),1)+IFERROR(SUMIFS($BF$2:$BF$700,$BB$2:$BB$700,$A14,$BC$2:$BC$700,B$1),0)+0))</f>
        <v/>
      </c>
      <c r="C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Days'!$AA:$AA,0),MATCH(C$1,'Fixed Days'!$B$3:$P$3,0)),0)*IFERROR(IF(OR(TRIM("")="Evet",TRIM("")="Yes"),MAX(N('Module Selection'!$C14),1),1),1)+IFERROR(SUMIFS($BF$2:$BF$700,$BB$2:$BB$700,$A14,$BC$2:$BC$700,C$1),0)+0))</f>
        <v/>
      </c>
      <c r="D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Days'!$AA:$AA,0),MATCH(D$1,'Fixed Days'!$B$3:$P$3,0)),0)*IFERROR(IF(OR(TRIM("")="Evet",TRIM("")="Yes"),MAX(N('Module Selection'!$C14),1),1),1)+IFERROR(SUMIFS($BF$2:$BF$700,$BB$2:$BB$700,$A14,$BC$2:$BC$700,D$1),0)+0))</f>
        <v/>
      </c>
      <c r="E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Days'!$AA:$AA,0),MATCH(E$1,'Fixed Days'!$B$3:$P$3,0)),0)*IFERROR(IF(OR(TRIM("")="Evet",TRIM("")="Yes"),MAX(N('Module Selection'!$C14),1),1),1)+IFERROR(SUMIFS($BF$2:$BF$700,$BB$2:$BB$700,$A14,$BC$2:$BC$700,E$1),0)+0))</f>
        <v/>
      </c>
      <c r="F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Days'!$AA:$AA,0),MATCH(F$1,'Fixed Days'!$B$3:$P$3,0)),0)*IFERROR(IF(OR(TRIM("")="Evet",TRIM("")="Yes"),MAX(N('Module Selection'!$C14),1),1),1)+IFERROR(SUMIFS($BF$2:$BF$700,$BB$2:$BB$700,$A14,$BC$2:$BC$700,F$1),0)+0))</f>
        <v/>
      </c>
      <c r="G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Days'!$AA:$AA,0),MATCH(G$1,'Fixed Days'!$B$3:$P$3,0)),0)*IFERROR(IF(OR(TRIM("")="Evet",TRIM("")="Yes"),MAX(N('Module Selection'!$C14),1),1),1)+IFERROR(SUMIFS($BF$2:$BF$700,$BB$2:$BB$700,$A14,$BC$2:$BC$700,G$1),0)+0))</f>
        <v/>
      </c>
      <c r="H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Days'!$AA:$AA,0),MATCH(H$1,'Fixed Days'!$B$3:$P$3,0)),0)*IFERROR(IF(OR(TRIM("")="Evet",TRIM("")="Yes"),MAX(N('Module Selection'!$C14),1),1),1)+IFERROR(SUMIFS($BF$2:$BF$700,$BB$2:$BB$700,$A14,$BC$2:$BC$700,H$1),0)+0))</f>
        <v/>
      </c>
      <c r="I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Days'!$AA:$AA,0),MATCH(I$1,'Fixed Days'!$B$3:$P$3,0)),0)*IFERROR(IF(OR(TRIM("")="Evet",TRIM("")="Yes"),MAX(N('Module Selection'!$C14),1),1),1)+IFERROR(SUMIFS($BF$2:$BF$700,$BB$2:$BB$700,$A14,$BC$2:$BC$700,I$1),0)+0))</f>
        <v/>
      </c>
      <c r="J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Days'!$AA:$AA,0),MATCH(J$1,'Fixed Days'!$B$3:$P$3,0)),0)*IFERROR(IF(OR(TRIM("")="Evet",TRIM("")="Yes"),MAX(N('Module Selection'!$C14),1),1),1)+IFERROR(SUMIFS($BF$2:$BF$700,$BB$2:$BB$700,$A14,$BC$2:$BC$700,J$1),0)+0))</f>
        <v/>
      </c>
      <c r="K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Days'!$AA:$AA,0),MATCH(K$1,'Fixed Days'!$B$3:$P$3,0)),0)*IFERROR(IF(OR(TRIM("")="Evet",TRIM("")="Yes"),MAX(N('Module Selection'!$C14),1),1),1)+IFERROR(SUMIFS($BF$2:$BF$700,$BB$2:$BB$700,$A14,$BC$2:$BC$700,K$1),0)+0))</f>
        <v/>
      </c>
      <c r="L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Days'!$AA:$AA,0),MATCH(L$1,'Fixed Days'!$B$3:$P$3,0)),0)*IFERROR(IF(OR(TRIM("")="Evet",TRIM("")="Yes"),MAX(N('Module Selection'!$C14),1),1),1)+IFERROR(SUMIFS($BF$2:$BF$700,$BB$2:$BB$700,$A14,$BC$2:$BC$700,L$1),0)+0))</f>
        <v/>
      </c>
      <c r="M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Days'!$AA:$AA,0),MATCH(M$1,'Fixed Days'!$B$3:$P$3,0)),0)*IFERROR(IF(OR(TRIM("")="Evet",TRIM("")="Yes"),MAX(N('Module Selection'!$C14),1),1),1)+IFERROR(SUMIFS($BF$2:$BF$700,$BB$2:$BB$700,$A14,$BC$2:$BC$700,M$1),0)+0))</f>
        <v/>
      </c>
      <c r="N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Days'!$AA:$AA,0),MATCH(N$1,'Fixed Days'!$B$3:$P$3,0)),0)*IFERROR(IF(OR(TRIM("")="Evet",TRIM("")="Yes"),MAX(N('Module Selection'!$C14),1),1),1)+IFERROR(SUMIFS($BF$2:$BF$700,$BB$2:$BB$700,$A14,$BC$2:$BC$700,N$1),0)+0))</f>
        <v/>
      </c>
      <c r="O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Days'!$AA:$AA,0),MATCH(O$1,'Fixed Days'!$B$3:$P$3,0)),0)*IFERROR(IF(OR(TRIM("")="Evet",TRIM("")="Yes"),MAX(N('Module Selection'!$C14),1),1),1)+IFERROR(SUMIFS($BF$2:$BF$700,$BB$2:$BB$700,$A14,$BC$2:$BC$700,O$1),0)+IFERROR(INDEX('Hypercare &amp; Go Live Support'!$G:$G,MATCH($A14,'Hypercare &amp; Go Live Support'!$A:$A,0)),0)))</f>
        <v/>
      </c>
      <c r="P14" s="38">
        <f>IF(AND('Module Selection'!$B14&lt;&gt;"Var",'Module Selection'!$B14&lt;&gt;"Include"),"",IF($A14="","",IFERROR(INDEX('Fixed Days'!$B:$P,MATCH('Project Information'!$C$11&amp;"|"&amp;IF(Scope!$J$9="S","SMALL",IF(Scope!$J$9="M","MEDIUM",IF(Scope!$J$9="L","LARGE","X-LARGE")))&amp;"|"&amp;$A14,'Fixed Days'!$AA:$AA,0),MATCH(P$1,'Fixed Days'!$B$3:$P$3,0)),0)*IFERROR(IF(OR(TRIM("")="Evet",TRIM("")="Yes"),MAX(N('Module Selection'!$C14),1),1),1)+IFERROR(SUMIFS($BF$2:$BF$700,$BB$2:$BB$700,$A14,$BC$2:$BC$700,P$1),0)+IFERROR(INDEX('Hypercare &amp; Go Live Support'!$F:$F,MATCH($A14,'Hypercare &amp; Go Live Support'!$A:$A,0)),0)))</f>
        <v/>
      </c>
      <c r="Q14" s="38">
        <f>SUM(B14:P14)</f>
        <v/>
      </c>
      <c r="AZ14" s="38">
        <f>INDEX(Translations!$D:$ZZ, MATCH(305,Translations!$A:$A,0), MATCH('Project Information'!$C$4,Translations!$D$1:$ZZ$1,0))</f>
        <v/>
      </c>
      <c r="BA14" s="38">
        <f>INDEX(Translations!$D:$ZZ, MATCH(32,Translations!$A:$A,0), MATCH('Project Information'!$C$4,Translations!$D$1:$ZZ$1,0))</f>
        <v/>
      </c>
      <c r="BB14" s="38">
        <f>INDEX(Translations!$D:$ZZ, MATCH(338,Translations!$A:$A,0), MATCH('Project Information'!$C$4,Translations!$D$1:$ZZ$1,0))</f>
        <v/>
      </c>
      <c r="BC14" s="38">
        <f>INDEX(Translations!$D:$ZZ, MATCH(79,Translations!$A:$A,0), MATCH('Project Information'!$C$4,Translations!$D$1:$ZZ$1,0))</f>
        <v/>
      </c>
      <c r="BD14" s="38">
        <f>IF(OR(TRIM("")="Evet",TRIM("")="Yes"),1,0)</f>
        <v/>
      </c>
      <c r="BE14" s="38" t="n">
        <v>1</v>
      </c>
      <c r="BF14" s="38">
        <f>BD14*BE14</f>
        <v/>
      </c>
      <c r="BH14" s="38">
        <f>INDEX(Translations!$D:$ZZ, MATCH(306,Translations!$A:$A,0), MATCH('Project Information'!$C$4,Translations!$D$1:$ZZ$1,0))</f>
        <v/>
      </c>
      <c r="BI14" s="38">
        <f>INDEX(Translations!$D:$ZZ, MATCH(215,Translations!$A:$A,0), MATCH('Project Information'!$C$4,Translations!$D$1:$ZZ$1,0))</f>
        <v/>
      </c>
      <c r="BJ14" s="38">
        <f>INDEX(Translations!$D:$ZZ, MATCH(343,Translations!$A:$A,0), MATCH('Project Information'!$C$4,Translations!$D$1:$ZZ$1,0))</f>
        <v/>
      </c>
      <c r="BK14" s="38">
        <f>INDEX(Translations!$D:$ZZ, MATCH(75,Translations!$A:$A,0), MATCH('Project Information'!$C$4,Translations!$D$1:$ZZ$1,0))</f>
        <v/>
      </c>
      <c r="BL14" s="38">
        <f>IF(OR(TRIM(Development!$F$21)="Evet",TRIM(Development!$F$21)="Yes"),1,0)</f>
        <v/>
      </c>
      <c r="BM14" s="38" t="n">
        <v>4</v>
      </c>
      <c r="BN14" s="38">
        <f>BL14*BM14</f>
        <v/>
      </c>
    </row>
    <row r="15" ht="15" customHeight="1" s="39">
      <c r="A15" s="38">
        <f>'Project Definitions'!$D$15</f>
        <v/>
      </c>
      <c r="B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Days'!$AA:$AA,0),MATCH(B$1,'Fixed Days'!$B$3:$P$3,0)),0)*IFERROR(IF(OR(TRIM("")="Evet",TRIM("")="Yes"),MAX(N('Module Selection'!$C15),1),1),1)+IFERROR(SUMIFS($BF$2:$BF$700,$BB$2:$BB$700,$A15,$BC$2:$BC$700,B$1),0)+0))</f>
        <v/>
      </c>
      <c r="C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Days'!$AA:$AA,0),MATCH(C$1,'Fixed Days'!$B$3:$P$3,0)),0)*IFERROR(IF(OR(TRIM("")="Evet",TRIM("")="Yes"),MAX(N('Module Selection'!$C15),1),1),1)+IFERROR(SUMIFS($BF$2:$BF$700,$BB$2:$BB$700,$A15,$BC$2:$BC$700,C$1),0)+0))</f>
        <v/>
      </c>
      <c r="D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Days'!$AA:$AA,0),MATCH(D$1,'Fixed Days'!$B$3:$P$3,0)),0)*IFERROR(IF(OR(TRIM("")="Evet",TRIM("")="Yes"),MAX(N('Module Selection'!$C15),1),1),1)+IFERROR(SUMIFS($BF$2:$BF$700,$BB$2:$BB$700,$A15,$BC$2:$BC$700,D$1),0)+0))</f>
        <v/>
      </c>
      <c r="E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Days'!$AA:$AA,0),MATCH(E$1,'Fixed Days'!$B$3:$P$3,0)),0)*IFERROR(IF(OR(TRIM("")="Evet",TRIM("")="Yes"),MAX(N('Module Selection'!$C15),1),1),1)+IFERROR(SUMIFS($BF$2:$BF$700,$BB$2:$BB$700,$A15,$BC$2:$BC$700,E$1),0)+0))</f>
        <v/>
      </c>
      <c r="F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Days'!$AA:$AA,0),MATCH(F$1,'Fixed Days'!$B$3:$P$3,0)),0)*IFERROR(IF(OR(TRIM("")="Evet",TRIM("")="Yes"),MAX(N('Module Selection'!$C15),1),1),1)+IFERROR(SUMIFS($BF$2:$BF$700,$BB$2:$BB$700,$A15,$BC$2:$BC$700,F$1),0)+0))</f>
        <v/>
      </c>
      <c r="G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Days'!$AA:$AA,0),MATCH(G$1,'Fixed Days'!$B$3:$P$3,0)),0)*IFERROR(IF(OR(TRIM("")="Evet",TRIM("")="Yes"),MAX(N('Module Selection'!$C15),1),1),1)+IFERROR(SUMIFS($BF$2:$BF$700,$BB$2:$BB$700,$A15,$BC$2:$BC$700,G$1),0)+0))</f>
        <v/>
      </c>
      <c r="H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Days'!$AA:$AA,0),MATCH(H$1,'Fixed Days'!$B$3:$P$3,0)),0)*IFERROR(IF(OR(TRIM("")="Evet",TRIM("")="Yes"),MAX(N('Module Selection'!$C15),1),1),1)+IFERROR(SUMIFS($BF$2:$BF$700,$BB$2:$BB$700,$A15,$BC$2:$BC$700,H$1),0)+0))</f>
        <v/>
      </c>
      <c r="I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Days'!$AA:$AA,0),MATCH(I$1,'Fixed Days'!$B$3:$P$3,0)),0)*IFERROR(IF(OR(TRIM("")="Evet",TRIM("")="Yes"),MAX(N('Module Selection'!$C15),1),1),1)+IFERROR(SUMIFS($BF$2:$BF$700,$BB$2:$BB$700,$A15,$BC$2:$BC$700,I$1),0)+0))</f>
        <v/>
      </c>
      <c r="J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Days'!$AA:$AA,0),MATCH(J$1,'Fixed Days'!$B$3:$P$3,0)),0)*IFERROR(IF(OR(TRIM("")="Evet",TRIM("")="Yes"),MAX(N('Module Selection'!$C15),1),1),1)+IFERROR(SUMIFS($BF$2:$BF$700,$BB$2:$BB$700,$A15,$BC$2:$BC$700,J$1),0)+0))</f>
        <v/>
      </c>
      <c r="K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Days'!$AA:$AA,0),MATCH(K$1,'Fixed Days'!$B$3:$P$3,0)),0)*IFERROR(IF(OR(TRIM("")="Evet",TRIM("")="Yes"),MAX(N('Module Selection'!$C15),1),1),1)+IFERROR(SUMIFS($BF$2:$BF$700,$BB$2:$BB$700,$A15,$BC$2:$BC$700,K$1),0)+0))</f>
        <v/>
      </c>
      <c r="L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Days'!$AA:$AA,0),MATCH(L$1,'Fixed Days'!$B$3:$P$3,0)),0)*IFERROR(IF(OR(TRIM("")="Evet",TRIM("")="Yes"),MAX(N('Module Selection'!$C15),1),1),1)+IFERROR(SUMIFS($BF$2:$BF$700,$BB$2:$BB$700,$A15,$BC$2:$BC$700,L$1),0)+0))</f>
        <v/>
      </c>
      <c r="M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Days'!$AA:$AA,0),MATCH(M$1,'Fixed Days'!$B$3:$P$3,0)),0)*IFERROR(IF(OR(TRIM("")="Evet",TRIM("")="Yes"),MAX(N('Module Selection'!$C15),1),1),1)+IFERROR(SUMIFS($BF$2:$BF$700,$BB$2:$BB$700,$A15,$BC$2:$BC$700,M$1),0)+0))</f>
        <v/>
      </c>
      <c r="N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Days'!$AA:$AA,0),MATCH(N$1,'Fixed Days'!$B$3:$P$3,0)),0)*IFERROR(IF(OR(TRIM("")="Evet",TRIM("")="Yes"),MAX(N('Module Selection'!$C15),1),1),1)+IFERROR(SUMIFS($BF$2:$BF$700,$BB$2:$BB$700,$A15,$BC$2:$BC$700,N$1),0)+0))</f>
        <v/>
      </c>
      <c r="O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Days'!$AA:$AA,0),MATCH(O$1,'Fixed Days'!$B$3:$P$3,0)),0)*IFERROR(IF(OR(TRIM("")="Evet",TRIM("")="Yes"),MAX(N('Module Selection'!$C15),1),1),1)+IFERROR(SUMIFS($BF$2:$BF$700,$BB$2:$BB$700,$A15,$BC$2:$BC$700,O$1),0)+IFERROR(INDEX('Hypercare &amp; Go Live Support'!$G:$G,MATCH($A15,'Hypercare &amp; Go Live Support'!$A:$A,0)),0)))</f>
        <v/>
      </c>
      <c r="P15" s="38">
        <f>IF(AND('Module Selection'!$B15&lt;&gt;"Var",'Module Selection'!$B15&lt;&gt;"Include"),"",IF($A15="","",IFERROR(INDEX('Fixed Days'!$B:$P,MATCH('Project Information'!$C$11&amp;"|"&amp;IF(Scope!$J$9="S","SMALL",IF(Scope!$J$9="M","MEDIUM",IF(Scope!$J$9="L","LARGE","X-LARGE")))&amp;"|"&amp;$A15,'Fixed Days'!$AA:$AA,0),MATCH(P$1,'Fixed Days'!$B$3:$P$3,0)),0)*IFERROR(IF(OR(TRIM("")="Evet",TRIM("")="Yes"),MAX(N('Module Selection'!$C15),1),1),1)+IFERROR(SUMIFS($BF$2:$BF$700,$BB$2:$BB$700,$A15,$BC$2:$BC$700,P$1),0)+IFERROR(INDEX('Hypercare &amp; Go Live Support'!$F:$F,MATCH($A15,'Hypercare &amp; Go Live Support'!$A:$A,0)),0)))</f>
        <v/>
      </c>
      <c r="Q15" s="38">
        <f>SUM(B15:P15)</f>
        <v/>
      </c>
      <c r="AZ15" s="38">
        <f>INDEX(Translations!$D:$ZZ, MATCH(305,Translations!$A:$A,0), MATCH('Project Information'!$C$4,Translations!$D$1:$ZZ$1,0))</f>
        <v/>
      </c>
      <c r="BA15" s="38">
        <f>INDEX(Translations!$D:$ZZ, MATCH(32,Translations!$A:$A,0), MATCH('Project Information'!$C$4,Translations!$D$1:$ZZ$1,0))</f>
        <v/>
      </c>
      <c r="BB15" s="38">
        <f>INDEX(Translations!$D:$ZZ, MATCH(338,Translations!$A:$A,0), MATCH('Project Information'!$C$4,Translations!$D$1:$ZZ$1,0))</f>
        <v/>
      </c>
      <c r="BC15" s="38">
        <f>INDEX(Translations!$D:$ZZ, MATCH(82,Translations!$A:$A,0), MATCH('Project Information'!$C$4,Translations!$D$1:$ZZ$1,0))</f>
        <v/>
      </c>
      <c r="BD15" s="38">
        <f>IF(OR(TRIM("")="Evet",TRIM("")="Yes"),1,0)</f>
        <v/>
      </c>
      <c r="BE15" s="38" t="n">
        <v>1</v>
      </c>
      <c r="BF15" s="38">
        <f>BD15*BE15</f>
        <v/>
      </c>
      <c r="BH15" s="38">
        <f>INDEX(Translations!$D:$ZZ, MATCH(306,Translations!$A:$A,0), MATCH('Project Information'!$C$4,Translations!$D$1:$ZZ$1,0))</f>
        <v/>
      </c>
      <c r="BI15" s="38">
        <f>INDEX(Translations!$D:$ZZ, MATCH(215,Translations!$A:$A,0), MATCH('Project Information'!$C$4,Translations!$D$1:$ZZ$1,0))</f>
        <v/>
      </c>
      <c r="BJ15" s="38">
        <f>INDEX(Translations!$D:$ZZ, MATCH(343,Translations!$A:$A,0), MATCH('Project Information'!$C$4,Translations!$D$1:$ZZ$1,0))</f>
        <v/>
      </c>
      <c r="BK15" s="38">
        <f>INDEX(Translations!$D:$ZZ, MATCH(76,Translations!$A:$A,0), MATCH('Project Information'!$C$4,Translations!$D$1:$ZZ$1,0))</f>
        <v/>
      </c>
      <c r="BL15" s="38">
        <f>IF(OR(TRIM(Development!$F$21)="Evet",TRIM(Development!$F$21)="Yes"),1,0)</f>
        <v/>
      </c>
      <c r="BM15" s="38" t="n">
        <v>1</v>
      </c>
      <c r="BN15" s="38">
        <f>BL15*BM15</f>
        <v/>
      </c>
    </row>
    <row r="16" ht="15" customHeight="1" s="39">
      <c r="A16" s="38">
        <f>'Project Definitions'!$D$16</f>
        <v/>
      </c>
      <c r="B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Days'!$AA:$AA,0),MATCH(B$1,'Fixed Days'!$B$3:$P$3,0)),0)*IFERROR(IF(OR(TRIM("")="Evet",TRIM("")="Yes"),MAX(N('Module Selection'!$C16),1),1),1)+IFERROR(SUMIFS($BF$2:$BF$700,$BB$2:$BB$700,$A16,$BC$2:$BC$700,B$1),0)+0))</f>
        <v/>
      </c>
      <c r="C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Days'!$AA:$AA,0),MATCH(C$1,'Fixed Days'!$B$3:$P$3,0)),0)*IFERROR(IF(OR(TRIM("")="Evet",TRIM("")="Yes"),MAX(N('Module Selection'!$C16),1),1),1)+IFERROR(SUMIFS($BF$2:$BF$700,$BB$2:$BB$700,$A16,$BC$2:$BC$700,C$1),0)+0))</f>
        <v/>
      </c>
      <c r="D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Days'!$AA:$AA,0),MATCH(D$1,'Fixed Days'!$B$3:$P$3,0)),0)*IFERROR(IF(OR(TRIM("")="Evet",TRIM("")="Yes"),MAX(N('Module Selection'!$C16),1),1),1)+IFERROR(SUMIFS($BF$2:$BF$700,$BB$2:$BB$700,$A16,$BC$2:$BC$700,D$1),0)+0))</f>
        <v/>
      </c>
      <c r="E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Days'!$AA:$AA,0),MATCH(E$1,'Fixed Days'!$B$3:$P$3,0)),0)*IFERROR(IF(OR(TRIM("")="Evet",TRIM("")="Yes"),MAX(N('Module Selection'!$C16),1),1),1)+IFERROR(SUMIFS($BF$2:$BF$700,$BB$2:$BB$700,$A16,$BC$2:$BC$700,E$1),0)+0))</f>
        <v/>
      </c>
      <c r="F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Days'!$AA:$AA,0),MATCH(F$1,'Fixed Days'!$B$3:$P$3,0)),0)*IFERROR(IF(OR(TRIM("")="Evet",TRIM("")="Yes"),MAX(N('Module Selection'!$C16),1),1),1)+IFERROR(SUMIFS($BF$2:$BF$700,$BB$2:$BB$700,$A16,$BC$2:$BC$700,F$1),0)+0))</f>
        <v/>
      </c>
      <c r="G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Days'!$AA:$AA,0),MATCH(G$1,'Fixed Days'!$B$3:$P$3,0)),0)*IFERROR(IF(OR(TRIM("")="Evet",TRIM("")="Yes"),MAX(N('Module Selection'!$C16),1),1),1)+IFERROR(SUMIFS($BF$2:$BF$700,$BB$2:$BB$700,$A16,$BC$2:$BC$700,G$1),0)+0))</f>
        <v/>
      </c>
      <c r="H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Days'!$AA:$AA,0),MATCH(H$1,'Fixed Days'!$B$3:$P$3,0)),0)*IFERROR(IF(OR(TRIM("")="Evet",TRIM("")="Yes"),MAX(N('Module Selection'!$C16),1),1),1)+IFERROR(SUMIFS($BF$2:$BF$700,$BB$2:$BB$700,$A16,$BC$2:$BC$700,H$1),0)+0))</f>
        <v/>
      </c>
      <c r="I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Days'!$AA:$AA,0),MATCH(I$1,'Fixed Days'!$B$3:$P$3,0)),0)*IFERROR(IF(OR(TRIM("")="Evet",TRIM("")="Yes"),MAX(N('Module Selection'!$C16),1),1),1)+IFERROR(SUMIFS($BF$2:$BF$700,$BB$2:$BB$700,$A16,$BC$2:$BC$700,I$1),0)+0))</f>
        <v/>
      </c>
      <c r="J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Days'!$AA:$AA,0),MATCH(J$1,'Fixed Days'!$B$3:$P$3,0)),0)*IFERROR(IF(OR(TRIM("")="Evet",TRIM("")="Yes"),MAX(N('Module Selection'!$C16),1),1),1)+IFERROR(SUMIFS($BF$2:$BF$700,$BB$2:$BB$700,$A16,$BC$2:$BC$700,J$1),0)+0))</f>
        <v/>
      </c>
      <c r="K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Days'!$AA:$AA,0),MATCH(K$1,'Fixed Days'!$B$3:$P$3,0)),0)*IFERROR(IF(OR(TRIM("")="Evet",TRIM("")="Yes"),MAX(N('Module Selection'!$C16),1),1),1)+IFERROR(SUMIFS($BF$2:$BF$700,$BB$2:$BB$700,$A16,$BC$2:$BC$700,K$1),0)+0))</f>
        <v/>
      </c>
      <c r="L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Days'!$AA:$AA,0),MATCH(L$1,'Fixed Days'!$B$3:$P$3,0)),0)*IFERROR(IF(OR(TRIM("")="Evet",TRIM("")="Yes"),MAX(N('Module Selection'!$C16),1),1),1)+IFERROR(SUMIFS($BF$2:$BF$700,$BB$2:$BB$700,$A16,$BC$2:$BC$700,L$1),0)+0))</f>
        <v/>
      </c>
      <c r="M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Days'!$AA:$AA,0),MATCH(M$1,'Fixed Days'!$B$3:$P$3,0)),0)*IFERROR(IF(OR(TRIM("")="Evet",TRIM("")="Yes"),MAX(N('Module Selection'!$C16),1),1),1)+IFERROR(SUMIFS($BF$2:$BF$700,$BB$2:$BB$700,$A16,$BC$2:$BC$700,M$1),0)+0))</f>
        <v/>
      </c>
      <c r="N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Days'!$AA:$AA,0),MATCH(N$1,'Fixed Days'!$B$3:$P$3,0)),0)*IFERROR(IF(OR(TRIM("")="Evet",TRIM("")="Yes"),MAX(N('Module Selection'!$C16),1),1),1)+IFERROR(SUMIFS($BF$2:$BF$700,$BB$2:$BB$700,$A16,$BC$2:$BC$700,N$1),0)+0))</f>
        <v/>
      </c>
      <c r="O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Days'!$AA:$AA,0),MATCH(O$1,'Fixed Days'!$B$3:$P$3,0)),0)*IFERROR(IF(OR(TRIM("")="Evet",TRIM("")="Yes"),MAX(N('Module Selection'!$C16),1),1),1)+IFERROR(SUMIFS($BF$2:$BF$700,$BB$2:$BB$700,$A16,$BC$2:$BC$700,O$1),0)+IFERROR(INDEX('Hypercare &amp; Go Live Support'!$G:$G,MATCH($A16,'Hypercare &amp; Go Live Support'!$A:$A,0)),0)))</f>
        <v/>
      </c>
      <c r="P16" s="38">
        <f>IF(AND('Module Selection'!$B16&lt;&gt;"Var",'Module Selection'!$B16&lt;&gt;"Include"),"",IF($A16="","",IFERROR(INDEX('Fixed Days'!$B:$P,MATCH('Project Information'!$C$11&amp;"|"&amp;IF(Scope!$J$9="S","SMALL",IF(Scope!$J$9="M","MEDIUM",IF(Scope!$J$9="L","LARGE","X-LARGE")))&amp;"|"&amp;$A16,'Fixed Days'!$AA:$AA,0),MATCH(P$1,'Fixed Days'!$B$3:$P$3,0)),0)*IFERROR(IF(OR(TRIM("")="Evet",TRIM("")="Yes"),MAX(N('Module Selection'!$C16),1),1),1)+IFERROR(SUMIFS($BF$2:$BF$700,$BB$2:$BB$700,$A16,$BC$2:$BC$700,P$1),0)+IFERROR(INDEX('Hypercare &amp; Go Live Support'!$F:$F,MATCH($A16,'Hypercare &amp; Go Live Support'!$A:$A,0)),0)))</f>
        <v/>
      </c>
      <c r="Q16" s="38">
        <f>SUM(B16:P16)</f>
        <v/>
      </c>
      <c r="AZ16" s="38">
        <f>INDEX(Translations!$D:$ZZ, MATCH(305,Translations!$A:$A,0), MATCH('Project Information'!$C$4,Translations!$D$1:$ZZ$1,0))</f>
        <v/>
      </c>
      <c r="BA16" s="38">
        <f>INDEX(Translations!$D:$ZZ, MATCH(32,Translations!$A:$A,0), MATCH('Project Information'!$C$4,Translations!$D$1:$ZZ$1,0))</f>
        <v/>
      </c>
      <c r="BB16" s="38">
        <f>INDEX(Translations!$D:$ZZ, MATCH(338,Translations!$A:$A,0), MATCH('Project Information'!$C$4,Translations!$D$1:$ZZ$1,0))</f>
        <v/>
      </c>
      <c r="BC16" s="38">
        <f>INDEX(Translations!$D:$ZZ, MATCH(83,Translations!$A:$A,0), MATCH('Project Information'!$C$4,Translations!$D$1:$ZZ$1,0))</f>
        <v/>
      </c>
      <c r="BD16" s="38">
        <f>IF(OR(TRIM("")="Evet",TRIM("")="Yes"),1,0)</f>
        <v/>
      </c>
      <c r="BE16" s="38" t="n">
        <v>2</v>
      </c>
      <c r="BF16" s="38">
        <f>BD16*BE16</f>
        <v/>
      </c>
      <c r="BH16" s="38">
        <f>INDEX(Translations!$D:$ZZ, MATCH(306,Translations!$A:$A,0), MATCH('Project Information'!$C$4,Translations!$D$1:$ZZ$1,0))</f>
        <v/>
      </c>
      <c r="BI16" s="38">
        <f>INDEX(Translations!$D:$ZZ, MATCH(215,Translations!$A:$A,0), MATCH('Project Information'!$C$4,Translations!$D$1:$ZZ$1,0))</f>
        <v/>
      </c>
      <c r="BJ16" s="38">
        <f>INDEX(Translations!$D:$ZZ, MATCH(343,Translations!$A:$A,0), MATCH('Project Information'!$C$4,Translations!$D$1:$ZZ$1,0))</f>
        <v/>
      </c>
      <c r="BK16" s="38">
        <f>INDEX(Translations!$D:$ZZ, MATCH(79,Translations!$A:$A,0), MATCH('Project Information'!$C$4,Translations!$D$1:$ZZ$1,0))</f>
        <v/>
      </c>
      <c r="BL16" s="38">
        <f>IF(OR(TRIM(Development!$F$21)="Evet",TRIM(Development!$F$21)="Yes"),1,0)</f>
        <v/>
      </c>
      <c r="BM16" s="38" t="n">
        <v>3</v>
      </c>
      <c r="BN16" s="38">
        <f>BL16*BM16</f>
        <v/>
      </c>
    </row>
    <row r="17" ht="15" customHeight="1" s="39">
      <c r="A17" s="38">
        <f>'Project Definitions'!$D$17</f>
        <v/>
      </c>
      <c r="B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Days'!$AA:$AA,0),MATCH(B$1,'Fixed Days'!$B$3:$P$3,0)),0)*IFERROR(IF(OR(TRIM("")="Evet",TRIM("")="Yes"),MAX(N('Module Selection'!$C17),1),1),1)+IFERROR(SUMIFS($BF$2:$BF$700,$BB$2:$BB$700,$A17,$BC$2:$BC$700,B$1),0)+0))</f>
        <v/>
      </c>
      <c r="C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Days'!$AA:$AA,0),MATCH(C$1,'Fixed Days'!$B$3:$P$3,0)),0)*IFERROR(IF(OR(TRIM("")="Evet",TRIM("")="Yes"),MAX(N('Module Selection'!$C17),1),1),1)+IFERROR(SUMIFS($BF$2:$BF$700,$BB$2:$BB$700,$A17,$BC$2:$BC$700,C$1),0)+0))</f>
        <v/>
      </c>
      <c r="D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Days'!$AA:$AA,0),MATCH(D$1,'Fixed Days'!$B$3:$P$3,0)),0)*IFERROR(IF(OR(TRIM("")="Evet",TRIM("")="Yes"),MAX(N('Module Selection'!$C17),1),1),1)+IFERROR(SUMIFS($BF$2:$BF$700,$BB$2:$BB$700,$A17,$BC$2:$BC$700,D$1),0)+0))</f>
        <v/>
      </c>
      <c r="E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Days'!$AA:$AA,0),MATCH(E$1,'Fixed Days'!$B$3:$P$3,0)),0)*IFERROR(IF(OR(TRIM("")="Evet",TRIM("")="Yes"),MAX(N('Module Selection'!$C17),1),1),1)+IFERROR(SUMIFS($BF$2:$BF$700,$BB$2:$BB$700,$A17,$BC$2:$BC$700,E$1),0)+0))</f>
        <v/>
      </c>
      <c r="F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Days'!$AA:$AA,0),MATCH(F$1,'Fixed Days'!$B$3:$P$3,0)),0)*IFERROR(IF(OR(TRIM("")="Evet",TRIM("")="Yes"),MAX(N('Module Selection'!$C17),1),1),1)+IFERROR(SUMIFS($BF$2:$BF$700,$BB$2:$BB$700,$A17,$BC$2:$BC$700,F$1),0)+0))</f>
        <v/>
      </c>
      <c r="G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Days'!$AA:$AA,0),MATCH(G$1,'Fixed Days'!$B$3:$P$3,0)),0)*IFERROR(IF(OR(TRIM("")="Evet",TRIM("")="Yes"),MAX(N('Module Selection'!$C17),1),1),1)+IFERROR(SUMIFS($BF$2:$BF$700,$BB$2:$BB$700,$A17,$BC$2:$BC$700,G$1),0)+0))</f>
        <v/>
      </c>
      <c r="H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Days'!$AA:$AA,0),MATCH(H$1,'Fixed Days'!$B$3:$P$3,0)),0)*IFERROR(IF(OR(TRIM("")="Evet",TRIM("")="Yes"),MAX(N('Module Selection'!$C17),1),1),1)+IFERROR(SUMIFS($BF$2:$BF$700,$BB$2:$BB$700,$A17,$BC$2:$BC$700,H$1),0)+0))</f>
        <v/>
      </c>
      <c r="I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Days'!$AA:$AA,0),MATCH(I$1,'Fixed Days'!$B$3:$P$3,0)),0)*IFERROR(IF(OR(TRIM("")="Evet",TRIM("")="Yes"),MAX(N('Module Selection'!$C17),1),1),1)+IFERROR(SUMIFS($BF$2:$BF$700,$BB$2:$BB$700,$A17,$BC$2:$BC$700,I$1),0)+0))</f>
        <v/>
      </c>
      <c r="J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Days'!$AA:$AA,0),MATCH(J$1,'Fixed Days'!$B$3:$P$3,0)),0)*IFERROR(IF(OR(TRIM("")="Evet",TRIM("")="Yes"),MAX(N('Module Selection'!$C17),1),1),1)+IFERROR(SUMIFS($BF$2:$BF$700,$BB$2:$BB$700,$A17,$BC$2:$BC$700,J$1),0)+0))</f>
        <v/>
      </c>
      <c r="K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Days'!$AA:$AA,0),MATCH(K$1,'Fixed Days'!$B$3:$P$3,0)),0)*IFERROR(IF(OR(TRIM("")="Evet",TRIM("")="Yes"),MAX(N('Module Selection'!$C17),1),1),1)+IFERROR(SUMIFS($BF$2:$BF$700,$BB$2:$BB$700,$A17,$BC$2:$BC$700,K$1),0)+0))</f>
        <v/>
      </c>
      <c r="L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Days'!$AA:$AA,0),MATCH(L$1,'Fixed Days'!$B$3:$P$3,0)),0)*IFERROR(IF(OR(TRIM("")="Evet",TRIM("")="Yes"),MAX(N('Module Selection'!$C17),1),1),1)+IFERROR(SUMIFS($BF$2:$BF$700,$BB$2:$BB$700,$A17,$BC$2:$BC$700,L$1),0)+0))</f>
        <v/>
      </c>
      <c r="M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Days'!$AA:$AA,0),MATCH(M$1,'Fixed Days'!$B$3:$P$3,0)),0)*IFERROR(IF(OR(TRIM("")="Evet",TRIM("")="Yes"),MAX(N('Module Selection'!$C17),1),1),1)+IFERROR(SUMIFS($BF$2:$BF$700,$BB$2:$BB$700,$A17,$BC$2:$BC$700,M$1),0)+0))</f>
        <v/>
      </c>
      <c r="N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Days'!$AA:$AA,0),MATCH(N$1,'Fixed Days'!$B$3:$P$3,0)),0)*IFERROR(IF(OR(TRIM("")="Evet",TRIM("")="Yes"),MAX(N('Module Selection'!$C17),1),1),1)+IFERROR(SUMIFS($BF$2:$BF$700,$BB$2:$BB$700,$A17,$BC$2:$BC$700,N$1),0)+0))</f>
        <v/>
      </c>
      <c r="O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Days'!$AA:$AA,0),MATCH(O$1,'Fixed Days'!$B$3:$P$3,0)),0)*IFERROR(IF(OR(TRIM("")="Evet",TRIM("")="Yes"),MAX(N('Module Selection'!$C17),1),1),1)+IFERROR(SUMIFS($BF$2:$BF$700,$BB$2:$BB$700,$A17,$BC$2:$BC$700,O$1),0)+IFERROR(INDEX('Hypercare &amp; Go Live Support'!$G:$G,MATCH($A17,'Hypercare &amp; Go Live Support'!$A:$A,0)),0)))</f>
        <v/>
      </c>
      <c r="P17" s="38">
        <f>IF(AND('Module Selection'!$B17&lt;&gt;"Var",'Module Selection'!$B17&lt;&gt;"Include"),"",IF($A17="","",IFERROR(INDEX('Fixed Days'!$B:$P,MATCH('Project Information'!$C$11&amp;"|"&amp;IF(Scope!$J$9="S","SMALL",IF(Scope!$J$9="M","MEDIUM",IF(Scope!$J$9="L","LARGE","X-LARGE")))&amp;"|"&amp;$A17,'Fixed Days'!$AA:$AA,0),MATCH(P$1,'Fixed Days'!$B$3:$P$3,0)),0)*IFERROR(IF(OR(TRIM("")="Evet",TRIM("")="Yes"),MAX(N('Module Selection'!$C17),1),1),1)+IFERROR(SUMIFS($BF$2:$BF$700,$BB$2:$BB$700,$A17,$BC$2:$BC$700,P$1),0)+IFERROR(INDEX('Hypercare &amp; Go Live Support'!$F:$F,MATCH($A17,'Hypercare &amp; Go Live Support'!$A:$A,0)),0)))</f>
        <v/>
      </c>
      <c r="Q17" s="38">
        <f>SUM(B17:P17)</f>
        <v/>
      </c>
      <c r="AZ17" s="38">
        <f>INDEX(Translations!$D:$ZZ, MATCH(305,Translations!$A:$A,0), MATCH('Project Information'!$C$4,Translations!$D$1:$ZZ$1,0))</f>
        <v/>
      </c>
      <c r="BA17" s="38">
        <f>INDEX(Translations!$D:$ZZ, MATCH(32,Translations!$A:$A,0), MATCH('Project Information'!$C$4,Translations!$D$1:$ZZ$1,0))</f>
        <v/>
      </c>
      <c r="BB17" s="38">
        <f>INDEX(Translations!$D:$ZZ, MATCH(340,Translations!$A:$A,0), MATCH('Project Information'!$C$4,Translations!$D$1:$ZZ$1,0))</f>
        <v/>
      </c>
      <c r="BC17" s="38">
        <f>INDEX(Translations!$D:$ZZ, MATCH(75,Translations!$A:$A,0), MATCH('Project Information'!$C$4,Translations!$D$1:$ZZ$1,0))</f>
        <v/>
      </c>
      <c r="BD17" s="38">
        <f>IF(OR(TRIM("")="Evet",TRIM("")="Yes"),1,0)</f>
        <v/>
      </c>
      <c r="BE17" s="38" t="n">
        <v>3</v>
      </c>
      <c r="BF17" s="38">
        <f>BD17*BE17</f>
        <v/>
      </c>
      <c r="BH17" s="38">
        <f>INDEX(Translations!$D:$ZZ, MATCH(306,Translations!$A:$A,0), MATCH('Project Information'!$C$4,Translations!$D$1:$ZZ$1,0))</f>
        <v/>
      </c>
      <c r="BI17" s="38">
        <f>INDEX(Translations!$D:$ZZ, MATCH(215,Translations!$A:$A,0), MATCH('Project Information'!$C$4,Translations!$D$1:$ZZ$1,0))</f>
        <v/>
      </c>
      <c r="BJ17" s="38">
        <f>INDEX(Translations!$D:$ZZ, MATCH(339,Translations!$A:$A,0), MATCH('Project Information'!$C$4,Translations!$D$1:$ZZ$1,0))</f>
        <v/>
      </c>
      <c r="BK17" s="38">
        <f>INDEX(Translations!$D:$ZZ, MATCH(75,Translations!$A:$A,0), MATCH('Project Information'!$C$4,Translations!$D$1:$ZZ$1,0))</f>
        <v/>
      </c>
      <c r="BL17" s="38">
        <f>IF(OR(TRIM(Development!$F$21)="Evet",TRIM(Development!$F$21)="Yes"),1,0)</f>
        <v/>
      </c>
      <c r="BM17" s="38" t="n">
        <v>3</v>
      </c>
      <c r="BN17" s="38">
        <f>BL17*BM17</f>
        <v/>
      </c>
    </row>
    <row r="18" ht="15" customHeight="1" s="39">
      <c r="A18" s="38">
        <f>'Project Definitions'!$D$18</f>
        <v/>
      </c>
      <c r="B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Days'!$AA:$AA,0),MATCH(B$1,'Fixed Days'!$B$3:$P$3,0)),0)*IFERROR(IF(OR(TRIM("")="Evet",TRIM("")="Yes"),MAX(N('Module Selection'!$C18),1),1),1)+IFERROR(SUMIFS($BF$2:$BF$700,$BB$2:$BB$700,$A18,$BC$2:$BC$700,B$1),0)+0))</f>
        <v/>
      </c>
      <c r="C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Days'!$AA:$AA,0),MATCH(C$1,'Fixed Days'!$B$3:$P$3,0)),0)*IFERROR(IF(OR(TRIM("")="Evet",TRIM("")="Yes"),MAX(N('Module Selection'!$C18),1),1),1)+IFERROR(SUMIFS($BF$2:$BF$700,$BB$2:$BB$700,$A18,$BC$2:$BC$700,C$1),0)+0))</f>
        <v/>
      </c>
      <c r="D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Days'!$AA:$AA,0),MATCH(D$1,'Fixed Days'!$B$3:$P$3,0)),0)*IFERROR(IF(OR(TRIM("")="Evet",TRIM("")="Yes"),MAX(N('Module Selection'!$C18),1),1),1)+IFERROR(SUMIFS($BF$2:$BF$700,$BB$2:$BB$700,$A18,$BC$2:$BC$700,D$1),0)+0))</f>
        <v/>
      </c>
      <c r="E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Days'!$AA:$AA,0),MATCH(E$1,'Fixed Days'!$B$3:$P$3,0)),0)*IFERROR(IF(OR(TRIM("")="Evet",TRIM("")="Yes"),MAX(N('Module Selection'!$C18),1),1),1)+IFERROR(SUMIFS($BF$2:$BF$700,$BB$2:$BB$700,$A18,$BC$2:$BC$700,E$1),0)+0))</f>
        <v/>
      </c>
      <c r="F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Days'!$AA:$AA,0),MATCH(F$1,'Fixed Days'!$B$3:$P$3,0)),0)*IFERROR(IF(OR(TRIM("")="Evet",TRIM("")="Yes"),MAX(N('Module Selection'!$C18),1),1),1)+IFERROR(SUMIFS($BF$2:$BF$700,$BB$2:$BB$700,$A18,$BC$2:$BC$700,F$1),0)+0))</f>
        <v/>
      </c>
      <c r="G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Days'!$AA:$AA,0),MATCH(G$1,'Fixed Days'!$B$3:$P$3,0)),0)*IFERROR(IF(OR(TRIM("")="Evet",TRIM("")="Yes"),MAX(N('Module Selection'!$C18),1),1),1)+IFERROR(SUMIFS($BF$2:$BF$700,$BB$2:$BB$700,$A18,$BC$2:$BC$700,G$1),0)+0))</f>
        <v/>
      </c>
      <c r="H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Days'!$AA:$AA,0),MATCH(H$1,'Fixed Days'!$B$3:$P$3,0)),0)*IFERROR(IF(OR(TRIM("")="Evet",TRIM("")="Yes"),MAX(N('Module Selection'!$C18),1),1),1)+IFERROR(SUMIFS($BF$2:$BF$700,$BB$2:$BB$700,$A18,$BC$2:$BC$700,H$1),0)+0))</f>
        <v/>
      </c>
      <c r="I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Days'!$AA:$AA,0),MATCH(I$1,'Fixed Days'!$B$3:$P$3,0)),0)*IFERROR(IF(OR(TRIM("")="Evet",TRIM("")="Yes"),MAX(N('Module Selection'!$C18),1),1),1)+IFERROR(SUMIFS($BF$2:$BF$700,$BB$2:$BB$700,$A18,$BC$2:$BC$700,I$1),0)+0))</f>
        <v/>
      </c>
      <c r="J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Days'!$AA:$AA,0),MATCH(J$1,'Fixed Days'!$B$3:$P$3,0)),0)*IFERROR(IF(OR(TRIM("")="Evet",TRIM("")="Yes"),MAX(N('Module Selection'!$C18),1),1),1)+IFERROR(SUMIFS($BF$2:$BF$700,$BB$2:$BB$700,$A18,$BC$2:$BC$700,J$1),0)+0))</f>
        <v/>
      </c>
      <c r="K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Days'!$AA:$AA,0),MATCH(K$1,'Fixed Days'!$B$3:$P$3,0)),0)*IFERROR(IF(OR(TRIM("")="Evet",TRIM("")="Yes"),MAX(N('Module Selection'!$C18),1),1),1)+IFERROR(SUMIFS($BF$2:$BF$700,$BB$2:$BB$700,$A18,$BC$2:$BC$700,K$1),0)+0))</f>
        <v/>
      </c>
      <c r="L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Days'!$AA:$AA,0),MATCH(L$1,'Fixed Days'!$B$3:$P$3,0)),0)*IFERROR(IF(OR(TRIM("")="Evet",TRIM("")="Yes"),MAX(N('Module Selection'!$C18),1),1),1)+IFERROR(SUMIFS($BF$2:$BF$700,$BB$2:$BB$700,$A18,$BC$2:$BC$700,L$1),0)+0))</f>
        <v/>
      </c>
      <c r="M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Days'!$AA:$AA,0),MATCH(M$1,'Fixed Days'!$B$3:$P$3,0)),0)*IFERROR(IF(OR(TRIM("")="Evet",TRIM("")="Yes"),MAX(N('Module Selection'!$C18),1),1),1)+IFERROR(SUMIFS($BF$2:$BF$700,$BB$2:$BB$700,$A18,$BC$2:$BC$700,M$1),0)+0))</f>
        <v/>
      </c>
      <c r="N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Days'!$AA:$AA,0),MATCH(N$1,'Fixed Days'!$B$3:$P$3,0)),0)*IFERROR(IF(OR(TRIM("")="Evet",TRIM("")="Yes"),MAX(N('Module Selection'!$C18),1),1),1)+IFERROR(SUMIFS($BF$2:$BF$700,$BB$2:$BB$700,$A18,$BC$2:$BC$700,N$1),0)+0))</f>
        <v/>
      </c>
      <c r="O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Days'!$AA:$AA,0),MATCH(O$1,'Fixed Days'!$B$3:$P$3,0)),0)*IFERROR(IF(OR(TRIM("")="Evet",TRIM("")="Yes"),MAX(N('Module Selection'!$C18),1),1),1)+IFERROR(SUMIFS($BF$2:$BF$700,$BB$2:$BB$700,$A18,$BC$2:$BC$700,O$1),0)+IFERROR(INDEX('Hypercare &amp; Go Live Support'!$G:$G,MATCH($A18,'Hypercare &amp; Go Live Support'!$A:$A,0)),0)))</f>
        <v/>
      </c>
      <c r="P18" s="38">
        <f>IF(AND('Module Selection'!$B18&lt;&gt;"Var",'Module Selection'!$B18&lt;&gt;"Include"),"",IF($A18="","",IFERROR(INDEX('Fixed Days'!$B:$P,MATCH('Project Information'!$C$11&amp;"|"&amp;IF(Scope!$J$9="S","SMALL",IF(Scope!$J$9="M","MEDIUM",IF(Scope!$J$9="L","LARGE","X-LARGE")))&amp;"|"&amp;$A18,'Fixed Days'!$AA:$AA,0),MATCH(P$1,'Fixed Days'!$B$3:$P$3,0)),0)*IFERROR(IF(OR(TRIM("")="Evet",TRIM("")="Yes"),MAX(N('Module Selection'!$C18),1),1),1)+IFERROR(SUMIFS($BF$2:$BF$700,$BB$2:$BB$700,$A18,$BC$2:$BC$700,P$1),0)+IFERROR(INDEX('Hypercare &amp; Go Live Support'!$F:$F,MATCH($A18,'Hypercare &amp; Go Live Support'!$A:$A,0)),0)))</f>
        <v/>
      </c>
      <c r="Q18" s="38">
        <f>SUM(B18:P18)</f>
        <v/>
      </c>
      <c r="AZ18" s="38">
        <f>INDEX(Translations!$D:$ZZ, MATCH(305,Translations!$A:$A,0), MATCH('Project Information'!$C$4,Translations!$D$1:$ZZ$1,0))</f>
        <v/>
      </c>
      <c r="BA18" s="38">
        <f>INDEX(Translations!$D:$ZZ, MATCH(32,Translations!$A:$A,0), MATCH('Project Information'!$C$4,Translations!$D$1:$ZZ$1,0))</f>
        <v/>
      </c>
      <c r="BB18" s="38">
        <f>INDEX(Translations!$D:$ZZ, MATCH(340,Translations!$A:$A,0), MATCH('Project Information'!$C$4,Translations!$D$1:$ZZ$1,0))</f>
        <v/>
      </c>
      <c r="BC18" s="38">
        <f>INDEX(Translations!$D:$ZZ, MATCH(76,Translations!$A:$A,0), MATCH('Project Information'!$C$4,Translations!$D$1:$ZZ$1,0))</f>
        <v/>
      </c>
      <c r="BD18" s="38">
        <f>IF(OR(TRIM("")="Evet",TRIM("")="Yes"),1,0)</f>
        <v/>
      </c>
      <c r="BE18" s="38" t="n">
        <v>1</v>
      </c>
      <c r="BF18" s="38">
        <f>BD18*BE18</f>
        <v/>
      </c>
      <c r="BH18" s="38">
        <f>INDEX(Translations!$D:$ZZ, MATCH(306,Translations!$A:$A,0), MATCH('Project Information'!$C$4,Translations!$D$1:$ZZ$1,0))</f>
        <v/>
      </c>
      <c r="BI18" s="38">
        <f>INDEX(Translations!$D:$ZZ, MATCH(215,Translations!$A:$A,0), MATCH('Project Information'!$C$4,Translations!$D$1:$ZZ$1,0))</f>
        <v/>
      </c>
      <c r="BJ18" s="38">
        <f>INDEX(Translations!$D:$ZZ, MATCH(339,Translations!$A:$A,0), MATCH('Project Information'!$C$4,Translations!$D$1:$ZZ$1,0))</f>
        <v/>
      </c>
      <c r="BK18" s="38">
        <f>INDEX(Translations!$D:$ZZ, MATCH(76,Translations!$A:$A,0), MATCH('Project Information'!$C$4,Translations!$D$1:$ZZ$1,0))</f>
        <v/>
      </c>
      <c r="BL18" s="38">
        <f>IF(OR(TRIM(Development!$F$21)="Evet",TRIM(Development!$F$21)="Yes"),1,0)</f>
        <v/>
      </c>
      <c r="BM18" s="38" t="n">
        <v>1</v>
      </c>
      <c r="BN18" s="38">
        <f>BL18*BM18</f>
        <v/>
      </c>
    </row>
    <row r="19" ht="15" customHeight="1" s="39">
      <c r="A19" s="38">
        <f>'Project Definitions'!$D$19</f>
        <v/>
      </c>
      <c r="B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Days'!$AA:$AA,0),MATCH(B$1,'Fixed Days'!$B$3:$P$3,0)),0)*IFERROR(IF(OR(TRIM("")="Evet",TRIM("")="Yes"),MAX(N('Module Selection'!$C19),1),1),1)+IFERROR(SUMIFS($BF$2:$BF$700,$BB$2:$BB$700,$A19,$BC$2:$BC$700,B$1),0)+0))</f>
        <v/>
      </c>
      <c r="C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Days'!$AA:$AA,0),MATCH(C$1,'Fixed Days'!$B$3:$P$3,0)),0)*IFERROR(IF(OR(TRIM("")="Evet",TRIM("")="Yes"),MAX(N('Module Selection'!$C19),1),1),1)+IFERROR(SUMIFS($BF$2:$BF$700,$BB$2:$BB$700,$A19,$BC$2:$BC$700,C$1),0)+0))</f>
        <v/>
      </c>
      <c r="D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Days'!$AA:$AA,0),MATCH(D$1,'Fixed Days'!$B$3:$P$3,0)),0)*IFERROR(IF(OR(TRIM("")="Evet",TRIM("")="Yes"),MAX(N('Module Selection'!$C19),1),1),1)+IFERROR(SUMIFS($BF$2:$BF$700,$BB$2:$BB$700,$A19,$BC$2:$BC$700,D$1),0)+0))</f>
        <v/>
      </c>
      <c r="E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Days'!$AA:$AA,0),MATCH(E$1,'Fixed Days'!$B$3:$P$3,0)),0)*IFERROR(IF(OR(TRIM("")="Evet",TRIM("")="Yes"),MAX(N('Module Selection'!$C19),1),1),1)+IFERROR(SUMIFS($BF$2:$BF$700,$BB$2:$BB$700,$A19,$BC$2:$BC$700,E$1),0)+0))</f>
        <v/>
      </c>
      <c r="F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Days'!$AA:$AA,0),MATCH(F$1,'Fixed Days'!$B$3:$P$3,0)),0)*IFERROR(IF(OR(TRIM("")="Evet",TRIM("")="Yes"),MAX(N('Module Selection'!$C19),1),1),1)+IFERROR(SUMIFS($BF$2:$BF$700,$BB$2:$BB$700,$A19,$BC$2:$BC$700,F$1),0)+0))</f>
        <v/>
      </c>
      <c r="G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Days'!$AA:$AA,0),MATCH(G$1,'Fixed Days'!$B$3:$P$3,0)),0)*IFERROR(IF(OR(TRIM("")="Evet",TRIM("")="Yes"),MAX(N('Module Selection'!$C19),1),1),1)+IFERROR(SUMIFS($BF$2:$BF$700,$BB$2:$BB$700,$A19,$BC$2:$BC$700,G$1),0)+0))</f>
        <v/>
      </c>
      <c r="H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Days'!$AA:$AA,0),MATCH(H$1,'Fixed Days'!$B$3:$P$3,0)),0)*IFERROR(IF(OR(TRIM("")="Evet",TRIM("")="Yes"),MAX(N('Module Selection'!$C19),1),1),1)+IFERROR(SUMIFS($BF$2:$BF$700,$BB$2:$BB$700,$A19,$BC$2:$BC$700,H$1),0)+0))</f>
        <v/>
      </c>
      <c r="I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Days'!$AA:$AA,0),MATCH(I$1,'Fixed Days'!$B$3:$P$3,0)),0)*IFERROR(IF(OR(TRIM("")="Evet",TRIM("")="Yes"),MAX(N('Module Selection'!$C19),1),1),1)+IFERROR(SUMIFS($BF$2:$BF$700,$BB$2:$BB$700,$A19,$BC$2:$BC$700,I$1),0)+0))</f>
        <v/>
      </c>
      <c r="J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Days'!$AA:$AA,0),MATCH(J$1,'Fixed Days'!$B$3:$P$3,0)),0)*IFERROR(IF(OR(TRIM("")="Evet",TRIM("")="Yes"),MAX(N('Module Selection'!$C19),1),1),1)+IFERROR(SUMIFS($BF$2:$BF$700,$BB$2:$BB$700,$A19,$BC$2:$BC$700,J$1),0)+0))</f>
        <v/>
      </c>
      <c r="K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Days'!$AA:$AA,0),MATCH(K$1,'Fixed Days'!$B$3:$P$3,0)),0)*IFERROR(IF(OR(TRIM("")="Evet",TRIM("")="Yes"),MAX(N('Module Selection'!$C19),1),1),1)+IFERROR(SUMIFS($BF$2:$BF$700,$BB$2:$BB$700,$A19,$BC$2:$BC$700,K$1),0)+0))</f>
        <v/>
      </c>
      <c r="L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Days'!$AA:$AA,0),MATCH(L$1,'Fixed Days'!$B$3:$P$3,0)),0)*IFERROR(IF(OR(TRIM("")="Evet",TRIM("")="Yes"),MAX(N('Module Selection'!$C19),1),1),1)+IFERROR(SUMIFS($BF$2:$BF$700,$BB$2:$BB$700,$A19,$BC$2:$BC$700,L$1),0)+0))</f>
        <v/>
      </c>
      <c r="M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Days'!$AA:$AA,0),MATCH(M$1,'Fixed Days'!$B$3:$P$3,0)),0)*IFERROR(IF(OR(TRIM("")="Evet",TRIM("")="Yes"),MAX(N('Module Selection'!$C19),1),1),1)+IFERROR(SUMIFS($BF$2:$BF$700,$BB$2:$BB$700,$A19,$BC$2:$BC$700,M$1),0)+0))</f>
        <v/>
      </c>
      <c r="N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Days'!$AA:$AA,0),MATCH(N$1,'Fixed Days'!$B$3:$P$3,0)),0)*IFERROR(IF(OR(TRIM("")="Evet",TRIM("")="Yes"),MAX(N('Module Selection'!$C19),1),1),1)+IFERROR(SUMIFS($BF$2:$BF$700,$BB$2:$BB$700,$A19,$BC$2:$BC$700,N$1),0)+0))</f>
        <v/>
      </c>
      <c r="O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Days'!$AA:$AA,0),MATCH(O$1,'Fixed Days'!$B$3:$P$3,0)),0)*IFERROR(IF(OR(TRIM("")="Evet",TRIM("")="Yes"),MAX(N('Module Selection'!$C19),1),1),1)+IFERROR(SUMIFS($BF$2:$BF$700,$BB$2:$BB$700,$A19,$BC$2:$BC$700,O$1),0)+IFERROR(INDEX('Hypercare &amp; Go Live Support'!$G:$G,MATCH($A19,'Hypercare &amp; Go Live Support'!$A:$A,0)),0)))</f>
        <v/>
      </c>
      <c r="P19" s="38">
        <f>IF(AND('Module Selection'!$B19&lt;&gt;"Var",'Module Selection'!$B19&lt;&gt;"Include"),"",IF($A19="","",IFERROR(INDEX('Fixed Days'!$B:$P,MATCH('Project Information'!$C$11&amp;"|"&amp;IF(Scope!$J$9="S","SMALL",IF(Scope!$J$9="M","MEDIUM",IF(Scope!$J$9="L","LARGE","X-LARGE")))&amp;"|"&amp;$A19,'Fixed Days'!$AA:$AA,0),MATCH(P$1,'Fixed Days'!$B$3:$P$3,0)),0)*IFERROR(IF(OR(TRIM("")="Evet",TRIM("")="Yes"),MAX(N('Module Selection'!$C19),1),1),1)+IFERROR(SUMIFS($BF$2:$BF$700,$BB$2:$BB$700,$A19,$BC$2:$BC$700,P$1),0)+IFERROR(INDEX('Hypercare &amp; Go Live Support'!$F:$F,MATCH($A19,'Hypercare &amp; Go Live Support'!$A:$A,0)),0)))</f>
        <v/>
      </c>
      <c r="Q19" s="38">
        <f>SUM(B19:P19)</f>
        <v/>
      </c>
      <c r="AZ19" s="38">
        <f>INDEX(Translations!$D:$ZZ, MATCH(305,Translations!$A:$A,0), MATCH('Project Information'!$C$4,Translations!$D$1:$ZZ$1,0))</f>
        <v/>
      </c>
      <c r="BA19" s="38">
        <f>INDEX(Translations!$D:$ZZ, MATCH(32,Translations!$A:$A,0), MATCH('Project Information'!$C$4,Translations!$D$1:$ZZ$1,0))</f>
        <v/>
      </c>
      <c r="BB19" s="38">
        <f>INDEX(Translations!$D:$ZZ, MATCH(340,Translations!$A:$A,0), MATCH('Project Information'!$C$4,Translations!$D$1:$ZZ$1,0))</f>
        <v/>
      </c>
      <c r="BC19" s="38">
        <f>INDEX(Translations!$D:$ZZ, MATCH(79,Translations!$A:$A,0), MATCH('Project Information'!$C$4,Translations!$D$1:$ZZ$1,0))</f>
        <v/>
      </c>
      <c r="BD19" s="38">
        <f>IF(OR(TRIM("")="Evet",TRIM("")="Yes"),1,0)</f>
        <v/>
      </c>
      <c r="BE19" s="38" t="n">
        <v>1</v>
      </c>
      <c r="BF19" s="38">
        <f>BD19*BE19</f>
        <v/>
      </c>
      <c r="BH19" s="38">
        <f>INDEX(Translations!$D:$ZZ, MATCH(306,Translations!$A:$A,0), MATCH('Project Information'!$C$4,Translations!$D$1:$ZZ$1,0))</f>
        <v/>
      </c>
      <c r="BI19" s="38">
        <f>INDEX(Translations!$D:$ZZ, MATCH(215,Translations!$A:$A,0), MATCH('Project Information'!$C$4,Translations!$D$1:$ZZ$1,0))</f>
        <v/>
      </c>
      <c r="BJ19" s="38">
        <f>INDEX(Translations!$D:$ZZ, MATCH(339,Translations!$A:$A,0), MATCH('Project Information'!$C$4,Translations!$D$1:$ZZ$1,0))</f>
        <v/>
      </c>
      <c r="BK19" s="38">
        <f>INDEX(Translations!$D:$ZZ, MATCH(79,Translations!$A:$A,0), MATCH('Project Information'!$C$4,Translations!$D$1:$ZZ$1,0))</f>
        <v/>
      </c>
      <c r="BL19" s="38">
        <f>IF(OR(TRIM(Development!$F$21)="Evet",TRIM(Development!$F$21)="Yes"),1,0)</f>
        <v/>
      </c>
      <c r="BM19" s="38" t="n">
        <v>3</v>
      </c>
      <c r="BN19" s="38">
        <f>BL19*BM19</f>
        <v/>
      </c>
    </row>
    <row r="20" ht="15" customHeight="1" s="39">
      <c r="A20" s="38">
        <f>'Project Definitions'!$D$20</f>
        <v/>
      </c>
      <c r="B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Days'!$AA:$AA,0),MATCH(B$1,'Fixed Days'!$B$3:$P$3,0)),0)*IFERROR(IF(OR(TRIM("")="Evet",TRIM("")="Yes"),MAX(N('Module Selection'!$C20),1),1),1)+IFERROR(SUMIFS($BF$2:$BF$700,$BB$2:$BB$700,$A20,$BC$2:$BC$700,B$1),0)+0))</f>
        <v/>
      </c>
      <c r="C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Days'!$AA:$AA,0),MATCH(C$1,'Fixed Days'!$B$3:$P$3,0)),0)*IFERROR(IF(OR(TRIM("")="Evet",TRIM("")="Yes"),MAX(N('Module Selection'!$C20),1),1),1)+IFERROR(SUMIFS($BF$2:$BF$700,$BB$2:$BB$700,$A20,$BC$2:$BC$700,C$1),0)+0))</f>
        <v/>
      </c>
      <c r="D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Days'!$AA:$AA,0),MATCH(D$1,'Fixed Days'!$B$3:$P$3,0)),0)*IFERROR(IF(OR(TRIM("")="Evet",TRIM("")="Yes"),MAX(N('Module Selection'!$C20),1),1),1)+IFERROR(SUMIFS($BF$2:$BF$700,$BB$2:$BB$700,$A20,$BC$2:$BC$700,D$1),0)+0))</f>
        <v/>
      </c>
      <c r="E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Days'!$AA:$AA,0),MATCH(E$1,'Fixed Days'!$B$3:$P$3,0)),0)*IFERROR(IF(OR(TRIM("")="Evet",TRIM("")="Yes"),MAX(N('Module Selection'!$C20),1),1),1)+IFERROR(SUMIFS($BF$2:$BF$700,$BB$2:$BB$700,$A20,$BC$2:$BC$700,E$1),0)+0))</f>
        <v/>
      </c>
      <c r="F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Days'!$AA:$AA,0),MATCH(F$1,'Fixed Days'!$B$3:$P$3,0)),0)*IFERROR(IF(OR(TRIM("")="Evet",TRIM("")="Yes"),MAX(N('Module Selection'!$C20),1),1),1)+IFERROR(SUMIFS($BF$2:$BF$700,$BB$2:$BB$700,$A20,$BC$2:$BC$700,F$1),0)+0))</f>
        <v/>
      </c>
      <c r="G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Days'!$AA:$AA,0),MATCH(G$1,'Fixed Days'!$B$3:$P$3,0)),0)*IFERROR(IF(OR(TRIM("")="Evet",TRIM("")="Yes"),MAX(N('Module Selection'!$C20),1),1),1)+IFERROR(SUMIFS($BF$2:$BF$700,$BB$2:$BB$700,$A20,$BC$2:$BC$700,G$1),0)+0))</f>
        <v/>
      </c>
      <c r="H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Days'!$AA:$AA,0),MATCH(H$1,'Fixed Days'!$B$3:$P$3,0)),0)*IFERROR(IF(OR(TRIM("")="Evet",TRIM("")="Yes"),MAX(N('Module Selection'!$C20),1),1),1)+IFERROR(SUMIFS($BF$2:$BF$700,$BB$2:$BB$700,$A20,$BC$2:$BC$700,H$1),0)+0))</f>
        <v/>
      </c>
      <c r="I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Days'!$AA:$AA,0),MATCH(I$1,'Fixed Days'!$B$3:$P$3,0)),0)*IFERROR(IF(OR(TRIM("")="Evet",TRIM("")="Yes"),MAX(N('Module Selection'!$C20),1),1),1)+IFERROR(SUMIFS($BF$2:$BF$700,$BB$2:$BB$700,$A20,$BC$2:$BC$700,I$1),0)+0))</f>
        <v/>
      </c>
      <c r="J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Days'!$AA:$AA,0),MATCH(J$1,'Fixed Days'!$B$3:$P$3,0)),0)*IFERROR(IF(OR(TRIM("")="Evet",TRIM("")="Yes"),MAX(N('Module Selection'!$C20),1),1),1)+IFERROR(SUMIFS($BF$2:$BF$700,$BB$2:$BB$700,$A20,$BC$2:$BC$700,J$1),0)+0))</f>
        <v/>
      </c>
      <c r="K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Days'!$AA:$AA,0),MATCH(K$1,'Fixed Days'!$B$3:$P$3,0)),0)*IFERROR(IF(OR(TRIM("")="Evet",TRIM("")="Yes"),MAX(N('Module Selection'!$C20),1),1),1)+IFERROR(SUMIFS($BF$2:$BF$700,$BB$2:$BB$700,$A20,$BC$2:$BC$700,K$1),0)+0))</f>
        <v/>
      </c>
      <c r="L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Days'!$AA:$AA,0),MATCH(L$1,'Fixed Days'!$B$3:$P$3,0)),0)*IFERROR(IF(OR(TRIM("")="Evet",TRIM("")="Yes"),MAX(N('Module Selection'!$C20),1),1),1)+IFERROR(SUMIFS($BF$2:$BF$700,$BB$2:$BB$700,$A20,$BC$2:$BC$700,L$1),0)+0))</f>
        <v/>
      </c>
      <c r="M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Days'!$AA:$AA,0),MATCH(M$1,'Fixed Days'!$B$3:$P$3,0)),0)*IFERROR(IF(OR(TRIM("")="Evet",TRIM("")="Yes"),MAX(N('Module Selection'!$C20),1),1),1)+IFERROR(SUMIFS($BF$2:$BF$700,$BB$2:$BB$700,$A20,$BC$2:$BC$700,M$1),0)+0))</f>
        <v/>
      </c>
      <c r="N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Days'!$AA:$AA,0),MATCH(N$1,'Fixed Days'!$B$3:$P$3,0)),0)*IFERROR(IF(OR(TRIM("")="Evet",TRIM("")="Yes"),MAX(N('Module Selection'!$C20),1),1),1)+IFERROR(SUMIFS($BF$2:$BF$700,$BB$2:$BB$700,$A20,$BC$2:$BC$700,N$1),0)+0))</f>
        <v/>
      </c>
      <c r="O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Days'!$AA:$AA,0),MATCH(O$1,'Fixed Days'!$B$3:$P$3,0)),0)*IFERROR(IF(OR(TRIM("")="Evet",TRIM("")="Yes"),MAX(N('Module Selection'!$C20),1),1),1)+IFERROR(SUMIFS($BF$2:$BF$700,$BB$2:$BB$700,$A20,$BC$2:$BC$700,O$1),0)+IFERROR(INDEX('Hypercare &amp; Go Live Support'!$G:$G,MATCH($A20,'Hypercare &amp; Go Live Support'!$A:$A,0)),0)))</f>
        <v/>
      </c>
      <c r="P20" s="38">
        <f>IF(AND('Module Selection'!$B20&lt;&gt;"Var",'Module Selection'!$B20&lt;&gt;"Include"),"",IF($A20="","",IFERROR(INDEX('Fixed Days'!$B:$P,MATCH('Project Information'!$C$11&amp;"|"&amp;IF(Scope!$J$9="S","SMALL",IF(Scope!$J$9="M","MEDIUM",IF(Scope!$J$9="L","LARGE","X-LARGE")))&amp;"|"&amp;$A20,'Fixed Days'!$AA:$AA,0),MATCH(P$1,'Fixed Days'!$B$3:$P$3,0)),0)*IFERROR(IF(OR(TRIM("")="Evet",TRIM("")="Yes"),MAX(N('Module Selection'!$C20),1),1),1)+IFERROR(SUMIFS($BF$2:$BF$700,$BB$2:$BB$700,$A20,$BC$2:$BC$700,P$1),0)+IFERROR(INDEX('Hypercare &amp; Go Live Support'!$F:$F,MATCH($A20,'Hypercare &amp; Go Live Support'!$A:$A,0)),0)))</f>
        <v/>
      </c>
      <c r="Q20" s="38">
        <f>SUM(B20:P20)</f>
        <v/>
      </c>
      <c r="AZ20" s="38">
        <f>INDEX(Translations!$D:$ZZ, MATCH(305,Translations!$A:$A,0), MATCH('Project Information'!$C$4,Translations!$D$1:$ZZ$1,0))</f>
        <v/>
      </c>
      <c r="BA20" s="38">
        <f>INDEX(Translations!$D:$ZZ, MATCH(32,Translations!$A:$A,0), MATCH('Project Information'!$C$4,Translations!$D$1:$ZZ$1,0))</f>
        <v/>
      </c>
      <c r="BB20" s="38">
        <f>INDEX(Translations!$D:$ZZ, MATCH(340,Translations!$A:$A,0), MATCH('Project Information'!$C$4,Translations!$D$1:$ZZ$1,0))</f>
        <v/>
      </c>
      <c r="BC20" s="38">
        <f>INDEX(Translations!$D:$ZZ, MATCH(82,Translations!$A:$A,0), MATCH('Project Information'!$C$4,Translations!$D$1:$ZZ$1,0))</f>
        <v/>
      </c>
      <c r="BD20" s="38">
        <f>IF(OR(TRIM("")="Evet",TRIM("")="Yes"),1,0)</f>
        <v/>
      </c>
      <c r="BE20" s="38" t="n">
        <v>0.5</v>
      </c>
      <c r="BF20" s="38">
        <f>BD20*BE20</f>
        <v/>
      </c>
      <c r="BH20" s="38">
        <f>INDEX(Translations!$D:$ZZ, MATCH(306,Translations!$A:$A,0), MATCH('Project Information'!$C$4,Translations!$D$1:$ZZ$1,0))</f>
        <v/>
      </c>
      <c r="BI20" s="38">
        <f>INDEX(Translations!$D:$ZZ, MATCH(225,Translations!$A:$A,0), MATCH('Project Information'!$C$4,Translations!$D$1:$ZZ$1,0))</f>
        <v/>
      </c>
      <c r="BJ20" s="38">
        <f>INDEX(Translations!$D:$ZZ, MATCH(346,Translations!$A:$A,0), MATCH('Project Information'!$C$4,Translations!$D$1:$ZZ$1,0))</f>
        <v/>
      </c>
      <c r="BK20" s="38">
        <f>INDEX(Translations!$D:$ZZ, MATCH(78,Translations!$A:$A,0), MATCH('Project Information'!$C$4,Translations!$D$1:$ZZ$1,0))</f>
        <v/>
      </c>
      <c r="BL20" s="38">
        <f>IF(OR(TRIM(Development!$F$23)="Evet",TRIM(Development!$F$23)="Yes"),1,0)</f>
        <v/>
      </c>
      <c r="BM20" s="38" t="n">
        <v>8</v>
      </c>
      <c r="BN20" s="38">
        <f>BL20*BM20</f>
        <v/>
      </c>
    </row>
    <row r="21" ht="15" customHeight="1" s="39">
      <c r="A21" s="38">
        <f>'Project Definitions'!$D$21</f>
        <v/>
      </c>
      <c r="B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Days'!$AA:$AA,0),MATCH(B$1,'Fixed Days'!$B$3:$P$3,0)),0)*IFERROR(IF(OR(TRIM("")="Evet",TRIM("")="Yes"),MAX(N('Module Selection'!$C21),1),1),1)+IFERROR(SUMIFS($BF$2:$BF$700,$BB$2:$BB$700,$A21,$BC$2:$BC$700,B$1),0)+0))</f>
        <v/>
      </c>
      <c r="C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Days'!$AA:$AA,0),MATCH(C$1,'Fixed Days'!$B$3:$P$3,0)),0)*IFERROR(IF(OR(TRIM("")="Evet",TRIM("")="Yes"),MAX(N('Module Selection'!$C21),1),1),1)+IFERROR(SUMIFS($BF$2:$BF$700,$BB$2:$BB$700,$A21,$BC$2:$BC$700,C$1),0)+0))</f>
        <v/>
      </c>
      <c r="D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Days'!$AA:$AA,0),MATCH(D$1,'Fixed Days'!$B$3:$P$3,0)),0)*IFERROR(IF(OR(TRIM("")="Evet",TRIM("")="Yes"),MAX(N('Module Selection'!$C21),1),1),1)+IFERROR(SUMIFS($BF$2:$BF$700,$BB$2:$BB$700,$A21,$BC$2:$BC$700,D$1),0)+0))</f>
        <v/>
      </c>
      <c r="E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Days'!$AA:$AA,0),MATCH(E$1,'Fixed Days'!$B$3:$P$3,0)),0)*IFERROR(IF(OR(TRIM("")="Evet",TRIM("")="Yes"),MAX(N('Module Selection'!$C21),1),1),1)+IFERROR(SUMIFS($BF$2:$BF$700,$BB$2:$BB$700,$A21,$BC$2:$BC$700,E$1),0)+0))</f>
        <v/>
      </c>
      <c r="F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Days'!$AA:$AA,0),MATCH(F$1,'Fixed Days'!$B$3:$P$3,0)),0)*IFERROR(IF(OR(TRIM("")="Evet",TRIM("")="Yes"),MAX(N('Module Selection'!$C21),1),1),1)+IFERROR(SUMIFS($BF$2:$BF$700,$BB$2:$BB$700,$A21,$BC$2:$BC$700,F$1),0)+0))</f>
        <v/>
      </c>
      <c r="G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Days'!$AA:$AA,0),MATCH(G$1,'Fixed Days'!$B$3:$P$3,0)),0)*IFERROR(IF(OR(TRIM("")="Evet",TRIM("")="Yes"),MAX(N('Module Selection'!$C21),1),1),1)+IFERROR(SUMIFS($BF$2:$BF$700,$BB$2:$BB$700,$A21,$BC$2:$BC$700,G$1),0)+0))</f>
        <v/>
      </c>
      <c r="H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Days'!$AA:$AA,0),MATCH(H$1,'Fixed Days'!$B$3:$P$3,0)),0)*IFERROR(IF(OR(TRIM("")="Evet",TRIM("")="Yes"),MAX(N('Module Selection'!$C21),1),1),1)+IFERROR(SUMIFS($BF$2:$BF$700,$BB$2:$BB$700,$A21,$BC$2:$BC$700,H$1),0)+0))</f>
        <v/>
      </c>
      <c r="I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Days'!$AA:$AA,0),MATCH(I$1,'Fixed Days'!$B$3:$P$3,0)),0)*IFERROR(IF(OR(TRIM("")="Evet",TRIM("")="Yes"),MAX(N('Module Selection'!$C21),1),1),1)+IFERROR(SUMIFS($BF$2:$BF$700,$BB$2:$BB$700,$A21,$BC$2:$BC$700,I$1),0)+0))</f>
        <v/>
      </c>
      <c r="J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Days'!$AA:$AA,0),MATCH(J$1,'Fixed Days'!$B$3:$P$3,0)),0)*IFERROR(IF(OR(TRIM("")="Evet",TRIM("")="Yes"),MAX(N('Module Selection'!$C21),1),1),1)+IFERROR(SUMIFS($BF$2:$BF$700,$BB$2:$BB$700,$A21,$BC$2:$BC$700,J$1),0)+0))</f>
        <v/>
      </c>
      <c r="K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Days'!$AA:$AA,0),MATCH(K$1,'Fixed Days'!$B$3:$P$3,0)),0)*IFERROR(IF(OR(TRIM("")="Evet",TRIM("")="Yes"),MAX(N('Module Selection'!$C21),1),1),1)+IFERROR(SUMIFS($BF$2:$BF$700,$BB$2:$BB$700,$A21,$BC$2:$BC$700,K$1),0)+0))</f>
        <v/>
      </c>
      <c r="L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Days'!$AA:$AA,0),MATCH(L$1,'Fixed Days'!$B$3:$P$3,0)),0)*IFERROR(IF(OR(TRIM("")="Evet",TRIM("")="Yes"),MAX(N('Module Selection'!$C21),1),1),1)+IFERROR(SUMIFS($BF$2:$BF$700,$BB$2:$BB$700,$A21,$BC$2:$BC$700,L$1),0)+0))</f>
        <v/>
      </c>
      <c r="M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Days'!$AA:$AA,0),MATCH(M$1,'Fixed Days'!$B$3:$P$3,0)),0)*IFERROR(IF(OR(TRIM("")="Evet",TRIM("")="Yes"),MAX(N('Module Selection'!$C21),1),1),1)+IFERROR(SUMIFS($BF$2:$BF$700,$BB$2:$BB$700,$A21,$BC$2:$BC$700,M$1),0)+0))</f>
        <v/>
      </c>
      <c r="N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Days'!$AA:$AA,0),MATCH(N$1,'Fixed Days'!$B$3:$P$3,0)),0)*IFERROR(IF(OR(TRIM("")="Evet",TRIM("")="Yes"),MAX(N('Module Selection'!$C21),1),1),1)+IFERROR(SUMIFS($BF$2:$BF$700,$BB$2:$BB$700,$A21,$BC$2:$BC$700,N$1),0)+0))</f>
        <v/>
      </c>
      <c r="O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Days'!$AA:$AA,0),MATCH(O$1,'Fixed Days'!$B$3:$P$3,0)),0)*IFERROR(IF(OR(TRIM("")="Evet",TRIM("")="Yes"),MAX(N('Module Selection'!$C21),1),1),1)+IFERROR(SUMIFS($BF$2:$BF$700,$BB$2:$BB$700,$A21,$BC$2:$BC$700,O$1),0)+IFERROR(INDEX('Hypercare &amp; Go Live Support'!$G:$G,MATCH($A21,'Hypercare &amp; Go Live Support'!$A:$A,0)),0)))</f>
        <v/>
      </c>
      <c r="P21" s="38">
        <f>IF(AND('Module Selection'!$B21&lt;&gt;"Var",'Module Selection'!$B21&lt;&gt;"Include"),"",IF($A21="","",IFERROR(INDEX('Fixed Days'!$B:$P,MATCH('Project Information'!$C$11&amp;"|"&amp;IF(Scope!$J$9="S","SMALL",IF(Scope!$J$9="M","MEDIUM",IF(Scope!$J$9="L","LARGE","X-LARGE")))&amp;"|"&amp;$A21,'Fixed Days'!$AA:$AA,0),MATCH(P$1,'Fixed Days'!$B$3:$P$3,0)),0)*IFERROR(IF(OR(TRIM("")="Evet",TRIM("")="Yes"),MAX(N('Module Selection'!$C21),1),1),1)+IFERROR(SUMIFS($BF$2:$BF$700,$BB$2:$BB$700,$A21,$BC$2:$BC$700,P$1),0)+IFERROR(INDEX('Hypercare &amp; Go Live Support'!$F:$F,MATCH($A21,'Hypercare &amp; Go Live Support'!$A:$A,0)),0)))</f>
        <v/>
      </c>
      <c r="Q21" s="38">
        <f>SUM(B21:P21)</f>
        <v/>
      </c>
      <c r="AZ21" s="38">
        <f>INDEX(Translations!$D:$ZZ, MATCH(305,Translations!$A:$A,0), MATCH('Project Information'!$C$4,Translations!$D$1:$ZZ$1,0))</f>
        <v/>
      </c>
      <c r="BA21" s="38">
        <f>INDEX(Translations!$D:$ZZ, MATCH(32,Translations!$A:$A,0), MATCH('Project Information'!$C$4,Translations!$D$1:$ZZ$1,0))</f>
        <v/>
      </c>
      <c r="BB21" s="38">
        <f>INDEX(Translations!$D:$ZZ, MATCH(340,Translations!$A:$A,0), MATCH('Project Information'!$C$4,Translations!$D$1:$ZZ$1,0))</f>
        <v/>
      </c>
      <c r="BC21" s="38">
        <f>INDEX(Translations!$D:$ZZ, MATCH(83,Translations!$A:$A,0), MATCH('Project Information'!$C$4,Translations!$D$1:$ZZ$1,0))</f>
        <v/>
      </c>
      <c r="BD21" s="38">
        <f>IF(OR(TRIM("")="Evet",TRIM("")="Yes"),1,0)</f>
        <v/>
      </c>
      <c r="BE21" s="38" t="n">
        <v>1</v>
      </c>
      <c r="BF21" s="38">
        <f>BD21*BE21</f>
        <v/>
      </c>
      <c r="BH21" s="38">
        <f>INDEX(Translations!$D:$ZZ, MATCH(306,Translations!$A:$A,0), MATCH('Project Information'!$C$4,Translations!$D$1:$ZZ$1,0))</f>
        <v/>
      </c>
      <c r="BI21" s="38">
        <f>INDEX(Translations!$D:$ZZ, MATCH(225,Translations!$A:$A,0), MATCH('Project Information'!$C$4,Translations!$D$1:$ZZ$1,0))</f>
        <v/>
      </c>
      <c r="BJ21" s="38">
        <f>INDEX(Translations!$D:$ZZ, MATCH(339,Translations!$A:$A,0), MATCH('Project Information'!$C$4,Translations!$D$1:$ZZ$1,0))</f>
        <v/>
      </c>
      <c r="BK21" s="38">
        <f>INDEX(Translations!$D:$ZZ, MATCH(75,Translations!$A:$A,0), MATCH('Project Information'!$C$4,Translations!$D$1:$ZZ$1,0))</f>
        <v/>
      </c>
      <c r="BL21" s="38">
        <f>IF(OR(TRIM(Development!$F$23)="Evet",TRIM(Development!$F$23)="Yes"),1,0)</f>
        <v/>
      </c>
      <c r="BM21" s="38" t="n">
        <v>3</v>
      </c>
      <c r="BN21" s="38">
        <f>BL21*BM21</f>
        <v/>
      </c>
    </row>
    <row r="22" ht="15" customHeight="1" s="39">
      <c r="A22" s="38">
        <f>'Project Definitions'!$D$22</f>
        <v/>
      </c>
      <c r="B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Days'!$AA:$AA,0),MATCH(B$1,'Fixed Days'!$B$3:$P$3,0)),0)*IFERROR(IF(OR(TRIM("")="Evet",TRIM("")="Yes"),MAX(N('Module Selection'!$C22),1),1),1)+IFERROR(SUMIFS($BF$2:$BF$700,$BB$2:$BB$700,$A22,$BC$2:$BC$700,B$1),0)+0))</f>
        <v/>
      </c>
      <c r="C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Days'!$AA:$AA,0),MATCH(C$1,'Fixed Days'!$B$3:$P$3,0)),0)*IFERROR(IF(OR(TRIM("")="Evet",TRIM("")="Yes"),MAX(N('Module Selection'!$C22),1),1),1)+IFERROR(SUMIFS($BF$2:$BF$700,$BB$2:$BB$700,$A22,$BC$2:$BC$700,C$1),0)+0))</f>
        <v/>
      </c>
      <c r="D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Days'!$AA:$AA,0),MATCH(D$1,'Fixed Days'!$B$3:$P$3,0)),0)*IFERROR(IF(OR(TRIM("")="Evet",TRIM("")="Yes"),MAX(N('Module Selection'!$C22),1),1),1)+IFERROR(SUMIFS($BF$2:$BF$700,$BB$2:$BB$700,$A22,$BC$2:$BC$700,D$1),0)+0))</f>
        <v/>
      </c>
      <c r="E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Days'!$AA:$AA,0),MATCH(E$1,'Fixed Days'!$B$3:$P$3,0)),0)*IFERROR(IF(OR(TRIM("")="Evet",TRIM("")="Yes"),MAX(N('Module Selection'!$C22),1),1),1)+IFERROR(SUMIFS($BF$2:$BF$700,$BB$2:$BB$700,$A22,$BC$2:$BC$700,E$1),0)+0))</f>
        <v/>
      </c>
      <c r="F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Days'!$AA:$AA,0),MATCH(F$1,'Fixed Days'!$B$3:$P$3,0)),0)*IFERROR(IF(OR(TRIM("")="Evet",TRIM("")="Yes"),MAX(N('Module Selection'!$C22),1),1),1)+IFERROR(SUMIFS($BF$2:$BF$700,$BB$2:$BB$700,$A22,$BC$2:$BC$700,F$1),0)+0))</f>
        <v/>
      </c>
      <c r="G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Days'!$AA:$AA,0),MATCH(G$1,'Fixed Days'!$B$3:$P$3,0)),0)*IFERROR(IF(OR(TRIM("")="Evet",TRIM("")="Yes"),MAX(N('Module Selection'!$C22),1),1),1)+IFERROR(SUMIFS($BF$2:$BF$700,$BB$2:$BB$700,$A22,$BC$2:$BC$700,G$1),0)+0))</f>
        <v/>
      </c>
      <c r="H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Days'!$AA:$AA,0),MATCH(H$1,'Fixed Days'!$B$3:$P$3,0)),0)*IFERROR(IF(OR(TRIM("")="Evet",TRIM("")="Yes"),MAX(N('Module Selection'!$C22),1),1),1)+IFERROR(SUMIFS($BF$2:$BF$700,$BB$2:$BB$700,$A22,$BC$2:$BC$700,H$1),0)+0))</f>
        <v/>
      </c>
      <c r="I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Days'!$AA:$AA,0),MATCH(I$1,'Fixed Days'!$B$3:$P$3,0)),0)*IFERROR(IF(OR(TRIM("")="Evet",TRIM("")="Yes"),MAX(N('Module Selection'!$C22),1),1),1)+IFERROR(SUMIFS($BF$2:$BF$700,$BB$2:$BB$700,$A22,$BC$2:$BC$700,I$1),0)+0))</f>
        <v/>
      </c>
      <c r="J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Days'!$AA:$AA,0),MATCH(J$1,'Fixed Days'!$B$3:$P$3,0)),0)*IFERROR(IF(OR(TRIM("")="Evet",TRIM("")="Yes"),MAX(N('Module Selection'!$C22),1),1),1)+IFERROR(SUMIFS($BF$2:$BF$700,$BB$2:$BB$700,$A22,$BC$2:$BC$700,J$1),0)+0))</f>
        <v/>
      </c>
      <c r="K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Days'!$AA:$AA,0),MATCH(K$1,'Fixed Days'!$B$3:$P$3,0)),0)*IFERROR(IF(OR(TRIM("")="Evet",TRIM("")="Yes"),MAX(N('Module Selection'!$C22),1),1),1)+IFERROR(SUMIFS($BF$2:$BF$700,$BB$2:$BB$700,$A22,$BC$2:$BC$700,K$1),0)+0))</f>
        <v/>
      </c>
      <c r="L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Days'!$AA:$AA,0),MATCH(L$1,'Fixed Days'!$B$3:$P$3,0)),0)*IFERROR(IF(OR(TRIM("")="Evet",TRIM("")="Yes"),MAX(N('Module Selection'!$C22),1),1),1)+IFERROR(SUMIFS($BF$2:$BF$700,$BB$2:$BB$700,$A22,$BC$2:$BC$700,L$1),0)+0))</f>
        <v/>
      </c>
      <c r="M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Days'!$AA:$AA,0),MATCH(M$1,'Fixed Days'!$B$3:$P$3,0)),0)*IFERROR(IF(OR(TRIM("")="Evet",TRIM("")="Yes"),MAX(N('Module Selection'!$C22),1),1),1)+IFERROR(SUMIFS($BF$2:$BF$700,$BB$2:$BB$700,$A22,$BC$2:$BC$700,M$1),0)+0))</f>
        <v/>
      </c>
      <c r="N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Days'!$AA:$AA,0),MATCH(N$1,'Fixed Days'!$B$3:$P$3,0)),0)*IFERROR(IF(OR(TRIM("")="Evet",TRIM("")="Yes"),MAX(N('Module Selection'!$C22),1),1),1)+IFERROR(SUMIFS($BF$2:$BF$700,$BB$2:$BB$700,$A22,$BC$2:$BC$700,N$1),0)+0))</f>
        <v/>
      </c>
      <c r="O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Days'!$AA:$AA,0),MATCH(O$1,'Fixed Days'!$B$3:$P$3,0)),0)*IFERROR(IF(OR(TRIM("")="Evet",TRIM("")="Yes"),MAX(N('Module Selection'!$C22),1),1),1)+IFERROR(SUMIFS($BF$2:$BF$700,$BB$2:$BB$700,$A22,$BC$2:$BC$700,O$1),0)+IFERROR(INDEX('Hypercare &amp; Go Live Support'!$G:$G,MATCH($A22,'Hypercare &amp; Go Live Support'!$A:$A,0)),0)))</f>
        <v/>
      </c>
      <c r="P22" s="38">
        <f>IF(AND('Module Selection'!$B22&lt;&gt;"Var",'Module Selection'!$B22&lt;&gt;"Include"),"",IF($A22="","",IFERROR(INDEX('Fixed Days'!$B:$P,MATCH('Project Information'!$C$11&amp;"|"&amp;IF(Scope!$J$9="S","SMALL",IF(Scope!$J$9="M","MEDIUM",IF(Scope!$J$9="L","LARGE","X-LARGE")))&amp;"|"&amp;$A22,'Fixed Days'!$AA:$AA,0),MATCH(P$1,'Fixed Days'!$B$3:$P$3,0)),0)*IFERROR(IF(OR(TRIM("")="Evet",TRIM("")="Yes"),MAX(N('Module Selection'!$C22),1),1),1)+IFERROR(SUMIFS($BF$2:$BF$700,$BB$2:$BB$700,$A22,$BC$2:$BC$700,P$1),0)+IFERROR(INDEX('Hypercare &amp; Go Live Support'!$F:$F,MATCH($A22,'Hypercare &amp; Go Live Support'!$A:$A,0)),0)))</f>
        <v/>
      </c>
      <c r="Q22" s="38">
        <f>SUM(B22:P22)</f>
        <v/>
      </c>
      <c r="AZ22" s="38">
        <f>INDEX(Translations!$D:$ZZ, MATCH(305,Translations!$A:$A,0), MATCH('Project Information'!$C$4,Translations!$D$1:$ZZ$1,0))</f>
        <v/>
      </c>
      <c r="BA22" s="38">
        <f>INDEX(Translations!$D:$ZZ, MATCH(46,Translations!$A:$A,0), MATCH('Project Information'!$C$4,Translations!$D$1:$ZZ$1,0))</f>
        <v/>
      </c>
      <c r="BB22" s="38">
        <f>INDEX(Translations!$D:$ZZ, MATCH(344,Translations!$A:$A,0), MATCH('Project Information'!$C$4,Translations!$D$1:$ZZ$1,0))</f>
        <v/>
      </c>
      <c r="BC22" s="38">
        <f>INDEX(Translations!$D:$ZZ, MATCH(75,Translations!$A:$A,0), MATCH('Project Information'!$C$4,Translations!$D$1:$ZZ$1,0))</f>
        <v/>
      </c>
      <c r="BD22" s="38">
        <f>IF(OR(TRIM('Project Information'!$C$43)="Evet",TRIM('Project Information'!$C$43)="Yes"),1,0)</f>
        <v/>
      </c>
      <c r="BE22" s="38" t="n">
        <v>5</v>
      </c>
      <c r="BF22" s="38">
        <f>BD22*BE22</f>
        <v/>
      </c>
      <c r="BH22" s="38">
        <f>INDEX(Translations!$D:$ZZ, MATCH(306,Translations!$A:$A,0), MATCH('Project Information'!$C$4,Translations!$D$1:$ZZ$1,0))</f>
        <v/>
      </c>
      <c r="BI22" s="38">
        <f>INDEX(Translations!$D:$ZZ, MATCH(225,Translations!$A:$A,0), MATCH('Project Information'!$C$4,Translations!$D$1:$ZZ$1,0))</f>
        <v/>
      </c>
      <c r="BJ22" s="38">
        <f>INDEX(Translations!$D:$ZZ, MATCH(339,Translations!$A:$A,0), MATCH('Project Information'!$C$4,Translations!$D$1:$ZZ$1,0))</f>
        <v/>
      </c>
      <c r="BK22" s="38">
        <f>INDEX(Translations!$D:$ZZ, MATCH(76,Translations!$A:$A,0), MATCH('Project Information'!$C$4,Translations!$D$1:$ZZ$1,0))</f>
        <v/>
      </c>
      <c r="BL22" s="38">
        <f>IF(OR(TRIM(Development!$F$23)="Evet",TRIM(Development!$F$23)="Yes"),1,0)</f>
        <v/>
      </c>
      <c r="BM22" s="38" t="n">
        <v>1</v>
      </c>
      <c r="BN22" s="38">
        <f>BL22*BM22</f>
        <v/>
      </c>
    </row>
    <row r="23" ht="15" customHeight="1" s="39">
      <c r="A23" s="38">
        <f>'Project Definitions'!$D$23</f>
        <v/>
      </c>
      <c r="B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Days'!$AA:$AA,0),MATCH(B$1,'Fixed Days'!$B$3:$P$3,0)),0)*IFERROR(IF(OR(TRIM("")="Evet",TRIM("")="Yes"),MAX(N('Module Selection'!$C23),1),1),1)+IFERROR(SUMIFS($BF$2:$BF$700,$BB$2:$BB$700,$A23,$BC$2:$BC$700,B$1),0)+0))</f>
        <v/>
      </c>
      <c r="C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Days'!$AA:$AA,0),MATCH(C$1,'Fixed Days'!$B$3:$P$3,0)),0)*IFERROR(IF(OR(TRIM("")="Evet",TRIM("")="Yes"),MAX(N('Module Selection'!$C23),1),1),1)+IFERROR(SUMIFS($BF$2:$BF$700,$BB$2:$BB$700,$A23,$BC$2:$BC$700,C$1),0)+0))</f>
        <v/>
      </c>
      <c r="D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Days'!$AA:$AA,0),MATCH(D$1,'Fixed Days'!$B$3:$P$3,0)),0)*IFERROR(IF(OR(TRIM("")="Evet",TRIM("")="Yes"),MAX(N('Module Selection'!$C23),1),1),1)+IFERROR(SUMIFS($BF$2:$BF$700,$BB$2:$BB$700,$A23,$BC$2:$BC$700,D$1),0)+0))</f>
        <v/>
      </c>
      <c r="E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Days'!$AA:$AA,0),MATCH(E$1,'Fixed Days'!$B$3:$P$3,0)),0)*IFERROR(IF(OR(TRIM("")="Evet",TRIM("")="Yes"),MAX(N('Module Selection'!$C23),1),1),1)+IFERROR(SUMIFS($BF$2:$BF$700,$BB$2:$BB$700,$A23,$BC$2:$BC$700,E$1),0)+0))</f>
        <v/>
      </c>
      <c r="F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Days'!$AA:$AA,0),MATCH(F$1,'Fixed Days'!$B$3:$P$3,0)),0)*IFERROR(IF(OR(TRIM("")="Evet",TRIM("")="Yes"),MAX(N('Module Selection'!$C23),1),1),1)+IFERROR(SUMIFS($BF$2:$BF$700,$BB$2:$BB$700,$A23,$BC$2:$BC$700,F$1),0)+0))</f>
        <v/>
      </c>
      <c r="G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Days'!$AA:$AA,0),MATCH(G$1,'Fixed Days'!$B$3:$P$3,0)),0)*IFERROR(IF(OR(TRIM("")="Evet",TRIM("")="Yes"),MAX(N('Module Selection'!$C23),1),1),1)+IFERROR(SUMIFS($BF$2:$BF$700,$BB$2:$BB$700,$A23,$BC$2:$BC$700,G$1),0)+0))</f>
        <v/>
      </c>
      <c r="H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Days'!$AA:$AA,0),MATCH(H$1,'Fixed Days'!$B$3:$P$3,0)),0)*IFERROR(IF(OR(TRIM("")="Evet",TRIM("")="Yes"),MAX(N('Module Selection'!$C23),1),1),1)+IFERROR(SUMIFS($BF$2:$BF$700,$BB$2:$BB$700,$A23,$BC$2:$BC$700,H$1),0)+0))</f>
        <v/>
      </c>
      <c r="I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Days'!$AA:$AA,0),MATCH(I$1,'Fixed Days'!$B$3:$P$3,0)),0)*IFERROR(IF(OR(TRIM("")="Evet",TRIM("")="Yes"),MAX(N('Module Selection'!$C23),1),1),1)+IFERROR(SUMIFS($BF$2:$BF$700,$BB$2:$BB$700,$A23,$BC$2:$BC$700,I$1),0)+0))</f>
        <v/>
      </c>
      <c r="J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Days'!$AA:$AA,0),MATCH(J$1,'Fixed Days'!$B$3:$P$3,0)),0)*IFERROR(IF(OR(TRIM("")="Evet",TRIM("")="Yes"),MAX(N('Module Selection'!$C23),1),1),1)+IFERROR(SUMIFS($BF$2:$BF$700,$BB$2:$BB$700,$A23,$BC$2:$BC$700,J$1),0)+0))</f>
        <v/>
      </c>
      <c r="K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Days'!$AA:$AA,0),MATCH(K$1,'Fixed Days'!$B$3:$P$3,0)),0)*IFERROR(IF(OR(TRIM("")="Evet",TRIM("")="Yes"),MAX(N('Module Selection'!$C23),1),1),1)+IFERROR(SUMIFS($BF$2:$BF$700,$BB$2:$BB$700,$A23,$BC$2:$BC$700,K$1),0)+0))</f>
        <v/>
      </c>
      <c r="L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Days'!$AA:$AA,0),MATCH(L$1,'Fixed Days'!$B$3:$P$3,0)),0)*IFERROR(IF(OR(TRIM("")="Evet",TRIM("")="Yes"),MAX(N('Module Selection'!$C23),1),1),1)+IFERROR(SUMIFS($BF$2:$BF$700,$BB$2:$BB$700,$A23,$BC$2:$BC$700,L$1),0)+0))</f>
        <v/>
      </c>
      <c r="M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Days'!$AA:$AA,0),MATCH(M$1,'Fixed Days'!$B$3:$P$3,0)),0)*IFERROR(IF(OR(TRIM("")="Evet",TRIM("")="Yes"),MAX(N('Module Selection'!$C23),1),1),1)+IFERROR(SUMIFS($BF$2:$BF$700,$BB$2:$BB$700,$A23,$BC$2:$BC$700,M$1),0)+0))</f>
        <v/>
      </c>
      <c r="N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Days'!$AA:$AA,0),MATCH(N$1,'Fixed Days'!$B$3:$P$3,0)),0)*IFERROR(IF(OR(TRIM("")="Evet",TRIM("")="Yes"),MAX(N('Module Selection'!$C23),1),1),1)+IFERROR(SUMIFS($BF$2:$BF$700,$BB$2:$BB$700,$A23,$BC$2:$BC$700,N$1),0)+0))</f>
        <v/>
      </c>
      <c r="O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Days'!$AA:$AA,0),MATCH(O$1,'Fixed Days'!$B$3:$P$3,0)),0)*IFERROR(IF(OR(TRIM("")="Evet",TRIM("")="Yes"),MAX(N('Module Selection'!$C23),1),1),1)+IFERROR(SUMIFS($BF$2:$BF$700,$BB$2:$BB$700,$A23,$BC$2:$BC$700,O$1),0)+IFERROR(INDEX('Hypercare &amp; Go Live Support'!$G:$G,MATCH($A23,'Hypercare &amp; Go Live Support'!$A:$A,0)),0)))</f>
        <v/>
      </c>
      <c r="P23" s="38">
        <f>IF(AND('Module Selection'!$B23&lt;&gt;"Var",'Module Selection'!$B23&lt;&gt;"Include"),"",IF($A23="","",IFERROR(INDEX('Fixed Days'!$B:$P,MATCH('Project Information'!$C$11&amp;"|"&amp;IF(Scope!$J$9="S","SMALL",IF(Scope!$J$9="M","MEDIUM",IF(Scope!$J$9="L","LARGE","X-LARGE")))&amp;"|"&amp;$A23,'Fixed Days'!$AA:$AA,0),MATCH(P$1,'Fixed Days'!$B$3:$P$3,0)),0)*IFERROR(IF(OR(TRIM("")="Evet",TRIM("")="Yes"),MAX(N('Module Selection'!$C23),1),1),1)+IFERROR(SUMIFS($BF$2:$BF$700,$BB$2:$BB$700,$A23,$BC$2:$BC$700,P$1),0)+IFERROR(INDEX('Hypercare &amp; Go Live Support'!$F:$F,MATCH($A23,'Hypercare &amp; Go Live Support'!$A:$A,0)),0)))</f>
        <v/>
      </c>
      <c r="Q23" s="38">
        <f>SUM(B23:P23)</f>
        <v/>
      </c>
      <c r="AZ23" s="38">
        <f>INDEX(Translations!$D:$ZZ, MATCH(305,Translations!$A:$A,0), MATCH('Project Information'!$C$4,Translations!$D$1:$ZZ$1,0))</f>
        <v/>
      </c>
      <c r="BA23" s="38">
        <f>INDEX(Translations!$D:$ZZ, MATCH(46,Translations!$A:$A,0), MATCH('Project Information'!$C$4,Translations!$D$1:$ZZ$1,0))</f>
        <v/>
      </c>
      <c r="BB23" s="38">
        <f>INDEX(Translations!$D:$ZZ, MATCH(344,Translations!$A:$A,0), MATCH('Project Information'!$C$4,Translations!$D$1:$ZZ$1,0))</f>
        <v/>
      </c>
      <c r="BC23" s="38">
        <f>INDEX(Translations!$D:$ZZ, MATCH(76,Translations!$A:$A,0), MATCH('Project Information'!$C$4,Translations!$D$1:$ZZ$1,0))</f>
        <v/>
      </c>
      <c r="BD23" s="38">
        <f>IF(OR(TRIM('Project Information'!$C$43)="Evet",TRIM('Project Information'!$C$43)="Yes"),1,0)</f>
        <v/>
      </c>
      <c r="BE23" s="38" t="n">
        <v>1</v>
      </c>
      <c r="BF23" s="38">
        <f>BD23*BE23</f>
        <v/>
      </c>
      <c r="BH23" s="38">
        <f>INDEX(Translations!$D:$ZZ, MATCH(306,Translations!$A:$A,0), MATCH('Project Information'!$C$4,Translations!$D$1:$ZZ$1,0))</f>
        <v/>
      </c>
      <c r="BI23" s="38">
        <f>INDEX(Translations!$D:$ZZ, MATCH(225,Translations!$A:$A,0), MATCH('Project Information'!$C$4,Translations!$D$1:$ZZ$1,0))</f>
        <v/>
      </c>
      <c r="BJ23" s="38">
        <f>INDEX(Translations!$D:$ZZ, MATCH(339,Translations!$A:$A,0), MATCH('Project Information'!$C$4,Translations!$D$1:$ZZ$1,0))</f>
        <v/>
      </c>
      <c r="BK23" s="38">
        <f>INDEX(Translations!$D:$ZZ, MATCH(79,Translations!$A:$A,0), MATCH('Project Information'!$C$4,Translations!$D$1:$ZZ$1,0))</f>
        <v/>
      </c>
      <c r="BL23" s="38">
        <f>IF(OR(TRIM(Development!$F$23)="Evet",TRIM(Development!$F$23)="Yes"),1,0)</f>
        <v/>
      </c>
      <c r="BM23" s="38" t="n">
        <v>3</v>
      </c>
      <c r="BN23" s="38">
        <f>BL23*BM23</f>
        <v/>
      </c>
    </row>
    <row r="24" ht="15" customHeight="1" s="39">
      <c r="A24" s="38">
        <f>'Project Definitions'!$D$24</f>
        <v/>
      </c>
      <c r="B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Days'!$AA:$AA,0),MATCH(B$1,'Fixed Days'!$B$3:$P$3,0)),0)*IFERROR(IF(OR(TRIM("")="Evet",TRIM("")="Yes"),MAX(N('Module Selection'!$C24),1),1),1)+IFERROR(SUMIFS($BF$2:$BF$700,$BB$2:$BB$700,$A24,$BC$2:$BC$700,B$1),0)+0))</f>
        <v/>
      </c>
      <c r="C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Days'!$AA:$AA,0),MATCH(C$1,'Fixed Days'!$B$3:$P$3,0)),0)*IFERROR(IF(OR(TRIM("")="Evet",TRIM("")="Yes"),MAX(N('Module Selection'!$C24),1),1),1)+IFERROR(SUMIFS($BF$2:$BF$700,$BB$2:$BB$700,$A24,$BC$2:$BC$700,C$1),0)+0))</f>
        <v/>
      </c>
      <c r="D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Days'!$AA:$AA,0),MATCH(D$1,'Fixed Days'!$B$3:$P$3,0)),0)*IFERROR(IF(OR(TRIM("")="Evet",TRIM("")="Yes"),MAX(N('Module Selection'!$C24),1),1),1)+IFERROR(SUMIFS($BF$2:$BF$700,$BB$2:$BB$700,$A24,$BC$2:$BC$700,D$1),0)+0))</f>
        <v/>
      </c>
      <c r="E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Days'!$AA:$AA,0),MATCH(E$1,'Fixed Days'!$B$3:$P$3,0)),0)*IFERROR(IF(OR(TRIM("")="Evet",TRIM("")="Yes"),MAX(N('Module Selection'!$C24),1),1),1)+IFERROR(SUMIFS($BF$2:$BF$700,$BB$2:$BB$700,$A24,$BC$2:$BC$700,E$1),0)+0))</f>
        <v/>
      </c>
      <c r="F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Days'!$AA:$AA,0),MATCH(F$1,'Fixed Days'!$B$3:$P$3,0)),0)*IFERROR(IF(OR(TRIM("")="Evet",TRIM("")="Yes"),MAX(N('Module Selection'!$C24),1),1),1)+IFERROR(SUMIFS($BF$2:$BF$700,$BB$2:$BB$700,$A24,$BC$2:$BC$700,F$1),0)+0))</f>
        <v/>
      </c>
      <c r="G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Days'!$AA:$AA,0),MATCH(G$1,'Fixed Days'!$B$3:$P$3,0)),0)*IFERROR(IF(OR(TRIM("")="Evet",TRIM("")="Yes"),MAX(N('Module Selection'!$C24),1),1),1)+IFERROR(SUMIFS($BF$2:$BF$700,$BB$2:$BB$700,$A24,$BC$2:$BC$700,G$1),0)+0))</f>
        <v/>
      </c>
      <c r="H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Days'!$AA:$AA,0),MATCH(H$1,'Fixed Days'!$B$3:$P$3,0)),0)*IFERROR(IF(OR(TRIM("")="Evet",TRIM("")="Yes"),MAX(N('Module Selection'!$C24),1),1),1)+IFERROR(SUMIFS($BF$2:$BF$700,$BB$2:$BB$700,$A24,$BC$2:$BC$700,H$1),0)+0))</f>
        <v/>
      </c>
      <c r="I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Days'!$AA:$AA,0),MATCH(I$1,'Fixed Days'!$B$3:$P$3,0)),0)*IFERROR(IF(OR(TRIM("")="Evet",TRIM("")="Yes"),MAX(N('Module Selection'!$C24),1),1),1)+IFERROR(SUMIFS($BF$2:$BF$700,$BB$2:$BB$700,$A24,$BC$2:$BC$700,I$1),0)+0))</f>
        <v/>
      </c>
      <c r="J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Days'!$AA:$AA,0),MATCH(J$1,'Fixed Days'!$B$3:$P$3,0)),0)*IFERROR(IF(OR(TRIM("")="Evet",TRIM("")="Yes"),MAX(N('Module Selection'!$C24),1),1),1)+IFERROR(SUMIFS($BF$2:$BF$700,$BB$2:$BB$700,$A24,$BC$2:$BC$700,J$1),0)+0))</f>
        <v/>
      </c>
      <c r="K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Days'!$AA:$AA,0),MATCH(K$1,'Fixed Days'!$B$3:$P$3,0)),0)*IFERROR(IF(OR(TRIM("")="Evet",TRIM("")="Yes"),MAX(N('Module Selection'!$C24),1),1),1)+IFERROR(SUMIFS($BF$2:$BF$700,$BB$2:$BB$700,$A24,$BC$2:$BC$700,K$1),0)+0))</f>
        <v/>
      </c>
      <c r="L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Days'!$AA:$AA,0),MATCH(L$1,'Fixed Days'!$B$3:$P$3,0)),0)*IFERROR(IF(OR(TRIM("")="Evet",TRIM("")="Yes"),MAX(N('Module Selection'!$C24),1),1),1)+IFERROR(SUMIFS($BF$2:$BF$700,$BB$2:$BB$700,$A24,$BC$2:$BC$700,L$1),0)+0))</f>
        <v/>
      </c>
      <c r="M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Days'!$AA:$AA,0),MATCH(M$1,'Fixed Days'!$B$3:$P$3,0)),0)*IFERROR(IF(OR(TRIM("")="Evet",TRIM("")="Yes"),MAX(N('Module Selection'!$C24),1),1),1)+IFERROR(SUMIFS($BF$2:$BF$700,$BB$2:$BB$700,$A24,$BC$2:$BC$700,M$1),0)+0))</f>
        <v/>
      </c>
      <c r="N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Days'!$AA:$AA,0),MATCH(N$1,'Fixed Days'!$B$3:$P$3,0)),0)*IFERROR(IF(OR(TRIM("")="Evet",TRIM("")="Yes"),MAX(N('Module Selection'!$C24),1),1),1)+IFERROR(SUMIFS($BF$2:$BF$700,$BB$2:$BB$700,$A24,$BC$2:$BC$700,N$1),0)+0))</f>
        <v/>
      </c>
      <c r="O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Days'!$AA:$AA,0),MATCH(O$1,'Fixed Days'!$B$3:$P$3,0)),0)*IFERROR(IF(OR(TRIM("")="Evet",TRIM("")="Yes"),MAX(N('Module Selection'!$C24),1),1),1)+IFERROR(SUMIFS($BF$2:$BF$700,$BB$2:$BB$700,$A24,$BC$2:$BC$700,O$1),0)+IFERROR(INDEX('Hypercare &amp; Go Live Support'!$G:$G,MATCH($A24,'Hypercare &amp; Go Live Support'!$A:$A,0)),0)))</f>
        <v/>
      </c>
      <c r="P24" s="38">
        <f>IF(AND('Module Selection'!$B24&lt;&gt;"Var",'Module Selection'!$B24&lt;&gt;"Include"),"",IF($A24="","",IFERROR(INDEX('Fixed Days'!$B:$P,MATCH('Project Information'!$C$11&amp;"|"&amp;IF(Scope!$J$9="S","SMALL",IF(Scope!$J$9="M","MEDIUM",IF(Scope!$J$9="L","LARGE","X-LARGE")))&amp;"|"&amp;$A24,'Fixed Days'!$AA:$AA,0),MATCH(P$1,'Fixed Days'!$B$3:$P$3,0)),0)*IFERROR(IF(OR(TRIM("")="Evet",TRIM("")="Yes"),MAX(N('Module Selection'!$C24),1),1),1)+IFERROR(SUMIFS($BF$2:$BF$700,$BB$2:$BB$700,$A24,$BC$2:$BC$700,P$1),0)+IFERROR(INDEX('Hypercare &amp; Go Live Support'!$F:$F,MATCH($A24,'Hypercare &amp; Go Live Support'!$A:$A,0)),0)))</f>
        <v/>
      </c>
      <c r="Q24" s="38">
        <f>SUM(B24:P24)</f>
        <v/>
      </c>
      <c r="AZ24" s="38">
        <f>INDEX(Translations!$D:$ZZ, MATCH(305,Translations!$A:$A,0), MATCH('Project Information'!$C$4,Translations!$D$1:$ZZ$1,0))</f>
        <v/>
      </c>
      <c r="BA24" s="38">
        <f>INDEX(Translations!$D:$ZZ, MATCH(46,Translations!$A:$A,0), MATCH('Project Information'!$C$4,Translations!$D$1:$ZZ$1,0))</f>
        <v/>
      </c>
      <c r="BB24" s="38">
        <f>INDEX(Translations!$D:$ZZ, MATCH(344,Translations!$A:$A,0), MATCH('Project Information'!$C$4,Translations!$D$1:$ZZ$1,0))</f>
        <v/>
      </c>
      <c r="BC24" s="38">
        <f>INDEX(Translations!$D:$ZZ, MATCH(78,Translations!$A:$A,0), MATCH('Project Information'!$C$4,Translations!$D$1:$ZZ$1,0))</f>
        <v/>
      </c>
      <c r="BD24" s="38">
        <f>IF(OR(TRIM('Project Information'!$C$43)="Evet",TRIM('Project Information'!$C$43)="Yes"),1,0)</f>
        <v/>
      </c>
      <c r="BE24" s="38" t="n">
        <v>2</v>
      </c>
      <c r="BF24" s="38">
        <f>BD24*BE24</f>
        <v/>
      </c>
      <c r="BH24" s="38">
        <f>INDEX(Translations!$D:$ZZ, MATCH(306,Translations!$A:$A,0), MATCH('Project Information'!$C$4,Translations!$D$1:$ZZ$1,0))</f>
        <v/>
      </c>
      <c r="BI24" s="38">
        <f>INDEX(Translations!$D:$ZZ, MATCH(249,Translations!$A:$A,0), MATCH('Project Information'!$C$4,Translations!$D$1:$ZZ$1,0))</f>
        <v/>
      </c>
      <c r="BJ24" s="38">
        <f>INDEX(Translations!$D:$ZZ, MATCH(346,Translations!$A:$A,0), MATCH('Project Information'!$C$4,Translations!$D$1:$ZZ$1,0))</f>
        <v/>
      </c>
      <c r="BK24" s="38">
        <f>INDEX(Translations!$D:$ZZ, MATCH(78,Translations!$A:$A,0), MATCH('Project Information'!$C$4,Translations!$D$1:$ZZ$1,0))</f>
        <v/>
      </c>
      <c r="BL24" s="38">
        <f>IF(OR(TRIM(Development!$F$34)="Evet",TRIM(Development!$F$34)="Yes"),1,0)</f>
        <v/>
      </c>
      <c r="BM24" s="38" t="n">
        <v>12</v>
      </c>
      <c r="BN24" s="38">
        <f>BL24*BM24</f>
        <v/>
      </c>
    </row>
    <row r="25" ht="15" customHeight="1" s="39">
      <c r="A25" s="38">
        <f>'Project Definitions'!$D$25</f>
        <v/>
      </c>
      <c r="B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Days'!$AA:$AA,0),MATCH(B$1,'Fixed Days'!$B$3:$P$3,0)),0)*IFERROR(IF(OR(TRIM("")="Evet",TRIM("")="Yes"),MAX(N('Module Selection'!$C25),1),1),1)+IFERROR(SUMIFS($BF$2:$BF$700,$BB$2:$BB$700,$A25,$BC$2:$BC$700,B$1),0)+0))</f>
        <v/>
      </c>
      <c r="C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Days'!$AA:$AA,0),MATCH(C$1,'Fixed Days'!$B$3:$P$3,0)),0)*IFERROR(IF(OR(TRIM("")="Evet",TRIM("")="Yes"),MAX(N('Module Selection'!$C25),1),1),1)+IFERROR(SUMIFS($BF$2:$BF$700,$BB$2:$BB$700,$A25,$BC$2:$BC$700,C$1),0)+0))</f>
        <v/>
      </c>
      <c r="D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Days'!$AA:$AA,0),MATCH(D$1,'Fixed Days'!$B$3:$P$3,0)),0)*IFERROR(IF(OR(TRIM("")="Evet",TRIM("")="Yes"),MAX(N('Module Selection'!$C25),1),1),1)+IFERROR(SUMIFS($BF$2:$BF$700,$BB$2:$BB$700,$A25,$BC$2:$BC$700,D$1),0)+0))</f>
        <v/>
      </c>
      <c r="E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Days'!$AA:$AA,0),MATCH(E$1,'Fixed Days'!$B$3:$P$3,0)),0)*IFERROR(IF(OR(TRIM("")="Evet",TRIM("")="Yes"),MAX(N('Module Selection'!$C25),1),1),1)+IFERROR(SUMIFS($BF$2:$BF$700,$BB$2:$BB$700,$A25,$BC$2:$BC$700,E$1),0)+0))</f>
        <v/>
      </c>
      <c r="F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Days'!$AA:$AA,0),MATCH(F$1,'Fixed Days'!$B$3:$P$3,0)),0)*IFERROR(IF(OR(TRIM("")="Evet",TRIM("")="Yes"),MAX(N('Module Selection'!$C25),1),1),1)+IFERROR(SUMIFS($BF$2:$BF$700,$BB$2:$BB$700,$A25,$BC$2:$BC$700,F$1),0)+0))</f>
        <v/>
      </c>
      <c r="G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Days'!$AA:$AA,0),MATCH(G$1,'Fixed Days'!$B$3:$P$3,0)),0)*IFERROR(IF(OR(TRIM("")="Evet",TRIM("")="Yes"),MAX(N('Module Selection'!$C25),1),1),1)+IFERROR(SUMIFS($BF$2:$BF$700,$BB$2:$BB$700,$A25,$BC$2:$BC$700,G$1),0)+0))</f>
        <v/>
      </c>
      <c r="H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Days'!$AA:$AA,0),MATCH(H$1,'Fixed Days'!$B$3:$P$3,0)),0)*IFERROR(IF(OR(TRIM("")="Evet",TRIM("")="Yes"),MAX(N('Module Selection'!$C25),1),1),1)+IFERROR(SUMIFS($BF$2:$BF$700,$BB$2:$BB$700,$A25,$BC$2:$BC$700,H$1),0)+0))</f>
        <v/>
      </c>
      <c r="I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Days'!$AA:$AA,0),MATCH(I$1,'Fixed Days'!$B$3:$P$3,0)),0)*IFERROR(IF(OR(TRIM("")="Evet",TRIM("")="Yes"),MAX(N('Module Selection'!$C25),1),1),1)+IFERROR(SUMIFS($BF$2:$BF$700,$BB$2:$BB$700,$A25,$BC$2:$BC$700,I$1),0)+0))</f>
        <v/>
      </c>
      <c r="J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Days'!$AA:$AA,0),MATCH(J$1,'Fixed Days'!$B$3:$P$3,0)),0)*IFERROR(IF(OR(TRIM("")="Evet",TRIM("")="Yes"),MAX(N('Module Selection'!$C25),1),1),1)+IFERROR(SUMIFS($BF$2:$BF$700,$BB$2:$BB$700,$A25,$BC$2:$BC$700,J$1),0)+0))</f>
        <v/>
      </c>
      <c r="K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Days'!$AA:$AA,0),MATCH(K$1,'Fixed Days'!$B$3:$P$3,0)),0)*IFERROR(IF(OR(TRIM("")="Evet",TRIM("")="Yes"),MAX(N('Module Selection'!$C25),1),1),1)+IFERROR(SUMIFS($BF$2:$BF$700,$BB$2:$BB$700,$A25,$BC$2:$BC$700,K$1),0)+0))</f>
        <v/>
      </c>
      <c r="L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Days'!$AA:$AA,0),MATCH(L$1,'Fixed Days'!$B$3:$P$3,0)),0)*IFERROR(IF(OR(TRIM("")="Evet",TRIM("")="Yes"),MAX(N('Module Selection'!$C25),1),1),1)+IFERROR(SUMIFS($BF$2:$BF$700,$BB$2:$BB$700,$A25,$BC$2:$BC$700,L$1),0)+0))</f>
        <v/>
      </c>
      <c r="M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Days'!$AA:$AA,0),MATCH(M$1,'Fixed Days'!$B$3:$P$3,0)),0)*IFERROR(IF(OR(TRIM("")="Evet",TRIM("")="Yes"),MAX(N('Module Selection'!$C25),1),1),1)+IFERROR(SUMIFS($BF$2:$BF$700,$BB$2:$BB$700,$A25,$BC$2:$BC$700,M$1),0)+0))</f>
        <v/>
      </c>
      <c r="N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Days'!$AA:$AA,0),MATCH(N$1,'Fixed Days'!$B$3:$P$3,0)),0)*IFERROR(IF(OR(TRIM("")="Evet",TRIM("")="Yes"),MAX(N('Module Selection'!$C25),1),1),1)+IFERROR(SUMIFS($BF$2:$BF$700,$BB$2:$BB$700,$A25,$BC$2:$BC$700,N$1),0)+0))</f>
        <v/>
      </c>
      <c r="O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Days'!$AA:$AA,0),MATCH(O$1,'Fixed Days'!$B$3:$P$3,0)),0)*IFERROR(IF(OR(TRIM("")="Evet",TRIM("")="Yes"),MAX(N('Module Selection'!$C25),1),1),1)+IFERROR(SUMIFS($BF$2:$BF$700,$BB$2:$BB$700,$A25,$BC$2:$BC$700,O$1),0)+IFERROR(INDEX('Hypercare &amp; Go Live Support'!$G:$G,MATCH($A25,'Hypercare &amp; Go Live Support'!$A:$A,0)),0)))</f>
        <v/>
      </c>
      <c r="P25" s="38">
        <f>IF(AND('Module Selection'!$B25&lt;&gt;"Var",'Module Selection'!$B25&lt;&gt;"Include"),"",IF($A25="","",IFERROR(INDEX('Fixed Days'!$B:$P,MATCH('Project Information'!$C$11&amp;"|"&amp;IF(Scope!$J$9="S","SMALL",IF(Scope!$J$9="M","MEDIUM",IF(Scope!$J$9="L","LARGE","X-LARGE")))&amp;"|"&amp;$A25,'Fixed Days'!$AA:$AA,0),MATCH(P$1,'Fixed Days'!$B$3:$P$3,0)),0)*IFERROR(IF(OR(TRIM("")="Evet",TRIM("")="Yes"),MAX(N('Module Selection'!$C25),1),1),1)+IFERROR(SUMIFS($BF$2:$BF$700,$BB$2:$BB$700,$A25,$BC$2:$BC$700,P$1),0)+IFERROR(INDEX('Hypercare &amp; Go Live Support'!$F:$F,MATCH($A25,'Hypercare &amp; Go Live Support'!$A:$A,0)),0)))</f>
        <v/>
      </c>
      <c r="Q25" s="38">
        <f>SUM(B25:P25)</f>
        <v/>
      </c>
      <c r="AZ25" s="38">
        <f>INDEX(Translations!$D:$ZZ, MATCH(305,Translations!$A:$A,0), MATCH('Project Information'!$C$4,Translations!$D$1:$ZZ$1,0))</f>
        <v/>
      </c>
      <c r="BA25" s="38">
        <f>INDEX(Translations!$D:$ZZ, MATCH(46,Translations!$A:$A,0), MATCH('Project Information'!$C$4,Translations!$D$1:$ZZ$1,0))</f>
        <v/>
      </c>
      <c r="BB25" s="38">
        <f>INDEX(Translations!$D:$ZZ, MATCH(344,Translations!$A:$A,0), MATCH('Project Information'!$C$4,Translations!$D$1:$ZZ$1,0))</f>
        <v/>
      </c>
      <c r="BC25" s="38">
        <f>INDEX(Translations!$D:$ZZ, MATCH(79,Translations!$A:$A,0), MATCH('Project Information'!$C$4,Translations!$D$1:$ZZ$1,0))</f>
        <v/>
      </c>
      <c r="BD25" s="38">
        <f>IF(OR(TRIM('Project Information'!$C$43)="Evet",TRIM('Project Information'!$C$43)="Yes"),1,0)</f>
        <v/>
      </c>
      <c r="BE25" s="38" t="n">
        <v>1</v>
      </c>
      <c r="BF25" s="38">
        <f>BD25*BE25</f>
        <v/>
      </c>
      <c r="BH25" s="38">
        <f>INDEX(Translations!$D:$ZZ, MATCH(306,Translations!$A:$A,0), MATCH('Project Information'!$C$4,Translations!$D$1:$ZZ$1,0))</f>
        <v/>
      </c>
      <c r="BI25" s="38">
        <f>INDEX(Translations!$D:$ZZ, MATCH(249,Translations!$A:$A,0), MATCH('Project Information'!$C$4,Translations!$D$1:$ZZ$1,0))</f>
        <v/>
      </c>
      <c r="BJ25" s="38">
        <f>INDEX(Translations!$D:$ZZ, MATCH(337,Translations!$A:$A,0), MATCH('Project Information'!$C$4,Translations!$D$1:$ZZ$1,0))</f>
        <v/>
      </c>
      <c r="BK25" s="38">
        <f>INDEX(Translations!$D:$ZZ, MATCH(75,Translations!$A:$A,0), MATCH('Project Information'!$C$4,Translations!$D$1:$ZZ$1,0))</f>
        <v/>
      </c>
      <c r="BL25" s="38">
        <f>IF(OR(TRIM(Development!$F$34)="Evet",TRIM(Development!$F$34)="Yes"),1,0)</f>
        <v/>
      </c>
      <c r="BM25" s="38" t="n">
        <v>3</v>
      </c>
      <c r="BN25" s="38">
        <f>BL25*BM25</f>
        <v/>
      </c>
    </row>
    <row r="26" ht="15" customHeight="1" s="39">
      <c r="A26" s="38">
        <f>'Project Definitions'!$D$26</f>
        <v/>
      </c>
      <c r="B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Days'!$AA:$AA,0),MATCH(B$1,'Fixed Days'!$B$3:$P$3,0)),0)*IFERROR(IF(OR(TRIM("")="Evet",TRIM("")="Yes"),MAX(N('Module Selection'!$C26),1),1),1)+IFERROR(SUMIFS($BF$2:$BF$700,$BB$2:$BB$700,$A26,$BC$2:$BC$700,B$1),0)+0))</f>
        <v/>
      </c>
      <c r="C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Days'!$AA:$AA,0),MATCH(C$1,'Fixed Days'!$B$3:$P$3,0)),0)*IFERROR(IF(OR(TRIM("")="Evet",TRIM("")="Yes"),MAX(N('Module Selection'!$C26),1),1),1)+IFERROR(SUMIFS($BF$2:$BF$700,$BB$2:$BB$700,$A26,$BC$2:$BC$700,C$1),0)+0))</f>
        <v/>
      </c>
      <c r="D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Days'!$AA:$AA,0),MATCH(D$1,'Fixed Days'!$B$3:$P$3,0)),0)*IFERROR(IF(OR(TRIM("")="Evet",TRIM("")="Yes"),MAX(N('Module Selection'!$C26),1),1),1)+IFERROR(SUMIFS($BF$2:$BF$700,$BB$2:$BB$700,$A26,$BC$2:$BC$700,D$1),0)+0))</f>
        <v/>
      </c>
      <c r="E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Days'!$AA:$AA,0),MATCH(E$1,'Fixed Days'!$B$3:$P$3,0)),0)*IFERROR(IF(OR(TRIM("")="Evet",TRIM("")="Yes"),MAX(N('Module Selection'!$C26),1),1),1)+IFERROR(SUMIFS($BF$2:$BF$700,$BB$2:$BB$700,$A26,$BC$2:$BC$700,E$1),0)+0))</f>
        <v/>
      </c>
      <c r="F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Days'!$AA:$AA,0),MATCH(F$1,'Fixed Days'!$B$3:$P$3,0)),0)*IFERROR(IF(OR(TRIM("")="Evet",TRIM("")="Yes"),MAX(N('Module Selection'!$C26),1),1),1)+IFERROR(SUMIFS($BF$2:$BF$700,$BB$2:$BB$700,$A26,$BC$2:$BC$700,F$1),0)+0))</f>
        <v/>
      </c>
      <c r="G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Days'!$AA:$AA,0),MATCH(G$1,'Fixed Days'!$B$3:$P$3,0)),0)*IFERROR(IF(OR(TRIM("")="Evet",TRIM("")="Yes"),MAX(N('Module Selection'!$C26),1),1),1)+IFERROR(SUMIFS($BF$2:$BF$700,$BB$2:$BB$700,$A26,$BC$2:$BC$700,G$1),0)+0))</f>
        <v/>
      </c>
      <c r="H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Days'!$AA:$AA,0),MATCH(H$1,'Fixed Days'!$B$3:$P$3,0)),0)*IFERROR(IF(OR(TRIM("")="Evet",TRIM("")="Yes"),MAX(N('Module Selection'!$C26),1),1),1)+IFERROR(SUMIFS($BF$2:$BF$700,$BB$2:$BB$700,$A26,$BC$2:$BC$700,H$1),0)+0))</f>
        <v/>
      </c>
      <c r="I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Days'!$AA:$AA,0),MATCH(I$1,'Fixed Days'!$B$3:$P$3,0)),0)*IFERROR(IF(OR(TRIM("")="Evet",TRIM("")="Yes"),MAX(N('Module Selection'!$C26),1),1),1)+IFERROR(SUMIFS($BF$2:$BF$700,$BB$2:$BB$700,$A26,$BC$2:$BC$700,I$1),0)+0))</f>
        <v/>
      </c>
      <c r="J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Days'!$AA:$AA,0),MATCH(J$1,'Fixed Days'!$B$3:$P$3,0)),0)*IFERROR(IF(OR(TRIM("")="Evet",TRIM("")="Yes"),MAX(N('Module Selection'!$C26),1),1),1)+IFERROR(SUMIFS($BF$2:$BF$700,$BB$2:$BB$700,$A26,$BC$2:$BC$700,J$1),0)+0))</f>
        <v/>
      </c>
      <c r="K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Days'!$AA:$AA,0),MATCH(K$1,'Fixed Days'!$B$3:$P$3,0)),0)*IFERROR(IF(OR(TRIM("")="Evet",TRIM("")="Yes"),MAX(N('Module Selection'!$C26),1),1),1)+IFERROR(SUMIFS($BF$2:$BF$700,$BB$2:$BB$700,$A26,$BC$2:$BC$700,K$1),0)+0))</f>
        <v/>
      </c>
      <c r="L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Days'!$AA:$AA,0),MATCH(L$1,'Fixed Days'!$B$3:$P$3,0)),0)*IFERROR(IF(OR(TRIM("")="Evet",TRIM("")="Yes"),MAX(N('Module Selection'!$C26),1),1),1)+IFERROR(SUMIFS($BF$2:$BF$700,$BB$2:$BB$700,$A26,$BC$2:$BC$700,L$1),0)+0))</f>
        <v/>
      </c>
      <c r="M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Days'!$AA:$AA,0),MATCH(M$1,'Fixed Days'!$B$3:$P$3,0)),0)*IFERROR(IF(OR(TRIM("")="Evet",TRIM("")="Yes"),MAX(N('Module Selection'!$C26),1),1),1)+IFERROR(SUMIFS($BF$2:$BF$700,$BB$2:$BB$700,$A26,$BC$2:$BC$700,M$1),0)+0))</f>
        <v/>
      </c>
      <c r="N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Days'!$AA:$AA,0),MATCH(N$1,'Fixed Days'!$B$3:$P$3,0)),0)*IFERROR(IF(OR(TRIM("")="Evet",TRIM("")="Yes"),MAX(N('Module Selection'!$C26),1),1),1)+IFERROR(SUMIFS($BF$2:$BF$700,$BB$2:$BB$700,$A26,$BC$2:$BC$700,N$1),0)+0))</f>
        <v/>
      </c>
      <c r="O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Days'!$AA:$AA,0),MATCH(O$1,'Fixed Days'!$B$3:$P$3,0)),0)*IFERROR(IF(OR(TRIM("")="Evet",TRIM("")="Yes"),MAX(N('Module Selection'!$C26),1),1),1)+IFERROR(SUMIFS($BF$2:$BF$700,$BB$2:$BB$700,$A26,$BC$2:$BC$700,O$1),0)+IFERROR(INDEX('Hypercare &amp; Go Live Support'!$G:$G,MATCH($A26,'Hypercare &amp; Go Live Support'!$A:$A,0)),0)))</f>
        <v/>
      </c>
      <c r="P26" s="38">
        <f>IF(AND('Module Selection'!$B26&lt;&gt;"Var",'Module Selection'!$B26&lt;&gt;"Include"),"",IF($A26="","",IFERROR(INDEX('Fixed Days'!$B:$P,MATCH('Project Information'!$C$11&amp;"|"&amp;IF(Scope!$J$9="S","SMALL",IF(Scope!$J$9="M","MEDIUM",IF(Scope!$J$9="L","LARGE","X-LARGE")))&amp;"|"&amp;$A26,'Fixed Days'!$AA:$AA,0),MATCH(P$1,'Fixed Days'!$B$3:$P$3,0)),0)*IFERROR(IF(OR(TRIM("")="Evet",TRIM("")="Yes"),MAX(N('Module Selection'!$C26),1),1),1)+IFERROR(SUMIFS($BF$2:$BF$700,$BB$2:$BB$700,$A26,$BC$2:$BC$700,P$1),0)+IFERROR(INDEX('Hypercare &amp; Go Live Support'!$F:$F,MATCH($A26,'Hypercare &amp; Go Live Support'!$A:$A,0)),0)))</f>
        <v/>
      </c>
      <c r="Q26" s="38">
        <f>SUM(B26:P26)</f>
        <v/>
      </c>
      <c r="AZ26" s="38">
        <f>INDEX(Translations!$D:$ZZ, MATCH(305,Translations!$A:$A,0), MATCH('Project Information'!$C$4,Translations!$D$1:$ZZ$1,0))</f>
        <v/>
      </c>
      <c r="BA26" s="38">
        <f>INDEX(Translations!$D:$ZZ, MATCH(46,Translations!$A:$A,0), MATCH('Project Information'!$C$4,Translations!$D$1:$ZZ$1,0))</f>
        <v/>
      </c>
      <c r="BB26" s="38">
        <f>INDEX(Translations!$D:$ZZ, MATCH(344,Translations!$A:$A,0), MATCH('Project Information'!$C$4,Translations!$D$1:$ZZ$1,0))</f>
        <v/>
      </c>
      <c r="BC26" s="38">
        <f>INDEX(Translations!$D:$ZZ, MATCH(82,Translations!$A:$A,0), MATCH('Project Information'!$C$4,Translations!$D$1:$ZZ$1,0))</f>
        <v/>
      </c>
      <c r="BD26" s="38">
        <f>IF(OR(TRIM('Project Information'!$C$43)="Evet",TRIM('Project Information'!$C$43)="Yes"),1,0)</f>
        <v/>
      </c>
      <c r="BE26" s="38" t="n">
        <v>1</v>
      </c>
      <c r="BF26" s="38">
        <f>BD26*BE26</f>
        <v/>
      </c>
      <c r="BH26" s="38">
        <f>INDEX(Translations!$D:$ZZ, MATCH(306,Translations!$A:$A,0), MATCH('Project Information'!$C$4,Translations!$D$1:$ZZ$1,0))</f>
        <v/>
      </c>
      <c r="BI26" s="38">
        <f>INDEX(Translations!$D:$ZZ, MATCH(249,Translations!$A:$A,0), MATCH('Project Information'!$C$4,Translations!$D$1:$ZZ$1,0))</f>
        <v/>
      </c>
      <c r="BJ26" s="38">
        <f>INDEX(Translations!$D:$ZZ, MATCH(337,Translations!$A:$A,0), MATCH('Project Information'!$C$4,Translations!$D$1:$ZZ$1,0))</f>
        <v/>
      </c>
      <c r="BK26" s="38">
        <f>INDEX(Translations!$D:$ZZ, MATCH(76,Translations!$A:$A,0), MATCH('Project Information'!$C$4,Translations!$D$1:$ZZ$1,0))</f>
        <v/>
      </c>
      <c r="BL26" s="38">
        <f>IF(OR(TRIM(Development!$F$34)="Evet",TRIM(Development!$F$34)="Yes"),1,0)</f>
        <v/>
      </c>
      <c r="BM26" s="38" t="n">
        <v>1</v>
      </c>
      <c r="BN26" s="38">
        <f>BL26*BM26</f>
        <v/>
      </c>
    </row>
    <row r="27" ht="15" customHeight="1" s="39">
      <c r="A27" s="38">
        <f>'Project Definitions'!$D$27</f>
        <v/>
      </c>
      <c r="B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Days'!$AA:$AA,0),MATCH(B$1,'Fixed Days'!$B$3:$P$3,0)),0)*IFERROR(IF(OR(TRIM("")="Evet",TRIM("")="Yes"),MAX(N('Module Selection'!$C27),1),1),1)+IFERROR(SUMIFS($BF$2:$BF$700,$BB$2:$BB$700,$A27,$BC$2:$BC$700,B$1),0)+0))</f>
        <v/>
      </c>
      <c r="C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Days'!$AA:$AA,0),MATCH(C$1,'Fixed Days'!$B$3:$P$3,0)),0)*IFERROR(IF(OR(TRIM("")="Evet",TRIM("")="Yes"),MAX(N('Module Selection'!$C27),1),1),1)+IFERROR(SUMIFS($BF$2:$BF$700,$BB$2:$BB$700,$A27,$BC$2:$BC$700,C$1),0)+0))</f>
        <v/>
      </c>
      <c r="D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Days'!$AA:$AA,0),MATCH(D$1,'Fixed Days'!$B$3:$P$3,0)),0)*IFERROR(IF(OR(TRIM("")="Evet",TRIM("")="Yes"),MAX(N('Module Selection'!$C27),1),1),1)+IFERROR(SUMIFS($BF$2:$BF$700,$BB$2:$BB$700,$A27,$BC$2:$BC$700,D$1),0)+0))</f>
        <v/>
      </c>
      <c r="E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Days'!$AA:$AA,0),MATCH(E$1,'Fixed Days'!$B$3:$P$3,0)),0)*IFERROR(IF(OR(TRIM("")="Evet",TRIM("")="Yes"),MAX(N('Module Selection'!$C27),1),1),1)+IFERROR(SUMIFS($BF$2:$BF$700,$BB$2:$BB$700,$A27,$BC$2:$BC$700,E$1),0)+0))</f>
        <v/>
      </c>
      <c r="F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Days'!$AA:$AA,0),MATCH(F$1,'Fixed Days'!$B$3:$P$3,0)),0)*IFERROR(IF(OR(TRIM("")="Evet",TRIM("")="Yes"),MAX(N('Module Selection'!$C27),1),1),1)+IFERROR(SUMIFS($BF$2:$BF$700,$BB$2:$BB$700,$A27,$BC$2:$BC$700,F$1),0)+0))</f>
        <v/>
      </c>
      <c r="G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Days'!$AA:$AA,0),MATCH(G$1,'Fixed Days'!$B$3:$P$3,0)),0)*IFERROR(IF(OR(TRIM("")="Evet",TRIM("")="Yes"),MAX(N('Module Selection'!$C27),1),1),1)+IFERROR(SUMIFS($BF$2:$BF$700,$BB$2:$BB$700,$A27,$BC$2:$BC$700,G$1),0)+0))</f>
        <v/>
      </c>
      <c r="H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Days'!$AA:$AA,0),MATCH(H$1,'Fixed Days'!$B$3:$P$3,0)),0)*IFERROR(IF(OR(TRIM("")="Evet",TRIM("")="Yes"),MAX(N('Module Selection'!$C27),1),1),1)+IFERROR(SUMIFS($BF$2:$BF$700,$BB$2:$BB$700,$A27,$BC$2:$BC$700,H$1),0)+0))</f>
        <v/>
      </c>
      <c r="I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Days'!$AA:$AA,0),MATCH(I$1,'Fixed Days'!$B$3:$P$3,0)),0)*IFERROR(IF(OR(TRIM("")="Evet",TRIM("")="Yes"),MAX(N('Module Selection'!$C27),1),1),1)+IFERROR(SUMIFS($BF$2:$BF$700,$BB$2:$BB$700,$A27,$BC$2:$BC$700,I$1),0)+0))</f>
        <v/>
      </c>
      <c r="J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Days'!$AA:$AA,0),MATCH(J$1,'Fixed Days'!$B$3:$P$3,0)),0)*IFERROR(IF(OR(TRIM("")="Evet",TRIM("")="Yes"),MAX(N('Module Selection'!$C27),1),1),1)+IFERROR(SUMIFS($BF$2:$BF$700,$BB$2:$BB$700,$A27,$BC$2:$BC$700,J$1),0)+0))</f>
        <v/>
      </c>
      <c r="K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Days'!$AA:$AA,0),MATCH(K$1,'Fixed Days'!$B$3:$P$3,0)),0)*IFERROR(IF(OR(TRIM("")="Evet",TRIM("")="Yes"),MAX(N('Module Selection'!$C27),1),1),1)+IFERROR(SUMIFS($BF$2:$BF$700,$BB$2:$BB$700,$A27,$BC$2:$BC$700,K$1),0)+0))</f>
        <v/>
      </c>
      <c r="L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Days'!$AA:$AA,0),MATCH(L$1,'Fixed Days'!$B$3:$P$3,0)),0)*IFERROR(IF(OR(TRIM("")="Evet",TRIM("")="Yes"),MAX(N('Module Selection'!$C27),1),1),1)+IFERROR(SUMIFS($BF$2:$BF$700,$BB$2:$BB$700,$A27,$BC$2:$BC$700,L$1),0)+0))</f>
        <v/>
      </c>
      <c r="M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Days'!$AA:$AA,0),MATCH(M$1,'Fixed Days'!$B$3:$P$3,0)),0)*IFERROR(IF(OR(TRIM("")="Evet",TRIM("")="Yes"),MAX(N('Module Selection'!$C27),1),1),1)+IFERROR(SUMIFS($BF$2:$BF$700,$BB$2:$BB$700,$A27,$BC$2:$BC$700,M$1),0)+0))</f>
        <v/>
      </c>
      <c r="N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Days'!$AA:$AA,0),MATCH(N$1,'Fixed Days'!$B$3:$P$3,0)),0)*IFERROR(IF(OR(TRIM("")="Evet",TRIM("")="Yes"),MAX(N('Module Selection'!$C27),1),1),1)+IFERROR(SUMIFS($BF$2:$BF$700,$BB$2:$BB$700,$A27,$BC$2:$BC$700,N$1),0)+0))</f>
        <v/>
      </c>
      <c r="O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Days'!$AA:$AA,0),MATCH(O$1,'Fixed Days'!$B$3:$P$3,0)),0)*IFERROR(IF(OR(TRIM("")="Evet",TRIM("")="Yes"),MAX(N('Module Selection'!$C27),1),1),1)+IFERROR(SUMIFS($BF$2:$BF$700,$BB$2:$BB$700,$A27,$BC$2:$BC$700,O$1),0)+IFERROR(INDEX('Hypercare &amp; Go Live Support'!$G:$G,MATCH($A27,'Hypercare &amp; Go Live Support'!$A:$A,0)),0)))</f>
        <v/>
      </c>
      <c r="P27" s="38">
        <f>IF(AND('Module Selection'!$B27&lt;&gt;"Var",'Module Selection'!$B27&lt;&gt;"Include"),"",IF($A27="","",IFERROR(INDEX('Fixed Days'!$B:$P,MATCH('Project Information'!$C$11&amp;"|"&amp;IF(Scope!$J$9="S","SMALL",IF(Scope!$J$9="M","MEDIUM",IF(Scope!$J$9="L","LARGE","X-LARGE")))&amp;"|"&amp;$A27,'Fixed Days'!$AA:$AA,0),MATCH(P$1,'Fixed Days'!$B$3:$P$3,0)),0)*IFERROR(IF(OR(TRIM("")="Evet",TRIM("")="Yes"),MAX(N('Module Selection'!$C27),1),1),1)+IFERROR(SUMIFS($BF$2:$BF$700,$BB$2:$BB$700,$A27,$BC$2:$BC$700,P$1),0)+IFERROR(INDEX('Hypercare &amp; Go Live Support'!$F:$F,MATCH($A27,'Hypercare &amp; Go Live Support'!$A:$A,0)),0)))</f>
        <v/>
      </c>
      <c r="Q27" s="38">
        <f>SUM(B27:P27)</f>
        <v/>
      </c>
      <c r="AZ27" s="38">
        <f>INDEX(Translations!$D:$ZZ, MATCH(305,Translations!$A:$A,0), MATCH('Project Information'!$C$4,Translations!$D$1:$ZZ$1,0))</f>
        <v/>
      </c>
      <c r="BA27" s="38">
        <f>INDEX(Translations!$D:$ZZ, MATCH(46,Translations!$A:$A,0), MATCH('Project Information'!$C$4,Translations!$D$1:$ZZ$1,0))</f>
        <v/>
      </c>
      <c r="BB27" s="38">
        <f>INDEX(Translations!$D:$ZZ, MATCH(344,Translations!$A:$A,0), MATCH('Project Information'!$C$4,Translations!$D$1:$ZZ$1,0))</f>
        <v/>
      </c>
      <c r="BC27" s="38">
        <f>INDEX(Translations!$D:$ZZ, MATCH(83,Translations!$A:$A,0), MATCH('Project Information'!$C$4,Translations!$D$1:$ZZ$1,0))</f>
        <v/>
      </c>
      <c r="BD27" s="38">
        <f>IF(OR(TRIM('Project Information'!$C$43)="Evet",TRIM('Project Information'!$C$43)="Yes"),1,0)</f>
        <v/>
      </c>
      <c r="BE27" s="38" t="n">
        <v>2</v>
      </c>
      <c r="BF27" s="38">
        <f>BD27*BE27</f>
        <v/>
      </c>
      <c r="BH27" s="38">
        <f>INDEX(Translations!$D:$ZZ, MATCH(306,Translations!$A:$A,0), MATCH('Project Information'!$C$4,Translations!$D$1:$ZZ$1,0))</f>
        <v/>
      </c>
      <c r="BI27" s="38">
        <f>INDEX(Translations!$D:$ZZ, MATCH(249,Translations!$A:$A,0), MATCH('Project Information'!$C$4,Translations!$D$1:$ZZ$1,0))</f>
        <v/>
      </c>
      <c r="BJ27" s="38">
        <f>INDEX(Translations!$D:$ZZ, MATCH(337,Translations!$A:$A,0), MATCH('Project Information'!$C$4,Translations!$D$1:$ZZ$1,0))</f>
        <v/>
      </c>
      <c r="BK27" s="38">
        <f>INDEX(Translations!$D:$ZZ, MATCH(79,Translations!$A:$A,0), MATCH('Project Information'!$C$4,Translations!$D$1:$ZZ$1,0))</f>
        <v/>
      </c>
      <c r="BL27" s="38">
        <f>IF(OR(TRIM(Development!$F$34)="Evet",TRIM(Development!$F$34)="Yes"),1,0)</f>
        <v/>
      </c>
      <c r="BM27" s="38" t="n">
        <v>3</v>
      </c>
      <c r="BN27" s="38">
        <f>BL27*BM27</f>
        <v/>
      </c>
    </row>
    <row r="28" ht="15" customHeight="1" s="39">
      <c r="A28" s="38">
        <f>'Project Definitions'!$D$28</f>
        <v/>
      </c>
      <c r="B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Days'!$AA:$AA,0),MATCH(B$1,'Fixed Days'!$B$3:$P$3,0)),0)*IFERROR(IF(OR(TRIM("")="Evet",TRIM("")="Yes"),MAX(N('Module Selection'!$C28),1),1),1)+IFERROR(SUMIFS($BF$2:$BF$700,$BB$2:$BB$700,$A28,$BC$2:$BC$700,B$1),0)+0))</f>
        <v/>
      </c>
      <c r="C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Days'!$AA:$AA,0),MATCH(C$1,'Fixed Days'!$B$3:$P$3,0)),0)*IFERROR(IF(OR(TRIM("")="Evet",TRIM("")="Yes"),MAX(N('Module Selection'!$C28),1),1),1)+IFERROR(SUMIFS($BF$2:$BF$700,$BB$2:$BB$700,$A28,$BC$2:$BC$700,C$1),0)+0))</f>
        <v/>
      </c>
      <c r="D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Days'!$AA:$AA,0),MATCH(D$1,'Fixed Days'!$B$3:$P$3,0)),0)*IFERROR(IF(OR(TRIM("")="Evet",TRIM("")="Yes"),MAX(N('Module Selection'!$C28),1),1),1)+IFERROR(SUMIFS($BF$2:$BF$700,$BB$2:$BB$700,$A28,$BC$2:$BC$700,D$1),0)+0))</f>
        <v/>
      </c>
      <c r="E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Days'!$AA:$AA,0),MATCH(E$1,'Fixed Days'!$B$3:$P$3,0)),0)*IFERROR(IF(OR(TRIM("")="Evet",TRIM("")="Yes"),MAX(N('Module Selection'!$C28),1),1),1)+IFERROR(SUMIFS($BF$2:$BF$700,$BB$2:$BB$700,$A28,$BC$2:$BC$700,E$1),0)+0))</f>
        <v/>
      </c>
      <c r="F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Days'!$AA:$AA,0),MATCH(F$1,'Fixed Days'!$B$3:$P$3,0)),0)*IFERROR(IF(OR(TRIM("")="Evet",TRIM("")="Yes"),MAX(N('Module Selection'!$C28),1),1),1)+IFERROR(SUMIFS($BF$2:$BF$700,$BB$2:$BB$700,$A28,$BC$2:$BC$700,F$1),0)+0))</f>
        <v/>
      </c>
      <c r="G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Days'!$AA:$AA,0),MATCH(G$1,'Fixed Days'!$B$3:$P$3,0)),0)*IFERROR(IF(OR(TRIM("")="Evet",TRIM("")="Yes"),MAX(N('Module Selection'!$C28),1),1),1)+IFERROR(SUMIFS($BF$2:$BF$700,$BB$2:$BB$700,$A28,$BC$2:$BC$700,G$1),0)+0))</f>
        <v/>
      </c>
      <c r="H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Days'!$AA:$AA,0),MATCH(H$1,'Fixed Days'!$B$3:$P$3,0)),0)*IFERROR(IF(OR(TRIM("")="Evet",TRIM("")="Yes"),MAX(N('Module Selection'!$C28),1),1),1)+IFERROR(SUMIFS($BF$2:$BF$700,$BB$2:$BB$700,$A28,$BC$2:$BC$700,H$1),0)+0))</f>
        <v/>
      </c>
      <c r="I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Days'!$AA:$AA,0),MATCH(I$1,'Fixed Days'!$B$3:$P$3,0)),0)*IFERROR(IF(OR(TRIM("")="Evet",TRIM("")="Yes"),MAX(N('Module Selection'!$C28),1),1),1)+IFERROR(SUMIFS($BF$2:$BF$700,$BB$2:$BB$700,$A28,$BC$2:$BC$700,I$1),0)+0))</f>
        <v/>
      </c>
      <c r="J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Days'!$AA:$AA,0),MATCH(J$1,'Fixed Days'!$B$3:$P$3,0)),0)*IFERROR(IF(OR(TRIM("")="Evet",TRIM("")="Yes"),MAX(N('Module Selection'!$C28),1),1),1)+IFERROR(SUMIFS($BF$2:$BF$700,$BB$2:$BB$700,$A28,$BC$2:$BC$700,J$1),0)+0))</f>
        <v/>
      </c>
      <c r="K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Days'!$AA:$AA,0),MATCH(K$1,'Fixed Days'!$B$3:$P$3,0)),0)*IFERROR(IF(OR(TRIM("")="Evet",TRIM("")="Yes"),MAX(N('Module Selection'!$C28),1),1),1)+IFERROR(SUMIFS($BF$2:$BF$700,$BB$2:$BB$700,$A28,$BC$2:$BC$700,K$1),0)+0))</f>
        <v/>
      </c>
      <c r="L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Days'!$AA:$AA,0),MATCH(L$1,'Fixed Days'!$B$3:$P$3,0)),0)*IFERROR(IF(OR(TRIM("")="Evet",TRIM("")="Yes"),MAX(N('Module Selection'!$C28),1),1),1)+IFERROR(SUMIFS($BF$2:$BF$700,$BB$2:$BB$700,$A28,$BC$2:$BC$700,L$1),0)+0))</f>
        <v/>
      </c>
      <c r="M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Days'!$AA:$AA,0),MATCH(M$1,'Fixed Days'!$B$3:$P$3,0)),0)*IFERROR(IF(OR(TRIM("")="Evet",TRIM("")="Yes"),MAX(N('Module Selection'!$C28),1),1),1)+IFERROR(SUMIFS($BF$2:$BF$700,$BB$2:$BB$700,$A28,$BC$2:$BC$700,M$1),0)+0))</f>
        <v/>
      </c>
      <c r="N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Days'!$AA:$AA,0),MATCH(N$1,'Fixed Days'!$B$3:$P$3,0)),0)*IFERROR(IF(OR(TRIM("")="Evet",TRIM("")="Yes"),MAX(N('Module Selection'!$C28),1),1),1)+IFERROR(SUMIFS($BF$2:$BF$700,$BB$2:$BB$700,$A28,$BC$2:$BC$700,N$1),0)+0))</f>
        <v/>
      </c>
      <c r="O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Days'!$AA:$AA,0),MATCH(O$1,'Fixed Days'!$B$3:$P$3,0)),0)*IFERROR(IF(OR(TRIM("")="Evet",TRIM("")="Yes"),MAX(N('Module Selection'!$C28),1),1),1)+IFERROR(SUMIFS($BF$2:$BF$700,$BB$2:$BB$700,$A28,$BC$2:$BC$700,O$1),0)+IFERROR(INDEX('Hypercare &amp; Go Live Support'!$G:$G,MATCH($A28,'Hypercare &amp; Go Live Support'!$A:$A,0)),0)))</f>
        <v/>
      </c>
      <c r="P28" s="38">
        <f>IF(AND('Module Selection'!$B28&lt;&gt;"Var",'Module Selection'!$B28&lt;&gt;"Include"),"",IF($A28="","",IFERROR(INDEX('Fixed Days'!$B:$P,MATCH('Project Information'!$C$11&amp;"|"&amp;IF(Scope!$J$9="S","SMALL",IF(Scope!$J$9="M","MEDIUM",IF(Scope!$J$9="L","LARGE","X-LARGE")))&amp;"|"&amp;$A28,'Fixed Days'!$AA:$AA,0),MATCH(P$1,'Fixed Days'!$B$3:$P$3,0)),0)*IFERROR(IF(OR(TRIM("")="Evet",TRIM("")="Yes"),MAX(N('Module Selection'!$C28),1),1),1)+IFERROR(SUMIFS($BF$2:$BF$700,$BB$2:$BB$700,$A28,$BC$2:$BC$700,P$1),0)+IFERROR(INDEX('Hypercare &amp; Go Live Support'!$F:$F,MATCH($A28,'Hypercare &amp; Go Live Support'!$A:$A,0)),0)))</f>
        <v/>
      </c>
      <c r="Q28" s="38">
        <f>SUM(B28:P28)</f>
        <v/>
      </c>
      <c r="AZ28" s="38">
        <f>INDEX(Translations!$D:$ZZ, MATCH(310,Translations!$A:$A,0), MATCH('Project Information'!$C$4,Translations!$D$1:$ZZ$1,0))</f>
        <v/>
      </c>
      <c r="BA28" s="38">
        <f>INDEX(Translations!$D:$ZZ, MATCH(203,Translations!$A:$A,0), MATCH('Project Information'!$C$4,Translations!$D$1:$ZZ$1,0))</f>
        <v/>
      </c>
      <c r="BB28" s="38">
        <f>INDEX(Translations!$D:$ZZ, MATCH(340,Translations!$A:$A,0), MATCH('Project Information'!$C$4,Translations!$D$1:$ZZ$1,0))</f>
        <v/>
      </c>
      <c r="BC28" s="38">
        <f>INDEX(Translations!$D:$ZZ, MATCH(78,Translations!$A:$A,0), MATCH('Project Information'!$C$4,Translations!$D$1:$ZZ$1,0))</f>
        <v/>
      </c>
      <c r="BD28" s="38">
        <f>IF(OR(TRIM("")="Evet",TRIM("")="Yes"),1,0)</f>
        <v/>
      </c>
      <c r="BE28" s="38" t="n">
        <v>1</v>
      </c>
      <c r="BF28" s="38">
        <f>BD28*BE28</f>
        <v/>
      </c>
      <c r="BH28" s="38">
        <f>INDEX(Translations!$D:$ZZ, MATCH(306,Translations!$A:$A,0), MATCH('Project Information'!$C$4,Translations!$D$1:$ZZ$1,0))</f>
        <v/>
      </c>
      <c r="BI28" s="38">
        <f>INDEX(Translations!$D:$ZZ, MATCH(249,Translations!$A:$A,0), MATCH('Project Information'!$C$4,Translations!$D$1:$ZZ$1,0))</f>
        <v/>
      </c>
      <c r="BJ28" s="38">
        <f>INDEX(Translations!$D:$ZZ, MATCH(338,Translations!$A:$A,0), MATCH('Project Information'!$C$4,Translations!$D$1:$ZZ$1,0))</f>
        <v/>
      </c>
      <c r="BK28" s="38">
        <f>INDEX(Translations!$D:$ZZ, MATCH(75,Translations!$A:$A,0), MATCH('Project Information'!$C$4,Translations!$D$1:$ZZ$1,0))</f>
        <v/>
      </c>
      <c r="BL28" s="38">
        <f>IF(OR(TRIM(Development!$F$34)="Evet",TRIM(Development!$F$34)="Yes"),1,0)</f>
        <v/>
      </c>
      <c r="BM28" s="38" t="n">
        <v>3</v>
      </c>
      <c r="BN28" s="38">
        <f>BL28*BM28</f>
        <v/>
      </c>
    </row>
    <row r="29" ht="15" customHeight="1" s="39">
      <c r="A29" s="38">
        <f>'Project Definitions'!$D$29</f>
        <v/>
      </c>
      <c r="B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Days'!$AA:$AA,0),MATCH(B$1,'Fixed Days'!$B$3:$P$3,0)),0)*IFERROR(IF(OR(TRIM("")="Evet",TRIM("")="Yes"),MAX(N('Module Selection'!$C29),1),1),1)+IFERROR(SUMIFS($BF$2:$BF$700,$BB$2:$BB$700,$A29,$BC$2:$BC$700,B$1),0)+0))</f>
        <v/>
      </c>
      <c r="C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Days'!$AA:$AA,0),MATCH(C$1,'Fixed Days'!$B$3:$P$3,0)),0)*IFERROR(IF(OR(TRIM("")="Evet",TRIM("")="Yes"),MAX(N('Module Selection'!$C29),1),1),1)+IFERROR(SUMIFS($BF$2:$BF$700,$BB$2:$BB$700,$A29,$BC$2:$BC$700,C$1),0)+0))</f>
        <v/>
      </c>
      <c r="D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Days'!$AA:$AA,0),MATCH(D$1,'Fixed Days'!$B$3:$P$3,0)),0)*IFERROR(IF(OR(TRIM("")="Evet",TRIM("")="Yes"),MAX(N('Module Selection'!$C29),1),1),1)+IFERROR(SUMIFS($BF$2:$BF$700,$BB$2:$BB$700,$A29,$BC$2:$BC$700,D$1),0)+0))</f>
        <v/>
      </c>
      <c r="E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Days'!$AA:$AA,0),MATCH(E$1,'Fixed Days'!$B$3:$P$3,0)),0)*IFERROR(IF(OR(TRIM("")="Evet",TRIM("")="Yes"),MAX(N('Module Selection'!$C29),1),1),1)+IFERROR(SUMIFS($BF$2:$BF$700,$BB$2:$BB$700,$A29,$BC$2:$BC$700,E$1),0)+0))</f>
        <v/>
      </c>
      <c r="F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Days'!$AA:$AA,0),MATCH(F$1,'Fixed Days'!$B$3:$P$3,0)),0)*IFERROR(IF(OR(TRIM("")="Evet",TRIM("")="Yes"),MAX(N('Module Selection'!$C29),1),1),1)+IFERROR(SUMIFS($BF$2:$BF$700,$BB$2:$BB$700,$A29,$BC$2:$BC$700,F$1),0)+0))</f>
        <v/>
      </c>
      <c r="G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Days'!$AA:$AA,0),MATCH(G$1,'Fixed Days'!$B$3:$P$3,0)),0)*IFERROR(IF(OR(TRIM("")="Evet",TRIM("")="Yes"),MAX(N('Module Selection'!$C29),1),1),1)+IFERROR(SUMIFS($BF$2:$BF$700,$BB$2:$BB$700,$A29,$BC$2:$BC$700,G$1),0)+0))</f>
        <v/>
      </c>
      <c r="H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Days'!$AA:$AA,0),MATCH(H$1,'Fixed Days'!$B$3:$P$3,0)),0)*IFERROR(IF(OR(TRIM("")="Evet",TRIM("")="Yes"),MAX(N('Module Selection'!$C29),1),1),1)+IFERROR(SUMIFS($BF$2:$BF$700,$BB$2:$BB$700,$A29,$BC$2:$BC$700,H$1),0)+0))</f>
        <v/>
      </c>
      <c r="I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Days'!$AA:$AA,0),MATCH(I$1,'Fixed Days'!$B$3:$P$3,0)),0)*IFERROR(IF(OR(TRIM("")="Evet",TRIM("")="Yes"),MAX(N('Module Selection'!$C29),1),1),1)+IFERROR(SUMIFS($BF$2:$BF$700,$BB$2:$BB$700,$A29,$BC$2:$BC$700,I$1),0)+0))</f>
        <v/>
      </c>
      <c r="J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Days'!$AA:$AA,0),MATCH(J$1,'Fixed Days'!$B$3:$P$3,0)),0)*IFERROR(IF(OR(TRIM("")="Evet",TRIM("")="Yes"),MAX(N('Module Selection'!$C29),1),1),1)+IFERROR(SUMIFS($BF$2:$BF$700,$BB$2:$BB$700,$A29,$BC$2:$BC$700,J$1),0)+0))</f>
        <v/>
      </c>
      <c r="K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Days'!$AA:$AA,0),MATCH(K$1,'Fixed Days'!$B$3:$P$3,0)),0)*IFERROR(IF(OR(TRIM("")="Evet",TRIM("")="Yes"),MAX(N('Module Selection'!$C29),1),1),1)+IFERROR(SUMIFS($BF$2:$BF$700,$BB$2:$BB$700,$A29,$BC$2:$BC$700,K$1),0)+0))</f>
        <v/>
      </c>
      <c r="L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Days'!$AA:$AA,0),MATCH(L$1,'Fixed Days'!$B$3:$P$3,0)),0)*IFERROR(IF(OR(TRIM("")="Evet",TRIM("")="Yes"),MAX(N('Module Selection'!$C29),1),1),1)+IFERROR(SUMIFS($BF$2:$BF$700,$BB$2:$BB$700,$A29,$BC$2:$BC$700,L$1),0)+0))</f>
        <v/>
      </c>
      <c r="M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Days'!$AA:$AA,0),MATCH(M$1,'Fixed Days'!$B$3:$P$3,0)),0)*IFERROR(IF(OR(TRIM("")="Evet",TRIM("")="Yes"),MAX(N('Module Selection'!$C29),1),1),1)+IFERROR(SUMIFS($BF$2:$BF$700,$BB$2:$BB$700,$A29,$BC$2:$BC$700,M$1),0)+0))</f>
        <v/>
      </c>
      <c r="N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Days'!$AA:$AA,0),MATCH(N$1,'Fixed Days'!$B$3:$P$3,0)),0)*IFERROR(IF(OR(TRIM("")="Evet",TRIM("")="Yes"),MAX(N('Module Selection'!$C29),1),1),1)+IFERROR(SUMIFS($BF$2:$BF$700,$BB$2:$BB$700,$A29,$BC$2:$BC$700,N$1),0)+0))</f>
        <v/>
      </c>
      <c r="O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Days'!$AA:$AA,0),MATCH(O$1,'Fixed Days'!$B$3:$P$3,0)),0)*IFERROR(IF(OR(TRIM("")="Evet",TRIM("")="Yes"),MAX(N('Module Selection'!$C29),1),1),1)+IFERROR(SUMIFS($BF$2:$BF$700,$BB$2:$BB$700,$A29,$BC$2:$BC$700,O$1),0)+IFERROR(INDEX('Hypercare &amp; Go Live Support'!$G:$G,MATCH($A29,'Hypercare &amp; Go Live Support'!$A:$A,0)),0)))</f>
        <v/>
      </c>
      <c r="P29" s="38">
        <f>IF(AND('Module Selection'!$B29&lt;&gt;"Var",'Module Selection'!$B29&lt;&gt;"Include"),"",IF($A29="","",IFERROR(INDEX('Fixed Days'!$B:$P,MATCH('Project Information'!$C$11&amp;"|"&amp;IF(Scope!$J$9="S","SMALL",IF(Scope!$J$9="M","MEDIUM",IF(Scope!$J$9="L","LARGE","X-LARGE")))&amp;"|"&amp;$A29,'Fixed Days'!$AA:$AA,0),MATCH(P$1,'Fixed Days'!$B$3:$P$3,0)),0)*IFERROR(IF(OR(TRIM("")="Evet",TRIM("")="Yes"),MAX(N('Module Selection'!$C29),1),1),1)+IFERROR(SUMIFS($BF$2:$BF$700,$BB$2:$BB$700,$A29,$BC$2:$BC$700,P$1),0)+IFERROR(INDEX('Hypercare &amp; Go Live Support'!$F:$F,MATCH($A29,'Hypercare &amp; Go Live Support'!$A:$A,0)),0)))</f>
        <v/>
      </c>
      <c r="Q29" s="38">
        <f>SUM(B29:P29)</f>
        <v/>
      </c>
      <c r="AZ29" s="38">
        <f>INDEX(Translations!$D:$ZZ, MATCH(310,Translations!$A:$A,0), MATCH('Project Information'!$C$4,Translations!$D$1:$ZZ$1,0))</f>
        <v/>
      </c>
      <c r="BA29" s="38">
        <f>INDEX(Translations!$D:$ZZ, MATCH(203,Translations!$A:$A,0), MATCH('Project Information'!$C$4,Translations!$D$1:$ZZ$1,0))</f>
        <v/>
      </c>
      <c r="BB29" s="38">
        <f>INDEX(Translations!$D:$ZZ, MATCH(340,Translations!$A:$A,0), MATCH('Project Information'!$C$4,Translations!$D$1:$ZZ$1,0))</f>
        <v/>
      </c>
      <c r="BC29" s="38">
        <f>INDEX(Translations!$D:$ZZ, MATCH(86,Translations!$A:$A,0), MATCH('Project Information'!$C$4,Translations!$D$1:$ZZ$1,0))</f>
        <v/>
      </c>
      <c r="BD29" s="38">
        <f>IF(OR(TRIM("")="Evet",TRIM("")="Yes"),1,0)</f>
        <v/>
      </c>
      <c r="BE29" s="38" t="n">
        <v>0.5</v>
      </c>
      <c r="BF29" s="38">
        <f>BD29*BE29</f>
        <v/>
      </c>
      <c r="BH29" s="38">
        <f>INDEX(Translations!$D:$ZZ, MATCH(306,Translations!$A:$A,0), MATCH('Project Information'!$C$4,Translations!$D$1:$ZZ$1,0))</f>
        <v/>
      </c>
      <c r="BI29" s="38">
        <f>INDEX(Translations!$D:$ZZ, MATCH(249,Translations!$A:$A,0), MATCH('Project Information'!$C$4,Translations!$D$1:$ZZ$1,0))</f>
        <v/>
      </c>
      <c r="BJ29" s="38">
        <f>INDEX(Translations!$D:$ZZ, MATCH(338,Translations!$A:$A,0), MATCH('Project Information'!$C$4,Translations!$D$1:$ZZ$1,0))</f>
        <v/>
      </c>
      <c r="BK29" s="38">
        <f>INDEX(Translations!$D:$ZZ, MATCH(76,Translations!$A:$A,0), MATCH('Project Information'!$C$4,Translations!$D$1:$ZZ$1,0))</f>
        <v/>
      </c>
      <c r="BL29" s="38">
        <f>IF(OR(TRIM(Development!$F$34)="Evet",TRIM(Development!$F$34)="Yes"),1,0)</f>
        <v/>
      </c>
      <c r="BM29" s="38" t="n">
        <v>1</v>
      </c>
      <c r="BN29" s="38">
        <f>BL29*BM29</f>
        <v/>
      </c>
    </row>
    <row r="30" ht="15" customHeight="1" s="39">
      <c r="A30" s="38">
        <f>'Project Definitions'!$D$30</f>
        <v/>
      </c>
      <c r="B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Days'!$AA:$AA,0),MATCH(B$1,'Fixed Days'!$B$3:$P$3,0)),0)*IFERROR(IF(OR(TRIM("")="Evet",TRIM("")="Yes"),MAX(N('Module Selection'!$C30),1),1),1)+IFERROR(SUMIFS($BF$2:$BF$700,$BB$2:$BB$700,$A30,$BC$2:$BC$700,B$1),0)+0))</f>
        <v/>
      </c>
      <c r="C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Days'!$AA:$AA,0),MATCH(C$1,'Fixed Days'!$B$3:$P$3,0)),0)*IFERROR(IF(OR(TRIM("")="Evet",TRIM("")="Yes"),MAX(N('Module Selection'!$C30),1),1),1)+IFERROR(SUMIFS($BF$2:$BF$700,$BB$2:$BB$700,$A30,$BC$2:$BC$700,C$1),0)+0))</f>
        <v/>
      </c>
      <c r="D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Days'!$AA:$AA,0),MATCH(D$1,'Fixed Days'!$B$3:$P$3,0)),0)*IFERROR(IF(OR(TRIM("")="Evet",TRIM("")="Yes"),MAX(N('Module Selection'!$C30),1),1),1)+IFERROR(SUMIFS($BF$2:$BF$700,$BB$2:$BB$700,$A30,$BC$2:$BC$700,D$1),0)+0))</f>
        <v/>
      </c>
      <c r="E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Days'!$AA:$AA,0),MATCH(E$1,'Fixed Days'!$B$3:$P$3,0)),0)*IFERROR(IF(OR(TRIM("")="Evet",TRIM("")="Yes"),MAX(N('Module Selection'!$C30),1),1),1)+IFERROR(SUMIFS($BF$2:$BF$700,$BB$2:$BB$700,$A30,$BC$2:$BC$700,E$1),0)+0))</f>
        <v/>
      </c>
      <c r="F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Days'!$AA:$AA,0),MATCH(F$1,'Fixed Days'!$B$3:$P$3,0)),0)*IFERROR(IF(OR(TRIM("")="Evet",TRIM("")="Yes"),MAX(N('Module Selection'!$C30),1),1),1)+IFERROR(SUMIFS($BF$2:$BF$700,$BB$2:$BB$700,$A30,$BC$2:$BC$700,F$1),0)+0))</f>
        <v/>
      </c>
      <c r="G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Days'!$AA:$AA,0),MATCH(G$1,'Fixed Days'!$B$3:$P$3,0)),0)*IFERROR(IF(OR(TRIM("")="Evet",TRIM("")="Yes"),MAX(N('Module Selection'!$C30),1),1),1)+IFERROR(SUMIFS($BF$2:$BF$700,$BB$2:$BB$700,$A30,$BC$2:$BC$700,G$1),0)+0))</f>
        <v/>
      </c>
      <c r="H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Days'!$AA:$AA,0),MATCH(H$1,'Fixed Days'!$B$3:$P$3,0)),0)*IFERROR(IF(OR(TRIM("")="Evet",TRIM("")="Yes"),MAX(N('Module Selection'!$C30),1),1),1)+IFERROR(SUMIFS($BF$2:$BF$700,$BB$2:$BB$700,$A30,$BC$2:$BC$700,H$1),0)+0))</f>
        <v/>
      </c>
      <c r="I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Days'!$AA:$AA,0),MATCH(I$1,'Fixed Days'!$B$3:$P$3,0)),0)*IFERROR(IF(OR(TRIM("")="Evet",TRIM("")="Yes"),MAX(N('Module Selection'!$C30),1),1),1)+IFERROR(SUMIFS($BF$2:$BF$700,$BB$2:$BB$700,$A30,$BC$2:$BC$700,I$1),0)+0))</f>
        <v/>
      </c>
      <c r="J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Days'!$AA:$AA,0),MATCH(J$1,'Fixed Days'!$B$3:$P$3,0)),0)*IFERROR(IF(OR(TRIM("")="Evet",TRIM("")="Yes"),MAX(N('Module Selection'!$C30),1),1),1)+IFERROR(SUMIFS($BF$2:$BF$700,$BB$2:$BB$700,$A30,$BC$2:$BC$700,J$1),0)+0))</f>
        <v/>
      </c>
      <c r="K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Days'!$AA:$AA,0),MATCH(K$1,'Fixed Days'!$B$3:$P$3,0)),0)*IFERROR(IF(OR(TRIM("")="Evet",TRIM("")="Yes"),MAX(N('Module Selection'!$C30),1),1),1)+IFERROR(SUMIFS($BF$2:$BF$700,$BB$2:$BB$700,$A30,$BC$2:$BC$700,K$1),0)+0))</f>
        <v/>
      </c>
      <c r="L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Days'!$AA:$AA,0),MATCH(L$1,'Fixed Days'!$B$3:$P$3,0)),0)*IFERROR(IF(OR(TRIM("")="Evet",TRIM("")="Yes"),MAX(N('Module Selection'!$C30),1),1),1)+IFERROR(SUMIFS($BF$2:$BF$700,$BB$2:$BB$700,$A30,$BC$2:$BC$700,L$1),0)+0))</f>
        <v/>
      </c>
      <c r="M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Days'!$AA:$AA,0),MATCH(M$1,'Fixed Days'!$B$3:$P$3,0)),0)*IFERROR(IF(OR(TRIM("")="Evet",TRIM("")="Yes"),MAX(N('Module Selection'!$C30),1),1),1)+IFERROR(SUMIFS($BF$2:$BF$700,$BB$2:$BB$700,$A30,$BC$2:$BC$700,M$1),0)+0))</f>
        <v/>
      </c>
      <c r="N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Days'!$AA:$AA,0),MATCH(N$1,'Fixed Days'!$B$3:$P$3,0)),0)*IFERROR(IF(OR(TRIM("")="Evet",TRIM("")="Yes"),MAX(N('Module Selection'!$C30),1),1),1)+IFERROR(SUMIFS($BF$2:$BF$700,$BB$2:$BB$700,$A30,$BC$2:$BC$700,N$1),0)+0))</f>
        <v/>
      </c>
      <c r="O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Days'!$AA:$AA,0),MATCH(O$1,'Fixed Days'!$B$3:$P$3,0)),0)*IFERROR(IF(OR(TRIM("")="Evet",TRIM("")="Yes"),MAX(N('Module Selection'!$C30),1),1),1)+IFERROR(SUMIFS($BF$2:$BF$700,$BB$2:$BB$700,$A30,$BC$2:$BC$700,O$1),0)+IFERROR(INDEX('Hypercare &amp; Go Live Support'!$G:$G,MATCH($A30,'Hypercare &amp; Go Live Support'!$A:$A,0)),0)))</f>
        <v/>
      </c>
      <c r="P30" s="38">
        <f>IF(AND('Module Selection'!$B30&lt;&gt;"Var",'Module Selection'!$B30&lt;&gt;"Include"),"",IF($A30="","",IFERROR(INDEX('Fixed Days'!$B:$P,MATCH('Project Information'!$C$11&amp;"|"&amp;IF(Scope!$J$9="S","SMALL",IF(Scope!$J$9="M","MEDIUM",IF(Scope!$J$9="L","LARGE","X-LARGE")))&amp;"|"&amp;$A30,'Fixed Days'!$AA:$AA,0),MATCH(P$1,'Fixed Days'!$B$3:$P$3,0)),0)*IFERROR(IF(OR(TRIM("")="Evet",TRIM("")="Yes"),MAX(N('Module Selection'!$C30),1),1),1)+IFERROR(SUMIFS($BF$2:$BF$700,$BB$2:$BB$700,$A30,$BC$2:$BC$700,P$1),0)+IFERROR(INDEX('Hypercare &amp; Go Live Support'!$F:$F,MATCH($A30,'Hypercare &amp; Go Live Support'!$A:$A,0)),0)))</f>
        <v/>
      </c>
      <c r="Q30" s="38">
        <f>SUM(B30:P30)</f>
        <v/>
      </c>
      <c r="AZ30" s="38">
        <f>INDEX(Translations!$D:$ZZ, MATCH(310,Translations!$A:$A,0), MATCH('Project Information'!$C$4,Translations!$D$1:$ZZ$1,0))</f>
        <v/>
      </c>
      <c r="BA30" s="38">
        <f>INDEX(Translations!$D:$ZZ, MATCH(203,Translations!$A:$A,0), MATCH('Project Information'!$C$4,Translations!$D$1:$ZZ$1,0))</f>
        <v/>
      </c>
      <c r="BB30" s="38">
        <f>INDEX(Translations!$D:$ZZ, MATCH(340,Translations!$A:$A,0), MATCH('Project Information'!$C$4,Translations!$D$1:$ZZ$1,0))</f>
        <v/>
      </c>
      <c r="BC30" s="38">
        <f>INDEX(Translations!$D:$ZZ, MATCH(87,Translations!$A:$A,0), MATCH('Project Information'!$C$4,Translations!$D$1:$ZZ$1,0))</f>
        <v/>
      </c>
      <c r="BD30" s="38">
        <f>IF(OR(TRIM("")="Evet",TRIM("")="Yes"),1,0)</f>
        <v/>
      </c>
      <c r="BE30" s="38" t="n">
        <v>1</v>
      </c>
      <c r="BF30" s="38">
        <f>BD30*BE30</f>
        <v/>
      </c>
      <c r="BH30" s="38">
        <f>INDEX(Translations!$D:$ZZ, MATCH(306,Translations!$A:$A,0), MATCH('Project Information'!$C$4,Translations!$D$1:$ZZ$1,0))</f>
        <v/>
      </c>
      <c r="BI30" s="38">
        <f>INDEX(Translations!$D:$ZZ, MATCH(249,Translations!$A:$A,0), MATCH('Project Information'!$C$4,Translations!$D$1:$ZZ$1,0))</f>
        <v/>
      </c>
      <c r="BJ30" s="38">
        <f>INDEX(Translations!$D:$ZZ, MATCH(338,Translations!$A:$A,0), MATCH('Project Information'!$C$4,Translations!$D$1:$ZZ$1,0))</f>
        <v/>
      </c>
      <c r="BK30" s="38">
        <f>INDEX(Translations!$D:$ZZ, MATCH(79,Translations!$A:$A,0), MATCH('Project Information'!$C$4,Translations!$D$1:$ZZ$1,0))</f>
        <v/>
      </c>
      <c r="BL30" s="38">
        <f>IF(OR(TRIM(Development!$F$34)="Evet",TRIM(Development!$F$34)="Yes"),1,0)</f>
        <v/>
      </c>
      <c r="BM30" s="38" t="n">
        <v>3</v>
      </c>
      <c r="BN30" s="38">
        <f>BL30*BM30</f>
        <v/>
      </c>
    </row>
    <row r="31" ht="15" customHeight="1" s="39">
      <c r="A31" s="38">
        <f>'Project Definitions'!$D$31</f>
        <v/>
      </c>
      <c r="B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Days'!$AA:$AA,0),MATCH(B$1,'Fixed Days'!$B$3:$P$3,0)),0)*IFERROR(IF(OR(TRIM("")="Evet",TRIM("")="Yes"),MAX(N('Module Selection'!$C31),1),1),1)+IFERROR(SUMIFS($BF$2:$BF$700,$BB$2:$BB$700,$A31,$BC$2:$BC$700,B$1),0)+0))</f>
        <v/>
      </c>
      <c r="C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Days'!$AA:$AA,0),MATCH(C$1,'Fixed Days'!$B$3:$P$3,0)),0)*IFERROR(IF(OR(TRIM("")="Evet",TRIM("")="Yes"),MAX(N('Module Selection'!$C31),1),1),1)+IFERROR(SUMIFS($BF$2:$BF$700,$BB$2:$BB$700,$A31,$BC$2:$BC$700,C$1),0)+0))</f>
        <v/>
      </c>
      <c r="D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Days'!$AA:$AA,0),MATCH(D$1,'Fixed Days'!$B$3:$P$3,0)),0)*IFERROR(IF(OR(TRIM("")="Evet",TRIM("")="Yes"),MAX(N('Module Selection'!$C31),1),1),1)+IFERROR(SUMIFS($BF$2:$BF$700,$BB$2:$BB$700,$A31,$BC$2:$BC$700,D$1),0)+0))</f>
        <v/>
      </c>
      <c r="E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Days'!$AA:$AA,0),MATCH(E$1,'Fixed Days'!$B$3:$P$3,0)),0)*IFERROR(IF(OR(TRIM("")="Evet",TRIM("")="Yes"),MAX(N('Module Selection'!$C31),1),1),1)+IFERROR(SUMIFS($BF$2:$BF$700,$BB$2:$BB$700,$A31,$BC$2:$BC$700,E$1),0)+0))</f>
        <v/>
      </c>
      <c r="F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Days'!$AA:$AA,0),MATCH(F$1,'Fixed Days'!$B$3:$P$3,0)),0)*IFERROR(IF(OR(TRIM("")="Evet",TRIM("")="Yes"),MAX(N('Module Selection'!$C31),1),1),1)+IFERROR(SUMIFS($BF$2:$BF$700,$BB$2:$BB$700,$A31,$BC$2:$BC$700,F$1),0)+0))</f>
        <v/>
      </c>
      <c r="G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Days'!$AA:$AA,0),MATCH(G$1,'Fixed Days'!$B$3:$P$3,0)),0)*IFERROR(IF(OR(TRIM("")="Evet",TRIM("")="Yes"),MAX(N('Module Selection'!$C31),1),1),1)+IFERROR(SUMIFS($BF$2:$BF$700,$BB$2:$BB$700,$A31,$BC$2:$BC$700,G$1),0)+0))</f>
        <v/>
      </c>
      <c r="H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Days'!$AA:$AA,0),MATCH(H$1,'Fixed Days'!$B$3:$P$3,0)),0)*IFERROR(IF(OR(TRIM("")="Evet",TRIM("")="Yes"),MAX(N('Module Selection'!$C31),1),1),1)+IFERROR(SUMIFS($BF$2:$BF$700,$BB$2:$BB$700,$A31,$BC$2:$BC$700,H$1),0)+0))</f>
        <v/>
      </c>
      <c r="I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Days'!$AA:$AA,0),MATCH(I$1,'Fixed Days'!$B$3:$P$3,0)),0)*IFERROR(IF(OR(TRIM("")="Evet",TRIM("")="Yes"),MAX(N('Module Selection'!$C31),1),1),1)+IFERROR(SUMIFS($BF$2:$BF$700,$BB$2:$BB$700,$A31,$BC$2:$BC$700,I$1),0)+0))</f>
        <v/>
      </c>
      <c r="J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Days'!$AA:$AA,0),MATCH(J$1,'Fixed Days'!$B$3:$P$3,0)),0)*IFERROR(IF(OR(TRIM("")="Evet",TRIM("")="Yes"),MAX(N('Module Selection'!$C31),1),1),1)+IFERROR(SUMIFS($BF$2:$BF$700,$BB$2:$BB$700,$A31,$BC$2:$BC$700,J$1),0)+0))</f>
        <v/>
      </c>
      <c r="K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Days'!$AA:$AA,0),MATCH(K$1,'Fixed Days'!$B$3:$P$3,0)),0)*IFERROR(IF(OR(TRIM("")="Evet",TRIM("")="Yes"),MAX(N('Module Selection'!$C31),1),1),1)+IFERROR(SUMIFS($BF$2:$BF$700,$BB$2:$BB$700,$A31,$BC$2:$BC$700,K$1),0)+0))</f>
        <v/>
      </c>
      <c r="L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Days'!$AA:$AA,0),MATCH(L$1,'Fixed Days'!$B$3:$P$3,0)),0)*IFERROR(IF(OR(TRIM("")="Evet",TRIM("")="Yes"),MAX(N('Module Selection'!$C31),1),1),1)+IFERROR(SUMIFS($BF$2:$BF$700,$BB$2:$BB$700,$A31,$BC$2:$BC$700,L$1),0)+0))</f>
        <v/>
      </c>
      <c r="M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Days'!$AA:$AA,0),MATCH(M$1,'Fixed Days'!$B$3:$P$3,0)),0)*IFERROR(IF(OR(TRIM("")="Evet",TRIM("")="Yes"),MAX(N('Module Selection'!$C31),1),1),1)+IFERROR(SUMIFS($BF$2:$BF$700,$BB$2:$BB$700,$A31,$BC$2:$BC$700,M$1),0)+0))</f>
        <v/>
      </c>
      <c r="N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Days'!$AA:$AA,0),MATCH(N$1,'Fixed Days'!$B$3:$P$3,0)),0)*IFERROR(IF(OR(TRIM("")="Evet",TRIM("")="Yes"),MAX(N('Module Selection'!$C31),1),1),1)+IFERROR(SUMIFS($BF$2:$BF$700,$BB$2:$BB$700,$A31,$BC$2:$BC$700,N$1),0)+0))</f>
        <v/>
      </c>
      <c r="O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Days'!$AA:$AA,0),MATCH(O$1,'Fixed Days'!$B$3:$P$3,0)),0)*IFERROR(IF(OR(TRIM("")="Evet",TRIM("")="Yes"),MAX(N('Module Selection'!$C31),1),1),1)+IFERROR(SUMIFS($BF$2:$BF$700,$BB$2:$BB$700,$A31,$BC$2:$BC$700,O$1),0)+IFERROR(INDEX('Hypercare &amp; Go Live Support'!$G:$G,MATCH($A31,'Hypercare &amp; Go Live Support'!$A:$A,0)),0)))</f>
        <v/>
      </c>
      <c r="P31" s="38">
        <f>IF(AND('Module Selection'!$B31&lt;&gt;"Var",'Module Selection'!$B31&lt;&gt;"Include"),"",IF($A31="","",IFERROR(INDEX('Fixed Days'!$B:$P,MATCH('Project Information'!$C$11&amp;"|"&amp;IF(Scope!$J$9="S","SMALL",IF(Scope!$J$9="M","MEDIUM",IF(Scope!$J$9="L","LARGE","X-LARGE")))&amp;"|"&amp;$A31,'Fixed Days'!$AA:$AA,0),MATCH(P$1,'Fixed Days'!$B$3:$P$3,0)),0)*IFERROR(IF(OR(TRIM("")="Evet",TRIM("")="Yes"),MAX(N('Module Selection'!$C31),1),1),1)+IFERROR(SUMIFS($BF$2:$BF$700,$BB$2:$BB$700,$A31,$BC$2:$BC$700,P$1),0)+IFERROR(INDEX('Hypercare &amp; Go Live Support'!$F:$F,MATCH($A31,'Hypercare &amp; Go Live Support'!$A:$A,0)),0)))</f>
        <v/>
      </c>
      <c r="Q31" s="38">
        <f>SUM(B31:P31)</f>
        <v/>
      </c>
      <c r="AZ31" s="38">
        <f>INDEX(Translations!$D:$ZZ, MATCH(310,Translations!$A:$A,0), MATCH('Project Information'!$C$4,Translations!$D$1:$ZZ$1,0))</f>
        <v/>
      </c>
      <c r="BA31" s="38">
        <f>INDEX(Translations!$D:$ZZ, MATCH(189,Translations!$A:$A,0), MATCH('Project Information'!$C$4,Translations!$D$1:$ZZ$1,0))</f>
        <v/>
      </c>
      <c r="BB31" s="38">
        <f>INDEX(Translations!$D:$ZZ, MATCH(332,Translations!$A:$A,0), MATCH('Project Information'!$C$4,Translations!$D$1:$ZZ$1,0))</f>
        <v/>
      </c>
      <c r="BC31" s="38">
        <f>INDEX(Translations!$D:$ZZ, MATCH(85,Translations!$A:$A,0), MATCH('Project Information'!$C$4,Translations!$D$1:$ZZ$1,0))</f>
        <v/>
      </c>
      <c r="BD31" s="38">
        <f>IF(OR(TRIM("")="Evet",TRIM("")="Yes"),1,0)</f>
        <v/>
      </c>
      <c r="BE31" s="38" t="n">
        <v>5</v>
      </c>
      <c r="BF31" s="38">
        <f>BD31*BE31</f>
        <v/>
      </c>
      <c r="BH31" s="38">
        <f>INDEX(Translations!$D:$ZZ, MATCH(306,Translations!$A:$A,0), MATCH('Project Information'!$C$4,Translations!$D$1:$ZZ$1,0))</f>
        <v/>
      </c>
      <c r="BI31" s="38">
        <f>INDEX(Translations!$D:$ZZ, MATCH(237,Translations!$A:$A,0), MATCH('Project Information'!$C$4,Translations!$D$1:$ZZ$1,0))</f>
        <v/>
      </c>
      <c r="BJ31" s="38">
        <f>INDEX(Translations!$D:$ZZ, MATCH(346,Translations!$A:$A,0), MATCH('Project Information'!$C$4,Translations!$D$1:$ZZ$1,0))</f>
        <v/>
      </c>
      <c r="BK31" s="38">
        <f>INDEX(Translations!$D:$ZZ, MATCH(78,Translations!$A:$A,0), MATCH('Project Information'!$C$4,Translations!$D$1:$ZZ$1,0))</f>
        <v/>
      </c>
      <c r="BL31" s="38">
        <f>IF(OR(TRIM(Development!$F$28)="Evet",TRIM(Development!$F$28)="Yes"),1,0)</f>
        <v/>
      </c>
      <c r="BM31" s="38" t="n">
        <v>8</v>
      </c>
      <c r="BN31" s="38">
        <f>BL31*BM31</f>
        <v/>
      </c>
    </row>
    <row r="32" ht="15" customHeight="1" s="39">
      <c r="A32" s="38">
        <f>'Project Definitions'!$D$32</f>
        <v/>
      </c>
      <c r="B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Days'!$AA:$AA,0),MATCH(B$1,'Fixed Days'!$B$3:$P$3,0)),0)*IFERROR(IF(OR(TRIM("")="Evet",TRIM("")="Yes"),MAX(N('Module Selection'!$C32),1),1),1)+IFERROR(SUMIFS($BF$2:$BF$700,$BB$2:$BB$700,$A32,$BC$2:$BC$700,B$1),0)+0))</f>
        <v/>
      </c>
      <c r="C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Days'!$AA:$AA,0),MATCH(C$1,'Fixed Days'!$B$3:$P$3,0)),0)*IFERROR(IF(OR(TRIM("")="Evet",TRIM("")="Yes"),MAX(N('Module Selection'!$C32),1),1),1)+IFERROR(SUMIFS($BF$2:$BF$700,$BB$2:$BB$700,$A32,$BC$2:$BC$700,C$1),0)+0))</f>
        <v/>
      </c>
      <c r="D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Days'!$AA:$AA,0),MATCH(D$1,'Fixed Days'!$B$3:$P$3,0)),0)*IFERROR(IF(OR(TRIM("")="Evet",TRIM("")="Yes"),MAX(N('Module Selection'!$C32),1),1),1)+IFERROR(SUMIFS($BF$2:$BF$700,$BB$2:$BB$700,$A32,$BC$2:$BC$700,D$1),0)+0))</f>
        <v/>
      </c>
      <c r="E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Days'!$AA:$AA,0),MATCH(E$1,'Fixed Days'!$B$3:$P$3,0)),0)*IFERROR(IF(OR(TRIM("")="Evet",TRIM("")="Yes"),MAX(N('Module Selection'!$C32),1),1),1)+IFERROR(SUMIFS($BF$2:$BF$700,$BB$2:$BB$700,$A32,$BC$2:$BC$700,E$1),0)+0))</f>
        <v/>
      </c>
      <c r="F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Days'!$AA:$AA,0),MATCH(F$1,'Fixed Days'!$B$3:$P$3,0)),0)*IFERROR(IF(OR(TRIM("")="Evet",TRIM("")="Yes"),MAX(N('Module Selection'!$C32),1),1),1)+IFERROR(SUMIFS($BF$2:$BF$700,$BB$2:$BB$700,$A32,$BC$2:$BC$700,F$1),0)+0))</f>
        <v/>
      </c>
      <c r="G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Days'!$AA:$AA,0),MATCH(G$1,'Fixed Days'!$B$3:$P$3,0)),0)*IFERROR(IF(OR(TRIM("")="Evet",TRIM("")="Yes"),MAX(N('Module Selection'!$C32),1),1),1)+IFERROR(SUMIFS($BF$2:$BF$700,$BB$2:$BB$700,$A32,$BC$2:$BC$700,G$1),0)+0))</f>
        <v/>
      </c>
      <c r="H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Days'!$AA:$AA,0),MATCH(H$1,'Fixed Days'!$B$3:$P$3,0)),0)*IFERROR(IF(OR(TRIM("")="Evet",TRIM("")="Yes"),MAX(N('Module Selection'!$C32),1),1),1)+IFERROR(SUMIFS($BF$2:$BF$700,$BB$2:$BB$700,$A32,$BC$2:$BC$700,H$1),0)+0))</f>
        <v/>
      </c>
      <c r="I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Days'!$AA:$AA,0),MATCH(I$1,'Fixed Days'!$B$3:$P$3,0)),0)*IFERROR(IF(OR(TRIM("")="Evet",TRIM("")="Yes"),MAX(N('Module Selection'!$C32),1),1),1)+IFERROR(SUMIFS($BF$2:$BF$700,$BB$2:$BB$700,$A32,$BC$2:$BC$700,I$1),0)+0))</f>
        <v/>
      </c>
      <c r="J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Days'!$AA:$AA,0),MATCH(J$1,'Fixed Days'!$B$3:$P$3,0)),0)*IFERROR(IF(OR(TRIM("")="Evet",TRIM("")="Yes"),MAX(N('Module Selection'!$C32),1),1),1)+IFERROR(SUMIFS($BF$2:$BF$700,$BB$2:$BB$700,$A32,$BC$2:$BC$700,J$1),0)+0))</f>
        <v/>
      </c>
      <c r="K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Days'!$AA:$AA,0),MATCH(K$1,'Fixed Days'!$B$3:$P$3,0)),0)*IFERROR(IF(OR(TRIM("")="Evet",TRIM("")="Yes"),MAX(N('Module Selection'!$C32),1),1),1)+IFERROR(SUMIFS($BF$2:$BF$700,$BB$2:$BB$700,$A32,$BC$2:$BC$700,K$1),0)+0))</f>
        <v/>
      </c>
      <c r="L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Days'!$AA:$AA,0),MATCH(L$1,'Fixed Days'!$B$3:$P$3,0)),0)*IFERROR(IF(OR(TRIM("")="Evet",TRIM("")="Yes"),MAX(N('Module Selection'!$C32),1),1),1)+IFERROR(SUMIFS($BF$2:$BF$700,$BB$2:$BB$700,$A32,$BC$2:$BC$700,L$1),0)+0))</f>
        <v/>
      </c>
      <c r="M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Days'!$AA:$AA,0),MATCH(M$1,'Fixed Days'!$B$3:$P$3,0)),0)*IFERROR(IF(OR(TRIM("")="Evet",TRIM("")="Yes"),MAX(N('Module Selection'!$C32),1),1),1)+IFERROR(SUMIFS($BF$2:$BF$700,$BB$2:$BB$700,$A32,$BC$2:$BC$700,M$1),0)+0))</f>
        <v/>
      </c>
      <c r="N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Days'!$AA:$AA,0),MATCH(N$1,'Fixed Days'!$B$3:$P$3,0)),0)*IFERROR(IF(OR(TRIM("")="Evet",TRIM("")="Yes"),MAX(N('Module Selection'!$C32),1),1),1)+IFERROR(SUMIFS($BF$2:$BF$700,$BB$2:$BB$700,$A32,$BC$2:$BC$700,N$1),0)+0))</f>
        <v/>
      </c>
      <c r="O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Days'!$AA:$AA,0),MATCH(O$1,'Fixed Days'!$B$3:$P$3,0)),0)*IFERROR(IF(OR(TRIM("")="Evet",TRIM("")="Yes"),MAX(N('Module Selection'!$C32),1),1),1)+IFERROR(SUMIFS($BF$2:$BF$700,$BB$2:$BB$700,$A32,$BC$2:$BC$700,O$1),0)+IFERROR(INDEX('Hypercare &amp; Go Live Support'!$G:$G,MATCH($A32,'Hypercare &amp; Go Live Support'!$A:$A,0)),0)))</f>
        <v/>
      </c>
      <c r="P32" s="38">
        <f>IF(AND('Module Selection'!$B32&lt;&gt;"Var",'Module Selection'!$B32&lt;&gt;"Include"),"",IF($A32="","",IFERROR(INDEX('Fixed Days'!$B:$P,MATCH('Project Information'!$C$11&amp;"|"&amp;IF(Scope!$J$9="S","SMALL",IF(Scope!$J$9="M","MEDIUM",IF(Scope!$J$9="L","LARGE","X-LARGE")))&amp;"|"&amp;$A32,'Fixed Days'!$AA:$AA,0),MATCH(P$1,'Fixed Days'!$B$3:$P$3,0)),0)*IFERROR(IF(OR(TRIM("")="Evet",TRIM("")="Yes"),MAX(N('Module Selection'!$C32),1),1),1)+IFERROR(SUMIFS($BF$2:$BF$700,$BB$2:$BB$700,$A32,$BC$2:$BC$700,P$1),0)+IFERROR(INDEX('Hypercare &amp; Go Live Support'!$F:$F,MATCH($A32,'Hypercare &amp; Go Live Support'!$A:$A,0)),0)))</f>
        <v/>
      </c>
      <c r="Q32" s="38">
        <f>SUM(B32:P32)</f>
        <v/>
      </c>
      <c r="AZ32" s="38">
        <f>INDEX(Translations!$D:$ZZ, MATCH(310,Translations!$A:$A,0), MATCH('Project Information'!$C$4,Translations!$D$1:$ZZ$1,0))</f>
        <v/>
      </c>
      <c r="BA32" s="38">
        <f>INDEX(Translations!$D:$ZZ, MATCH(189,Translations!$A:$A,0), MATCH('Project Information'!$C$4,Translations!$D$1:$ZZ$1,0))</f>
        <v/>
      </c>
      <c r="BB32" s="38">
        <f>INDEX(Translations!$D:$ZZ, MATCH(333,Translations!$A:$A,0), MATCH('Project Information'!$C$4,Translations!$D$1:$ZZ$1,0))</f>
        <v/>
      </c>
      <c r="BC32" s="38">
        <f>INDEX(Translations!$D:$ZZ, MATCH(85,Translations!$A:$A,0), MATCH('Project Information'!$C$4,Translations!$D$1:$ZZ$1,0))</f>
        <v/>
      </c>
      <c r="BD32" s="38">
        <f>IF(OR(TRIM("")="Evet",TRIM("")="Yes"),1,0)</f>
        <v/>
      </c>
      <c r="BE32" s="38" t="n">
        <v>5</v>
      </c>
      <c r="BF32" s="38">
        <f>BD32*BE32</f>
        <v/>
      </c>
      <c r="BH32" s="38">
        <f>INDEX(Translations!$D:$ZZ, MATCH(306,Translations!$A:$A,0), MATCH('Project Information'!$C$4,Translations!$D$1:$ZZ$1,0))</f>
        <v/>
      </c>
      <c r="BI32" s="38">
        <f>INDEX(Translations!$D:$ZZ, MATCH(237,Translations!$A:$A,0), MATCH('Project Information'!$C$4,Translations!$D$1:$ZZ$1,0))</f>
        <v/>
      </c>
      <c r="BJ32" s="38">
        <f>INDEX(Translations!$D:$ZZ, MATCH(338,Translations!$A:$A,0), MATCH('Project Information'!$C$4,Translations!$D$1:$ZZ$1,0))</f>
        <v/>
      </c>
      <c r="BK32" s="38">
        <f>INDEX(Translations!$D:$ZZ, MATCH(75,Translations!$A:$A,0), MATCH('Project Information'!$C$4,Translations!$D$1:$ZZ$1,0))</f>
        <v/>
      </c>
      <c r="BL32" s="38">
        <f>IF(OR(TRIM(Development!$F$28)="Evet",TRIM(Development!$F$28)="Yes"),1,0)</f>
        <v/>
      </c>
      <c r="BM32" s="38" t="n">
        <v>3</v>
      </c>
      <c r="BN32" s="38">
        <f>BL32*BM32</f>
        <v/>
      </c>
    </row>
    <row r="33" ht="15" customHeight="1" s="39">
      <c r="A33" s="38">
        <f>'Project Definitions'!$D$33</f>
        <v/>
      </c>
      <c r="B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Days'!$AA:$AA,0),MATCH(B$1,'Fixed Days'!$B$3:$P$3,0)),0)*IFERROR(IF(OR(TRIM("")="Evet",TRIM("")="Yes"),MAX(N('Module Selection'!$C33),1),1),1)+IFERROR(SUMIFS($BF$2:$BF$700,$BB$2:$BB$700,$A33,$BC$2:$BC$700,B$1),0)+0))</f>
        <v/>
      </c>
      <c r="C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Days'!$AA:$AA,0),MATCH(C$1,'Fixed Days'!$B$3:$P$3,0)),0)*IFERROR(IF(OR(TRIM("")="Evet",TRIM("")="Yes"),MAX(N('Module Selection'!$C33),1),1),1)+IFERROR(SUMIFS($BF$2:$BF$700,$BB$2:$BB$700,$A33,$BC$2:$BC$700,C$1),0)+0))</f>
        <v/>
      </c>
      <c r="D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Days'!$AA:$AA,0),MATCH(D$1,'Fixed Days'!$B$3:$P$3,0)),0)*IFERROR(IF(OR(TRIM("")="Evet",TRIM("")="Yes"),MAX(N('Module Selection'!$C33),1),1),1)+IFERROR(SUMIFS($BF$2:$BF$700,$BB$2:$BB$700,$A33,$BC$2:$BC$700,D$1),0)+0))</f>
        <v/>
      </c>
      <c r="E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Days'!$AA:$AA,0),MATCH(E$1,'Fixed Days'!$B$3:$P$3,0)),0)*IFERROR(IF(OR(TRIM("")="Evet",TRIM("")="Yes"),MAX(N('Module Selection'!$C33),1),1),1)+IFERROR(SUMIFS($BF$2:$BF$700,$BB$2:$BB$700,$A33,$BC$2:$BC$700,E$1),0)+0))</f>
        <v/>
      </c>
      <c r="F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Days'!$AA:$AA,0),MATCH(F$1,'Fixed Days'!$B$3:$P$3,0)),0)*IFERROR(IF(OR(TRIM("")="Evet",TRIM("")="Yes"),MAX(N('Module Selection'!$C33),1),1),1)+IFERROR(SUMIFS($BF$2:$BF$700,$BB$2:$BB$700,$A33,$BC$2:$BC$700,F$1),0)+0))</f>
        <v/>
      </c>
      <c r="G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Days'!$AA:$AA,0),MATCH(G$1,'Fixed Days'!$B$3:$P$3,0)),0)*IFERROR(IF(OR(TRIM("")="Evet",TRIM("")="Yes"),MAX(N('Module Selection'!$C33),1),1),1)+IFERROR(SUMIFS($BF$2:$BF$700,$BB$2:$BB$700,$A33,$BC$2:$BC$700,G$1),0)+0))</f>
        <v/>
      </c>
      <c r="H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Days'!$AA:$AA,0),MATCH(H$1,'Fixed Days'!$B$3:$P$3,0)),0)*IFERROR(IF(OR(TRIM("")="Evet",TRIM("")="Yes"),MAX(N('Module Selection'!$C33),1),1),1)+IFERROR(SUMIFS($BF$2:$BF$700,$BB$2:$BB$700,$A33,$BC$2:$BC$700,H$1),0)+0))</f>
        <v/>
      </c>
      <c r="I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Days'!$AA:$AA,0),MATCH(I$1,'Fixed Days'!$B$3:$P$3,0)),0)*IFERROR(IF(OR(TRIM("")="Evet",TRIM("")="Yes"),MAX(N('Module Selection'!$C33),1),1),1)+IFERROR(SUMIFS($BF$2:$BF$700,$BB$2:$BB$700,$A33,$BC$2:$BC$700,I$1),0)+0))</f>
        <v/>
      </c>
      <c r="J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Days'!$AA:$AA,0),MATCH(J$1,'Fixed Days'!$B$3:$P$3,0)),0)*IFERROR(IF(OR(TRIM("")="Evet",TRIM("")="Yes"),MAX(N('Module Selection'!$C33),1),1),1)+IFERROR(SUMIFS($BF$2:$BF$700,$BB$2:$BB$700,$A33,$BC$2:$BC$700,J$1),0)+0))</f>
        <v/>
      </c>
      <c r="K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Days'!$AA:$AA,0),MATCH(K$1,'Fixed Days'!$B$3:$P$3,0)),0)*IFERROR(IF(OR(TRIM("")="Evet",TRIM("")="Yes"),MAX(N('Module Selection'!$C33),1),1),1)+IFERROR(SUMIFS($BF$2:$BF$700,$BB$2:$BB$700,$A33,$BC$2:$BC$700,K$1),0)+0))</f>
        <v/>
      </c>
      <c r="L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Days'!$AA:$AA,0),MATCH(L$1,'Fixed Days'!$B$3:$P$3,0)),0)*IFERROR(IF(OR(TRIM("")="Evet",TRIM("")="Yes"),MAX(N('Module Selection'!$C33),1),1),1)+IFERROR(SUMIFS($BF$2:$BF$700,$BB$2:$BB$700,$A33,$BC$2:$BC$700,L$1),0)+0))</f>
        <v/>
      </c>
      <c r="M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Days'!$AA:$AA,0),MATCH(M$1,'Fixed Days'!$B$3:$P$3,0)),0)*IFERROR(IF(OR(TRIM("")="Evet",TRIM("")="Yes"),MAX(N('Module Selection'!$C33),1),1),1)+IFERROR(SUMIFS($BF$2:$BF$700,$BB$2:$BB$700,$A33,$BC$2:$BC$700,M$1),0)+0))</f>
        <v/>
      </c>
      <c r="N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Days'!$AA:$AA,0),MATCH(N$1,'Fixed Days'!$B$3:$P$3,0)),0)*IFERROR(IF(OR(TRIM("")="Evet",TRIM("")="Yes"),MAX(N('Module Selection'!$C33),1),1),1)+IFERROR(SUMIFS($BF$2:$BF$700,$BB$2:$BB$700,$A33,$BC$2:$BC$700,N$1),0)+0))</f>
        <v/>
      </c>
      <c r="O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Days'!$AA:$AA,0),MATCH(O$1,'Fixed Days'!$B$3:$P$3,0)),0)*IFERROR(IF(OR(TRIM("")="Evet",TRIM("")="Yes"),MAX(N('Module Selection'!$C33),1),1),1)+IFERROR(SUMIFS($BF$2:$BF$700,$BB$2:$BB$700,$A33,$BC$2:$BC$700,O$1),0)+IFERROR(INDEX('Hypercare &amp; Go Live Support'!$G:$G,MATCH($A33,'Hypercare &amp; Go Live Support'!$A:$A,0)),0)))</f>
        <v/>
      </c>
      <c r="P33" s="38">
        <f>IF(AND('Module Selection'!$B33&lt;&gt;"Var",'Module Selection'!$B33&lt;&gt;"Include"),"",IF($A33="","",IFERROR(INDEX('Fixed Days'!$B:$P,MATCH('Project Information'!$C$11&amp;"|"&amp;IF(Scope!$J$9="S","SMALL",IF(Scope!$J$9="M","MEDIUM",IF(Scope!$J$9="L","LARGE","X-LARGE")))&amp;"|"&amp;$A33,'Fixed Days'!$AA:$AA,0),MATCH(P$1,'Fixed Days'!$B$3:$P$3,0)),0)*IFERROR(IF(OR(TRIM("")="Evet",TRIM("")="Yes"),MAX(N('Module Selection'!$C33),1),1),1)+IFERROR(SUMIFS($BF$2:$BF$700,$BB$2:$BB$700,$A33,$BC$2:$BC$700,P$1),0)+IFERROR(INDEX('Hypercare &amp; Go Live Support'!$F:$F,MATCH($A33,'Hypercare &amp; Go Live Support'!$A:$A,0)),0)))</f>
        <v/>
      </c>
      <c r="Q33" s="38">
        <f>SUM(B33:P33)</f>
        <v/>
      </c>
      <c r="AZ33" s="38">
        <f>INDEX(Translations!$D:$ZZ, MATCH(310,Translations!$A:$A,0), MATCH('Project Information'!$C$4,Translations!$D$1:$ZZ$1,0))</f>
        <v/>
      </c>
      <c r="BA33" s="38">
        <f>INDEX(Translations!$D:$ZZ, MATCH(189,Translations!$A:$A,0), MATCH('Project Information'!$C$4,Translations!$D$1:$ZZ$1,0))</f>
        <v/>
      </c>
      <c r="BB33" s="38">
        <f>INDEX(Translations!$D:$ZZ, MATCH(334,Translations!$A:$A,0), MATCH('Project Information'!$C$4,Translations!$D$1:$ZZ$1,0))</f>
        <v/>
      </c>
      <c r="BC33" s="38">
        <f>INDEX(Translations!$D:$ZZ, MATCH(85,Translations!$A:$A,0), MATCH('Project Information'!$C$4,Translations!$D$1:$ZZ$1,0))</f>
        <v/>
      </c>
      <c r="BD33" s="38">
        <f>IF(OR(TRIM("")="Evet",TRIM("")="Yes"),1,0)</f>
        <v/>
      </c>
      <c r="BE33" s="38" t="n">
        <v>5</v>
      </c>
      <c r="BF33" s="38">
        <f>BD33*BE33</f>
        <v/>
      </c>
      <c r="BH33" s="38">
        <f>INDEX(Translations!$D:$ZZ, MATCH(306,Translations!$A:$A,0), MATCH('Project Information'!$C$4,Translations!$D$1:$ZZ$1,0))</f>
        <v/>
      </c>
      <c r="BI33" s="38">
        <f>INDEX(Translations!$D:$ZZ, MATCH(237,Translations!$A:$A,0), MATCH('Project Information'!$C$4,Translations!$D$1:$ZZ$1,0))</f>
        <v/>
      </c>
      <c r="BJ33" s="38">
        <f>INDEX(Translations!$D:$ZZ, MATCH(338,Translations!$A:$A,0), MATCH('Project Information'!$C$4,Translations!$D$1:$ZZ$1,0))</f>
        <v/>
      </c>
      <c r="BK33" s="38">
        <f>INDEX(Translations!$D:$ZZ, MATCH(76,Translations!$A:$A,0), MATCH('Project Information'!$C$4,Translations!$D$1:$ZZ$1,0))</f>
        <v/>
      </c>
      <c r="BL33" s="38">
        <f>IF(OR(TRIM(Development!$F$28)="Evet",TRIM(Development!$F$28)="Yes"),1,0)</f>
        <v/>
      </c>
      <c r="BM33" s="38" t="n">
        <v>1</v>
      </c>
      <c r="BN33" s="38">
        <f>BL33*BM33</f>
        <v/>
      </c>
    </row>
    <row r="34" ht="15" customHeight="1" s="39">
      <c r="A34" s="38">
        <f>'Project Definitions'!$D$34</f>
        <v/>
      </c>
      <c r="B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Days'!$AA:$AA,0),MATCH(B$1,'Fixed Days'!$B$3:$P$3,0)),0)*IFERROR(IF(OR(TRIM("")="Evet",TRIM("")="Yes"),MAX(N('Module Selection'!$C34),1),1),1)+IFERROR(SUMIFS($BF$2:$BF$700,$BB$2:$BB$700,$A34,$BC$2:$BC$700,B$1),0)+0))</f>
        <v/>
      </c>
      <c r="C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Days'!$AA:$AA,0),MATCH(C$1,'Fixed Days'!$B$3:$P$3,0)),0)*IFERROR(IF(OR(TRIM("")="Evet",TRIM("")="Yes"),MAX(N('Module Selection'!$C34),1),1),1)+IFERROR(SUMIFS($BF$2:$BF$700,$BB$2:$BB$700,$A34,$BC$2:$BC$700,C$1),0)+0))</f>
        <v/>
      </c>
      <c r="D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Days'!$AA:$AA,0),MATCH(D$1,'Fixed Days'!$B$3:$P$3,0)),0)*IFERROR(IF(OR(TRIM("")="Evet",TRIM("")="Yes"),MAX(N('Module Selection'!$C34),1),1),1)+IFERROR(SUMIFS($BF$2:$BF$700,$BB$2:$BB$700,$A34,$BC$2:$BC$700,D$1),0)+0))</f>
        <v/>
      </c>
      <c r="E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Days'!$AA:$AA,0),MATCH(E$1,'Fixed Days'!$B$3:$P$3,0)),0)*IFERROR(IF(OR(TRIM("")="Evet",TRIM("")="Yes"),MAX(N('Module Selection'!$C34),1),1),1)+IFERROR(SUMIFS($BF$2:$BF$700,$BB$2:$BB$700,$A34,$BC$2:$BC$700,E$1),0)+0))</f>
        <v/>
      </c>
      <c r="F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Days'!$AA:$AA,0),MATCH(F$1,'Fixed Days'!$B$3:$P$3,0)),0)*IFERROR(IF(OR(TRIM("")="Evet",TRIM("")="Yes"),MAX(N('Module Selection'!$C34),1),1),1)+IFERROR(SUMIFS($BF$2:$BF$700,$BB$2:$BB$700,$A34,$BC$2:$BC$700,F$1),0)+0))</f>
        <v/>
      </c>
      <c r="G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Days'!$AA:$AA,0),MATCH(G$1,'Fixed Days'!$B$3:$P$3,0)),0)*IFERROR(IF(OR(TRIM("")="Evet",TRIM("")="Yes"),MAX(N('Module Selection'!$C34),1),1),1)+IFERROR(SUMIFS($BF$2:$BF$700,$BB$2:$BB$700,$A34,$BC$2:$BC$700,G$1),0)+0))</f>
        <v/>
      </c>
      <c r="H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Days'!$AA:$AA,0),MATCH(H$1,'Fixed Days'!$B$3:$P$3,0)),0)*IFERROR(IF(OR(TRIM("")="Evet",TRIM("")="Yes"),MAX(N('Module Selection'!$C34),1),1),1)+IFERROR(SUMIFS($BF$2:$BF$700,$BB$2:$BB$700,$A34,$BC$2:$BC$700,H$1),0)+0))</f>
        <v/>
      </c>
      <c r="I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Days'!$AA:$AA,0),MATCH(I$1,'Fixed Days'!$B$3:$P$3,0)),0)*IFERROR(IF(OR(TRIM("")="Evet",TRIM("")="Yes"),MAX(N('Module Selection'!$C34),1),1),1)+IFERROR(SUMIFS($BF$2:$BF$700,$BB$2:$BB$700,$A34,$BC$2:$BC$700,I$1),0)+0))</f>
        <v/>
      </c>
      <c r="J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Days'!$AA:$AA,0),MATCH(J$1,'Fixed Days'!$B$3:$P$3,0)),0)*IFERROR(IF(OR(TRIM("")="Evet",TRIM("")="Yes"),MAX(N('Module Selection'!$C34),1),1),1)+IFERROR(SUMIFS($BF$2:$BF$700,$BB$2:$BB$700,$A34,$BC$2:$BC$700,J$1),0)+0))</f>
        <v/>
      </c>
      <c r="K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Days'!$AA:$AA,0),MATCH(K$1,'Fixed Days'!$B$3:$P$3,0)),0)*IFERROR(IF(OR(TRIM("")="Evet",TRIM("")="Yes"),MAX(N('Module Selection'!$C34),1),1),1)+IFERROR(SUMIFS($BF$2:$BF$700,$BB$2:$BB$700,$A34,$BC$2:$BC$700,K$1),0)+0))</f>
        <v/>
      </c>
      <c r="L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Days'!$AA:$AA,0),MATCH(L$1,'Fixed Days'!$B$3:$P$3,0)),0)*IFERROR(IF(OR(TRIM("")="Evet",TRIM("")="Yes"),MAX(N('Module Selection'!$C34),1),1),1)+IFERROR(SUMIFS($BF$2:$BF$700,$BB$2:$BB$700,$A34,$BC$2:$BC$700,L$1),0)+0))</f>
        <v/>
      </c>
      <c r="M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Days'!$AA:$AA,0),MATCH(M$1,'Fixed Days'!$B$3:$P$3,0)),0)*IFERROR(IF(OR(TRIM("")="Evet",TRIM("")="Yes"),MAX(N('Module Selection'!$C34),1),1),1)+IFERROR(SUMIFS($BF$2:$BF$700,$BB$2:$BB$700,$A34,$BC$2:$BC$700,M$1),0)+0))</f>
        <v/>
      </c>
      <c r="N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Days'!$AA:$AA,0),MATCH(N$1,'Fixed Days'!$B$3:$P$3,0)),0)*IFERROR(IF(OR(TRIM("")="Evet",TRIM("")="Yes"),MAX(N('Module Selection'!$C34),1),1),1)+IFERROR(SUMIFS($BF$2:$BF$700,$BB$2:$BB$700,$A34,$BC$2:$BC$700,N$1),0)+0))</f>
        <v/>
      </c>
      <c r="O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Days'!$AA:$AA,0),MATCH(O$1,'Fixed Days'!$B$3:$P$3,0)),0)*IFERROR(IF(OR(TRIM("")="Evet",TRIM("")="Yes"),MAX(N('Module Selection'!$C34),1),1),1)+IFERROR(SUMIFS($BF$2:$BF$700,$BB$2:$BB$700,$A34,$BC$2:$BC$700,O$1),0)+IFERROR(INDEX('Hypercare &amp; Go Live Support'!$G:$G,MATCH($A34,'Hypercare &amp; Go Live Support'!$A:$A,0)),0)))</f>
        <v/>
      </c>
      <c r="P34" s="38">
        <f>IF(AND('Module Selection'!$B34&lt;&gt;"Var",'Module Selection'!$B34&lt;&gt;"Include"),"",IF($A34="","",IFERROR(INDEX('Fixed Days'!$B:$P,MATCH('Project Information'!$C$11&amp;"|"&amp;IF(Scope!$J$9="S","SMALL",IF(Scope!$J$9="M","MEDIUM",IF(Scope!$J$9="L","LARGE","X-LARGE")))&amp;"|"&amp;$A34,'Fixed Days'!$AA:$AA,0),MATCH(P$1,'Fixed Days'!$B$3:$P$3,0)),0)*IFERROR(IF(OR(TRIM("")="Evet",TRIM("")="Yes"),MAX(N('Module Selection'!$C34),1),1),1)+IFERROR(SUMIFS($BF$2:$BF$700,$BB$2:$BB$700,$A34,$BC$2:$BC$700,P$1),0)+IFERROR(INDEX('Hypercare &amp; Go Live Support'!$F:$F,MATCH($A34,'Hypercare &amp; Go Live Support'!$A:$A,0)),0)))</f>
        <v/>
      </c>
      <c r="Q34" s="38">
        <f>SUM(B34:P34)</f>
        <v/>
      </c>
      <c r="AZ34" s="38">
        <f>INDEX(Translations!$D:$ZZ, MATCH(310,Translations!$A:$A,0), MATCH('Project Information'!$C$4,Translations!$D$1:$ZZ$1,0))</f>
        <v/>
      </c>
      <c r="BA34" s="38">
        <f>INDEX(Translations!$D:$ZZ, MATCH(189,Translations!$A:$A,0), MATCH('Project Information'!$C$4,Translations!$D$1:$ZZ$1,0))</f>
        <v/>
      </c>
      <c r="BB34" s="38">
        <f>INDEX(Translations!$D:$ZZ, MATCH(335,Translations!$A:$A,0), MATCH('Project Information'!$C$4,Translations!$D$1:$ZZ$1,0))</f>
        <v/>
      </c>
      <c r="BC34" s="38">
        <f>INDEX(Translations!$D:$ZZ, MATCH(85,Translations!$A:$A,0), MATCH('Project Information'!$C$4,Translations!$D$1:$ZZ$1,0))</f>
        <v/>
      </c>
      <c r="BD34" s="38">
        <f>IF(OR(TRIM("")="Evet",TRIM("")="Yes"),1,0)</f>
        <v/>
      </c>
      <c r="BE34" s="38" t="n">
        <v>5</v>
      </c>
      <c r="BF34" s="38">
        <f>BD34*BE34</f>
        <v/>
      </c>
      <c r="BH34" s="38">
        <f>INDEX(Translations!$D:$ZZ, MATCH(306,Translations!$A:$A,0), MATCH('Project Information'!$C$4,Translations!$D$1:$ZZ$1,0))</f>
        <v/>
      </c>
      <c r="BI34" s="38">
        <f>INDEX(Translations!$D:$ZZ, MATCH(237,Translations!$A:$A,0), MATCH('Project Information'!$C$4,Translations!$D$1:$ZZ$1,0))</f>
        <v/>
      </c>
      <c r="BJ34" s="38">
        <f>INDEX(Translations!$D:$ZZ, MATCH(338,Translations!$A:$A,0), MATCH('Project Information'!$C$4,Translations!$D$1:$ZZ$1,0))</f>
        <v/>
      </c>
      <c r="BK34" s="38">
        <f>INDEX(Translations!$D:$ZZ, MATCH(79,Translations!$A:$A,0), MATCH('Project Information'!$C$4,Translations!$D$1:$ZZ$1,0))</f>
        <v/>
      </c>
      <c r="BL34" s="38">
        <f>IF(OR(TRIM(Development!$F$28)="Evet",TRIM(Development!$F$28)="Yes"),1,0)</f>
        <v/>
      </c>
      <c r="BM34" s="38" t="n">
        <v>2</v>
      </c>
      <c r="BN34" s="38">
        <f>BL34*BM34</f>
        <v/>
      </c>
    </row>
    <row r="35" ht="15" customHeight="1" s="39">
      <c r="A35" s="38">
        <f>'Project Definitions'!$D$35</f>
        <v/>
      </c>
      <c r="B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Days'!$AA:$AA,0),MATCH(B$1,'Fixed Days'!$B$3:$P$3,0)),0)*IFERROR(IF(OR(TRIM("")="Evet",TRIM("")="Yes"),MAX(N('Module Selection'!$C35),1),1),1)+IFERROR(SUMIFS($BF$2:$BF$700,$BB$2:$BB$700,$A35,$BC$2:$BC$700,B$1),0)+0))</f>
        <v/>
      </c>
      <c r="C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Days'!$AA:$AA,0),MATCH(C$1,'Fixed Days'!$B$3:$P$3,0)),0)*IFERROR(IF(OR(TRIM("")="Evet",TRIM("")="Yes"),MAX(N('Module Selection'!$C35),1),1),1)+IFERROR(SUMIFS($BF$2:$BF$700,$BB$2:$BB$700,$A35,$BC$2:$BC$700,C$1),0)+0))</f>
        <v/>
      </c>
      <c r="D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Days'!$AA:$AA,0),MATCH(D$1,'Fixed Days'!$B$3:$P$3,0)),0)*IFERROR(IF(OR(TRIM("")="Evet",TRIM("")="Yes"),MAX(N('Module Selection'!$C35),1),1),1)+IFERROR(SUMIFS($BF$2:$BF$700,$BB$2:$BB$700,$A35,$BC$2:$BC$700,D$1),0)+0))</f>
        <v/>
      </c>
      <c r="E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Days'!$AA:$AA,0),MATCH(E$1,'Fixed Days'!$B$3:$P$3,0)),0)*IFERROR(IF(OR(TRIM("")="Evet",TRIM("")="Yes"),MAX(N('Module Selection'!$C35),1),1),1)+IFERROR(SUMIFS($BF$2:$BF$700,$BB$2:$BB$700,$A35,$BC$2:$BC$700,E$1),0)+0))</f>
        <v/>
      </c>
      <c r="F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Days'!$AA:$AA,0),MATCH(F$1,'Fixed Days'!$B$3:$P$3,0)),0)*IFERROR(IF(OR(TRIM("")="Evet",TRIM("")="Yes"),MAX(N('Module Selection'!$C35),1),1),1)+IFERROR(SUMIFS($BF$2:$BF$700,$BB$2:$BB$700,$A35,$BC$2:$BC$700,F$1),0)+0))</f>
        <v/>
      </c>
      <c r="G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Days'!$AA:$AA,0),MATCH(G$1,'Fixed Days'!$B$3:$P$3,0)),0)*IFERROR(IF(OR(TRIM("")="Evet",TRIM("")="Yes"),MAX(N('Module Selection'!$C35),1),1),1)+IFERROR(SUMIFS($BF$2:$BF$700,$BB$2:$BB$700,$A35,$BC$2:$BC$700,G$1),0)+0))</f>
        <v/>
      </c>
      <c r="H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Days'!$AA:$AA,0),MATCH(H$1,'Fixed Days'!$B$3:$P$3,0)),0)*IFERROR(IF(OR(TRIM("")="Evet",TRIM("")="Yes"),MAX(N('Module Selection'!$C35),1),1),1)+IFERROR(SUMIFS($BF$2:$BF$700,$BB$2:$BB$700,$A35,$BC$2:$BC$700,H$1),0)+0))</f>
        <v/>
      </c>
      <c r="I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Days'!$AA:$AA,0),MATCH(I$1,'Fixed Days'!$B$3:$P$3,0)),0)*IFERROR(IF(OR(TRIM("")="Evet",TRIM("")="Yes"),MAX(N('Module Selection'!$C35),1),1),1)+IFERROR(SUMIFS($BF$2:$BF$700,$BB$2:$BB$700,$A35,$BC$2:$BC$700,I$1),0)+0))</f>
        <v/>
      </c>
      <c r="J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Days'!$AA:$AA,0),MATCH(J$1,'Fixed Days'!$B$3:$P$3,0)),0)*IFERROR(IF(OR(TRIM("")="Evet",TRIM("")="Yes"),MAX(N('Module Selection'!$C35),1),1),1)+IFERROR(SUMIFS($BF$2:$BF$700,$BB$2:$BB$700,$A35,$BC$2:$BC$700,J$1),0)+0))</f>
        <v/>
      </c>
      <c r="K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Days'!$AA:$AA,0),MATCH(K$1,'Fixed Days'!$B$3:$P$3,0)),0)*IFERROR(IF(OR(TRIM("")="Evet",TRIM("")="Yes"),MAX(N('Module Selection'!$C35),1),1),1)+IFERROR(SUMIFS($BF$2:$BF$700,$BB$2:$BB$700,$A35,$BC$2:$BC$700,K$1),0)+0))</f>
        <v/>
      </c>
      <c r="L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Days'!$AA:$AA,0),MATCH(L$1,'Fixed Days'!$B$3:$P$3,0)),0)*IFERROR(IF(OR(TRIM("")="Evet",TRIM("")="Yes"),MAX(N('Module Selection'!$C35),1),1),1)+IFERROR(SUMIFS($BF$2:$BF$700,$BB$2:$BB$700,$A35,$BC$2:$BC$700,L$1),0)+0))</f>
        <v/>
      </c>
      <c r="M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Days'!$AA:$AA,0),MATCH(M$1,'Fixed Days'!$B$3:$P$3,0)),0)*IFERROR(IF(OR(TRIM("")="Evet",TRIM("")="Yes"),MAX(N('Module Selection'!$C35),1),1),1)+IFERROR(SUMIFS($BF$2:$BF$700,$BB$2:$BB$700,$A35,$BC$2:$BC$700,M$1),0)+0))</f>
        <v/>
      </c>
      <c r="N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Days'!$AA:$AA,0),MATCH(N$1,'Fixed Days'!$B$3:$P$3,0)),0)*IFERROR(IF(OR(TRIM("")="Evet",TRIM("")="Yes"),MAX(N('Module Selection'!$C35),1),1),1)+IFERROR(SUMIFS($BF$2:$BF$700,$BB$2:$BB$700,$A35,$BC$2:$BC$700,N$1),0)+0))</f>
        <v/>
      </c>
      <c r="O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Days'!$AA:$AA,0),MATCH(O$1,'Fixed Days'!$B$3:$P$3,0)),0)*IFERROR(IF(OR(TRIM("")="Evet",TRIM("")="Yes"),MAX(N('Module Selection'!$C35),1),1),1)+IFERROR(SUMIFS($BF$2:$BF$700,$BB$2:$BB$700,$A35,$BC$2:$BC$700,O$1),0)+IFERROR(INDEX('Hypercare &amp; Go Live Support'!$G:$G,MATCH($A35,'Hypercare &amp; Go Live Support'!$A:$A,0)),0)))</f>
        <v/>
      </c>
      <c r="P35" s="38">
        <f>IF(AND('Module Selection'!$B35&lt;&gt;"Var",'Module Selection'!$B35&lt;&gt;"Include"),"",IF($A35="","",IFERROR(INDEX('Fixed Days'!$B:$P,MATCH('Project Information'!$C$11&amp;"|"&amp;IF(Scope!$J$9="S","SMALL",IF(Scope!$J$9="M","MEDIUM",IF(Scope!$J$9="L","LARGE","X-LARGE")))&amp;"|"&amp;$A35,'Fixed Days'!$AA:$AA,0),MATCH(P$1,'Fixed Days'!$B$3:$P$3,0)),0)*IFERROR(IF(OR(TRIM("")="Evet",TRIM("")="Yes"),MAX(N('Module Selection'!$C35),1),1),1)+IFERROR(SUMIFS($BF$2:$BF$700,$BB$2:$BB$700,$A35,$BC$2:$BC$700,P$1),0)+IFERROR(INDEX('Hypercare &amp; Go Live Support'!$F:$F,MATCH($A35,'Hypercare &amp; Go Live Support'!$A:$A,0)),0)))</f>
        <v/>
      </c>
      <c r="Q35" s="38">
        <f>SUM(B35:P35)</f>
        <v/>
      </c>
      <c r="AZ35" s="38">
        <f>INDEX(Translations!$D:$ZZ, MATCH(310,Translations!$A:$A,0), MATCH('Project Information'!$C$4,Translations!$D$1:$ZZ$1,0))</f>
        <v/>
      </c>
      <c r="BA35" s="38">
        <f>INDEX(Translations!$D:$ZZ, MATCH(189,Translations!$A:$A,0), MATCH('Project Information'!$C$4,Translations!$D$1:$ZZ$1,0))</f>
        <v/>
      </c>
      <c r="BB35" s="38">
        <f>INDEX(Translations!$D:$ZZ, MATCH(336,Translations!$A:$A,0), MATCH('Project Information'!$C$4,Translations!$D$1:$ZZ$1,0))</f>
        <v/>
      </c>
      <c r="BC35" s="38">
        <f>INDEX(Translations!$D:$ZZ, MATCH(85,Translations!$A:$A,0), MATCH('Project Information'!$C$4,Translations!$D$1:$ZZ$1,0))</f>
        <v/>
      </c>
      <c r="BD35" s="38">
        <f>IF(OR(TRIM("")="Evet",TRIM("")="Yes"),1,0)</f>
        <v/>
      </c>
      <c r="BE35" s="38" t="n">
        <v>5</v>
      </c>
      <c r="BF35" s="38">
        <f>BD35*BE35</f>
        <v/>
      </c>
      <c r="BH35" s="38">
        <f>INDEX(Translations!$D:$ZZ, MATCH(306,Translations!$A:$A,0), MATCH('Project Information'!$C$4,Translations!$D$1:$ZZ$1,0))</f>
        <v/>
      </c>
      <c r="BI35" s="38">
        <f>INDEX(Translations!$D:$ZZ, MATCH(235,Translations!$A:$A,0), MATCH('Project Information'!$C$4,Translations!$D$1:$ZZ$1,0))</f>
        <v/>
      </c>
      <c r="BJ35" s="38">
        <f>INDEX(Translations!$D:$ZZ, MATCH(346,Translations!$A:$A,0), MATCH('Project Information'!$C$4,Translations!$D$1:$ZZ$1,0))</f>
        <v/>
      </c>
      <c r="BK35" s="38">
        <f>INDEX(Translations!$D:$ZZ, MATCH(78,Translations!$A:$A,0), MATCH('Project Information'!$C$4,Translations!$D$1:$ZZ$1,0))</f>
        <v/>
      </c>
      <c r="BL35" s="38">
        <f>IF(OR(TRIM(Development!$F$27)="Evet",TRIM(Development!$F$27)="Yes"),1,0)</f>
        <v/>
      </c>
      <c r="BM35" s="38" t="n">
        <v>8</v>
      </c>
      <c r="BN35" s="38">
        <f>BL35*BM35</f>
        <v/>
      </c>
    </row>
    <row r="36" ht="15" customHeight="1" s="39">
      <c r="A36" s="38">
        <f>INDEX(Translations!$D:$ZZ, MATCH(91,Translations!$A:$A,0), MATCH('Project Information'!$C$4,Translations!$D$1:$ZZ$1,0))</f>
        <v/>
      </c>
      <c r="B36" s="38">
        <f>SUM(B2:B35)</f>
        <v/>
      </c>
      <c r="C36" s="38">
        <f>SUM(C2:C35)</f>
        <v/>
      </c>
      <c r="D36" s="38">
        <f>SUM(D2:D35)</f>
        <v/>
      </c>
      <c r="E36" s="38">
        <f>SUM(E2:E35)</f>
        <v/>
      </c>
      <c r="F36" s="38">
        <f>SUM(F2:F35)</f>
        <v/>
      </c>
      <c r="G36" s="38">
        <f>SUM(G2:G35)</f>
        <v/>
      </c>
      <c r="H36" s="38">
        <f>SUM(H2:H35)</f>
        <v/>
      </c>
      <c r="I36" s="38">
        <f>SUM(I2:I35)</f>
        <v/>
      </c>
      <c r="J36" s="38">
        <f>SUM(J2:J35)</f>
        <v/>
      </c>
      <c r="K36" s="38">
        <f>SUM(K2:K35)</f>
        <v/>
      </c>
      <c r="L36" s="38">
        <f>SUM(L2:L35)</f>
        <v/>
      </c>
      <c r="M36" s="38">
        <f>SUM(M2:M35)</f>
        <v/>
      </c>
      <c r="N36" s="38">
        <f>SUM(N2:N35)</f>
        <v/>
      </c>
      <c r="O36" s="38">
        <f>SUM(O2:O35)</f>
        <v/>
      </c>
      <c r="P36" s="38">
        <f>SUM(P2:P35)</f>
        <v/>
      </c>
      <c r="Q36" s="38">
        <f>SUM(Q2:Q35)</f>
        <v/>
      </c>
      <c r="AZ36" s="38">
        <f>INDEX(Translations!$D:$ZZ, MATCH(310,Translations!$A:$A,0), MATCH('Project Information'!$C$4,Translations!$D$1:$ZZ$1,0))</f>
        <v/>
      </c>
      <c r="BA36" s="38">
        <f>INDEX(Translations!$D:$ZZ, MATCH(189,Translations!$A:$A,0), MATCH('Project Information'!$C$4,Translations!$D$1:$ZZ$1,0))</f>
        <v/>
      </c>
      <c r="BB36" s="38">
        <f>INDEX(Translations!$D:$ZZ, MATCH(337,Translations!$A:$A,0), MATCH('Project Information'!$C$4,Translations!$D$1:$ZZ$1,0))</f>
        <v/>
      </c>
      <c r="BC36" s="38">
        <f>INDEX(Translations!$D:$ZZ, MATCH(85,Translations!$A:$A,0), MATCH('Project Information'!$C$4,Translations!$D$1:$ZZ$1,0))</f>
        <v/>
      </c>
      <c r="BD36" s="38">
        <f>IF(OR(TRIM("")="Evet",TRIM("")="Yes"),1,0)</f>
        <v/>
      </c>
      <c r="BE36" s="38" t="n">
        <v>5</v>
      </c>
      <c r="BF36" s="38">
        <f>BD36*BE36</f>
        <v/>
      </c>
      <c r="BH36" s="38">
        <f>INDEX(Translations!$D:$ZZ, MATCH(306,Translations!$A:$A,0), MATCH('Project Information'!$C$4,Translations!$D$1:$ZZ$1,0))</f>
        <v/>
      </c>
      <c r="BI36" s="38">
        <f>INDEX(Translations!$D:$ZZ, MATCH(235,Translations!$A:$A,0), MATCH('Project Information'!$C$4,Translations!$D$1:$ZZ$1,0))</f>
        <v/>
      </c>
      <c r="BJ36" s="38">
        <f>INDEX(Translations!$D:$ZZ, MATCH(338,Translations!$A:$A,0), MATCH('Project Information'!$C$4,Translations!$D$1:$ZZ$1,0))</f>
        <v/>
      </c>
      <c r="BK36" s="38">
        <f>INDEX(Translations!$D:$ZZ, MATCH(75,Translations!$A:$A,0), MATCH('Project Information'!$C$4,Translations!$D$1:$ZZ$1,0))</f>
        <v/>
      </c>
      <c r="BL36" s="38">
        <f>IF(OR(TRIM(Development!$F$27)="Evet",TRIM(Development!$F$27)="Yes"),1,0)</f>
        <v/>
      </c>
      <c r="BM36" s="38" t="n">
        <v>2</v>
      </c>
      <c r="BN36" s="38">
        <f>BL36*BM36</f>
        <v/>
      </c>
    </row>
    <row r="37" ht="15" customHeight="1" s="39">
      <c r="AZ37" s="38">
        <f>INDEX(Translations!$D:$ZZ, MATCH(310,Translations!$A:$A,0), MATCH('Project Information'!$C$4,Translations!$D$1:$ZZ$1,0))</f>
        <v/>
      </c>
      <c r="BA37" s="38">
        <f>INDEX(Translations!$D:$ZZ, MATCH(189,Translations!$A:$A,0), MATCH('Project Information'!$C$4,Translations!$D$1:$ZZ$1,0))</f>
        <v/>
      </c>
      <c r="BB37" s="38">
        <f>INDEX(Translations!$D:$ZZ, MATCH(338,Translations!$A:$A,0), MATCH('Project Information'!$C$4,Translations!$D$1:$ZZ$1,0))</f>
        <v/>
      </c>
      <c r="BC37" s="38">
        <f>INDEX(Translations!$D:$ZZ, MATCH(85,Translations!$A:$A,0), MATCH('Project Information'!$C$4,Translations!$D$1:$ZZ$1,0))</f>
        <v/>
      </c>
      <c r="BD37" s="38">
        <f>IF(OR(TRIM("")="Evet",TRIM("")="Yes"),1,0)</f>
        <v/>
      </c>
      <c r="BE37" s="38" t="n">
        <v>5</v>
      </c>
      <c r="BF37" s="38">
        <f>BD37*BE37</f>
        <v/>
      </c>
      <c r="BH37" s="38">
        <f>INDEX(Translations!$D:$ZZ, MATCH(306,Translations!$A:$A,0), MATCH('Project Information'!$C$4,Translations!$D$1:$ZZ$1,0))</f>
        <v/>
      </c>
      <c r="BI37" s="38">
        <f>INDEX(Translations!$D:$ZZ, MATCH(235,Translations!$A:$A,0), MATCH('Project Information'!$C$4,Translations!$D$1:$ZZ$1,0))</f>
        <v/>
      </c>
      <c r="BJ37" s="38">
        <f>INDEX(Translations!$D:$ZZ, MATCH(338,Translations!$A:$A,0), MATCH('Project Information'!$C$4,Translations!$D$1:$ZZ$1,0))</f>
        <v/>
      </c>
      <c r="BK37" s="38">
        <f>INDEX(Translations!$D:$ZZ, MATCH(76,Translations!$A:$A,0), MATCH('Project Information'!$C$4,Translations!$D$1:$ZZ$1,0))</f>
        <v/>
      </c>
      <c r="BL37" s="38">
        <f>IF(OR(TRIM(Development!$F$27)="Evet",TRIM(Development!$F$27)="Yes"),1,0)</f>
        <v/>
      </c>
      <c r="BM37" s="38" t="n">
        <v>1</v>
      </c>
      <c r="BN37" s="38">
        <f>BL37*BM37</f>
        <v/>
      </c>
    </row>
    <row r="38" ht="15" customHeight="1" s="39">
      <c r="A38" s="38">
        <f>INDEX(Translations!$D:$ZZ, MATCH(321,Translations!$A:$A,0), MATCH('Project Information'!$C$4,Translations!$D$1:$ZZ$1,0))</f>
        <v/>
      </c>
      <c r="AZ38" s="38">
        <f>INDEX(Translations!$D:$ZZ, MATCH(310,Translations!$A:$A,0), MATCH('Project Information'!$C$4,Translations!$D$1:$ZZ$1,0))</f>
        <v/>
      </c>
      <c r="BA38" s="38">
        <f>INDEX(Translations!$D:$ZZ, MATCH(189,Translations!$A:$A,0), MATCH('Project Information'!$C$4,Translations!$D$1:$ZZ$1,0))</f>
        <v/>
      </c>
      <c r="BB38" s="38">
        <f>INDEX(Translations!$D:$ZZ, MATCH(339,Translations!$A:$A,0), MATCH('Project Information'!$C$4,Translations!$D$1:$ZZ$1,0))</f>
        <v/>
      </c>
      <c r="BC38" s="38">
        <f>INDEX(Translations!$D:$ZZ, MATCH(85,Translations!$A:$A,0), MATCH('Project Information'!$C$4,Translations!$D$1:$ZZ$1,0))</f>
        <v/>
      </c>
      <c r="BD38" s="38">
        <f>IF(OR(TRIM("")="Evet",TRIM("")="Yes"),1,0)</f>
        <v/>
      </c>
      <c r="BE38" s="38" t="n">
        <v>5</v>
      </c>
      <c r="BF38" s="38">
        <f>BD38*BE38</f>
        <v/>
      </c>
      <c r="BH38" s="38">
        <f>INDEX(Translations!$D:$ZZ, MATCH(306,Translations!$A:$A,0), MATCH('Project Information'!$C$4,Translations!$D$1:$ZZ$1,0))</f>
        <v/>
      </c>
      <c r="BI38" s="38">
        <f>INDEX(Translations!$D:$ZZ, MATCH(235,Translations!$A:$A,0), MATCH('Project Information'!$C$4,Translations!$D$1:$ZZ$1,0))</f>
        <v/>
      </c>
      <c r="BJ38" s="38">
        <f>INDEX(Translations!$D:$ZZ, MATCH(338,Translations!$A:$A,0), MATCH('Project Information'!$C$4,Translations!$D$1:$ZZ$1,0))</f>
        <v/>
      </c>
      <c r="BK38" s="38">
        <f>INDEX(Translations!$D:$ZZ, MATCH(79,Translations!$A:$A,0), MATCH('Project Information'!$C$4,Translations!$D$1:$ZZ$1,0))</f>
        <v/>
      </c>
      <c r="BL38" s="38">
        <f>IF(OR(TRIM(Development!$F$27)="Evet",TRIM(Development!$F$27)="Yes"),1,0)</f>
        <v/>
      </c>
      <c r="BM38" s="38" t="n">
        <v>3</v>
      </c>
      <c r="BN38" s="38">
        <f>BL38*BM38</f>
        <v/>
      </c>
    </row>
    <row r="39" ht="15" customHeight="1" s="39">
      <c r="A39" s="38">
        <f>INDEX(Translations!$D:$ZZ, MATCH(323,Translations!$A:$A,0), MATCH('Project Information'!$C$4,Translations!$D$1:$ZZ$1,0))</f>
        <v/>
      </c>
      <c r="B39" s="38">
        <f>B$1</f>
        <v/>
      </c>
      <c r="C39" s="38">
        <f>C$1</f>
        <v/>
      </c>
      <c r="D39" s="38">
        <f>D$1</f>
        <v/>
      </c>
      <c r="E39" s="38">
        <f>E$1</f>
        <v/>
      </c>
      <c r="F39" s="38">
        <f>F$1</f>
        <v/>
      </c>
      <c r="G39" s="38">
        <f>G$1</f>
        <v/>
      </c>
      <c r="H39" s="38">
        <f>H$1</f>
        <v/>
      </c>
      <c r="I39" s="38">
        <f>I$1</f>
        <v/>
      </c>
      <c r="J39" s="38">
        <f>J$1</f>
        <v/>
      </c>
      <c r="K39" s="38">
        <f>K$1</f>
        <v/>
      </c>
      <c r="L39" s="38">
        <f>L$1</f>
        <v/>
      </c>
      <c r="M39" s="38">
        <f>M$1</f>
        <v/>
      </c>
      <c r="N39" s="38">
        <f>N$1</f>
        <v/>
      </c>
      <c r="O39" s="38">
        <f>O$1</f>
        <v/>
      </c>
      <c r="P39" s="38">
        <f>P$1</f>
        <v/>
      </c>
      <c r="Q39" s="38">
        <f>Q$1</f>
        <v/>
      </c>
      <c r="AZ39" s="38">
        <f>INDEX(Translations!$D:$ZZ, MATCH(310,Translations!$A:$A,0), MATCH('Project Information'!$C$4,Translations!$D$1:$ZZ$1,0))</f>
        <v/>
      </c>
      <c r="BA39" s="38">
        <f>INDEX(Translations!$D:$ZZ, MATCH(189,Translations!$A:$A,0), MATCH('Project Information'!$C$4,Translations!$D$1:$ZZ$1,0))</f>
        <v/>
      </c>
      <c r="BB39" s="38">
        <f>INDEX(Translations!$D:$ZZ, MATCH(340,Translations!$A:$A,0), MATCH('Project Information'!$C$4,Translations!$D$1:$ZZ$1,0))</f>
        <v/>
      </c>
      <c r="BC39" s="38">
        <f>INDEX(Translations!$D:$ZZ, MATCH(85,Translations!$A:$A,0), MATCH('Project Information'!$C$4,Translations!$D$1:$ZZ$1,0))</f>
        <v/>
      </c>
      <c r="BD39" s="38">
        <f>IF(OR(TRIM("")="Evet",TRIM("")="Yes"),1,0)</f>
        <v/>
      </c>
      <c r="BE39" s="38" t="n">
        <v>5</v>
      </c>
      <c r="BF39" s="38">
        <f>BD39*BE39</f>
        <v/>
      </c>
      <c r="BH39" s="38">
        <f>INDEX(Translations!$D:$ZZ, MATCH(306,Translations!$A:$A,0), MATCH('Project Information'!$C$4,Translations!$D$1:$ZZ$1,0))</f>
        <v/>
      </c>
      <c r="BI39" s="38">
        <f>INDEX(Translations!$D:$ZZ, MATCH(227,Translations!$A:$A,0), MATCH('Project Information'!$C$4,Translations!$D$1:$ZZ$1,0))</f>
        <v/>
      </c>
      <c r="BJ39" s="38">
        <f>INDEX(Translations!$D:$ZZ, MATCH(346,Translations!$A:$A,0), MATCH('Project Information'!$C$4,Translations!$D$1:$ZZ$1,0))</f>
        <v/>
      </c>
      <c r="BK39" s="38">
        <f>INDEX(Translations!$D:$ZZ, MATCH(78,Translations!$A:$A,0), MATCH('Project Information'!$C$4,Translations!$D$1:$ZZ$1,0))</f>
        <v/>
      </c>
      <c r="BL39" s="38">
        <f>MAX(N(Development!$G$24),0)</f>
        <v/>
      </c>
      <c r="BM39" s="38" t="n">
        <v>10</v>
      </c>
      <c r="BN39" s="38">
        <f>BL39*BM39</f>
        <v/>
      </c>
    </row>
    <row r="40" ht="15" customHeight="1" s="39">
      <c r="A40" s="38">
        <f>IF(OR('Localization Selection'!$B$4="Var",'Localization Selection'!$B$4="Include"),'Localization Selection'!$A$4,"")</f>
        <v/>
      </c>
      <c r="B40" s="38">
        <f>IF($A40="","",IFERROR(INDEX('Localization Efforts'!$B:$P,MATCH($A40,'Localization Efforts'!$A:$A,0),MATCH(B$39,'Localization Efforts'!$B$3:$P$3,0)),0))</f>
        <v/>
      </c>
      <c r="C40" s="38">
        <f>IF($A40="","",IFERROR(INDEX('Localization Efforts'!$B:$P,MATCH($A40,'Localization Efforts'!$A:$A,0),MATCH(C$39,'Localization Efforts'!$B$3:$P$3,0)),0))</f>
        <v/>
      </c>
      <c r="D40" s="38">
        <f>IF($A40="","",IFERROR(INDEX('Localization Efforts'!$B:$P,MATCH($A40,'Localization Efforts'!$A:$A,0),MATCH(D$39,'Localization Efforts'!$B$3:$P$3,0)),0))</f>
        <v/>
      </c>
      <c r="E40" s="38">
        <f>IF($A40="","",IFERROR(INDEX('Localization Efforts'!$B:$P,MATCH($A40,'Localization Efforts'!$A:$A,0),MATCH(E$39,'Localization Efforts'!$B$3:$P$3,0)),0))</f>
        <v/>
      </c>
      <c r="F40" s="38">
        <f>IF($A40="","",IFERROR(INDEX('Localization Efforts'!$B:$P,MATCH($A40,'Localization Efforts'!$A:$A,0),MATCH(F$39,'Localization Efforts'!$B$3:$P$3,0)),0))</f>
        <v/>
      </c>
      <c r="G40" s="38">
        <f>IF($A40="","",IFERROR(INDEX('Localization Efforts'!$B:$P,MATCH($A40,'Localization Efforts'!$A:$A,0),MATCH(G$39,'Localization Efforts'!$B$3:$P$3,0)),0))</f>
        <v/>
      </c>
      <c r="H40" s="38">
        <f>IF($A40="","",IFERROR(INDEX('Localization Efforts'!$B:$P,MATCH($A40,'Localization Efforts'!$A:$A,0),MATCH(H$39,'Localization Efforts'!$B$3:$P$3,0)),0))</f>
        <v/>
      </c>
      <c r="I40" s="38">
        <f>IF($A40="","",IFERROR(INDEX('Localization Efforts'!$B:$P,MATCH($A40,'Localization Efforts'!$A:$A,0),MATCH(I$39,'Localization Efforts'!$B$3:$P$3,0)),0))</f>
        <v/>
      </c>
      <c r="J40" s="38">
        <f>IF($A40="","",IFERROR(INDEX('Localization Efforts'!$B:$P,MATCH($A40,'Localization Efforts'!$A:$A,0),MATCH(J$39,'Localization Efforts'!$B$3:$P$3,0)),0))</f>
        <v/>
      </c>
      <c r="K40" s="38">
        <f>IF($A40="","",IFERROR(INDEX('Localization Efforts'!$B:$P,MATCH($A40,'Localization Efforts'!$A:$A,0),MATCH(K$39,'Localization Efforts'!$B$3:$P$3,0)),0))</f>
        <v/>
      </c>
      <c r="L40" s="38">
        <f>IF($A40="","",IFERROR(INDEX('Localization Efforts'!$B:$P,MATCH($A40,'Localization Efforts'!$A:$A,0),MATCH(L$39,'Localization Efforts'!$B$3:$P$3,0)),0))</f>
        <v/>
      </c>
      <c r="M40" s="38">
        <f>IF($A40="","",IFERROR(INDEX('Localization Efforts'!$B:$P,MATCH($A40,'Localization Efforts'!$A:$A,0),MATCH(M$39,'Localization Efforts'!$B$3:$P$3,0)),0))</f>
        <v/>
      </c>
      <c r="N40" s="38">
        <f>IF($A40="","",IFERROR(INDEX('Localization Efforts'!$B:$P,MATCH($A40,'Localization Efforts'!$A:$A,0),MATCH(N$39,'Localization Efforts'!$B$3:$P$3,0)),0))</f>
        <v/>
      </c>
      <c r="O40" s="38">
        <f>IF($A40="","",IFERROR(INDEX('Localization Efforts'!$B:$P,MATCH($A40,'Localization Efforts'!$A:$A,0),MATCH(O$39,'Localization Efforts'!$B$3:$P$3,0)),0))</f>
        <v/>
      </c>
      <c r="P40" s="38">
        <f>IF($A40="","",IFERROR(INDEX('Localization Efforts'!$B:$P,MATCH($A40,'Localization Efforts'!$A:$A,0),MATCH(P$39,'Localization Efforts'!$B$3:$P$3,0)),0))</f>
        <v/>
      </c>
      <c r="Q40" s="38">
        <f>IF($A40="","",SUM(B40:P40))</f>
        <v/>
      </c>
      <c r="AZ40" s="38">
        <f>INDEX(Translations!$D:$ZZ, MATCH(310,Translations!$A:$A,0), MATCH('Project Information'!$C$4,Translations!$D$1:$ZZ$1,0))</f>
        <v/>
      </c>
      <c r="BA40" s="38">
        <f>INDEX(Translations!$D:$ZZ, MATCH(189,Translations!$A:$A,0), MATCH('Project Information'!$C$4,Translations!$D$1:$ZZ$1,0))</f>
        <v/>
      </c>
      <c r="BB40" s="38">
        <f>INDEX(Translations!$D:$ZZ, MATCH(341,Translations!$A:$A,0), MATCH('Project Information'!$C$4,Translations!$D$1:$ZZ$1,0))</f>
        <v/>
      </c>
      <c r="BC40" s="38">
        <f>INDEX(Translations!$D:$ZZ, MATCH(85,Translations!$A:$A,0), MATCH('Project Information'!$C$4,Translations!$D$1:$ZZ$1,0))</f>
        <v/>
      </c>
      <c r="BD40" s="38">
        <f>IF(OR(TRIM("")="Evet",TRIM("")="Yes"),1,0)</f>
        <v/>
      </c>
      <c r="BE40" s="38" t="n">
        <v>5</v>
      </c>
      <c r="BF40" s="38">
        <f>BD40*BE40</f>
        <v/>
      </c>
      <c r="BH40" s="38">
        <f>INDEX(Translations!$D:$ZZ, MATCH(306,Translations!$A:$A,0), MATCH('Project Information'!$C$4,Translations!$D$1:$ZZ$1,0))</f>
        <v/>
      </c>
      <c r="BI40" s="38">
        <f>INDEX(Translations!$D:$ZZ, MATCH(227,Translations!$A:$A,0), MATCH('Project Information'!$C$4,Translations!$D$1:$ZZ$1,0))</f>
        <v/>
      </c>
      <c r="BJ40" s="38">
        <f>INDEX(Translations!$D:$ZZ, MATCH(339,Translations!$A:$A,0), MATCH('Project Information'!$C$4,Translations!$D$1:$ZZ$1,0))</f>
        <v/>
      </c>
      <c r="BK40" s="38">
        <f>INDEX(Translations!$D:$ZZ, MATCH(75,Translations!$A:$A,0), MATCH('Project Information'!$C$4,Translations!$D$1:$ZZ$1,0))</f>
        <v/>
      </c>
      <c r="BL40" s="38">
        <f>MAX(N(Development!$G$24),0)</f>
        <v/>
      </c>
      <c r="BM40" s="38" t="n">
        <v>3</v>
      </c>
      <c r="BN40" s="38">
        <f>BL40*BM40</f>
        <v/>
      </c>
    </row>
    <row r="41" ht="15" customHeight="1" s="39">
      <c r="A41" s="38">
        <f>IF(OR('Localization Selection'!$B$5="Var",'Localization Selection'!$B$5="Include"),'Localization Selection'!$A$5,"")</f>
        <v/>
      </c>
      <c r="B41" s="38">
        <f>IF($A41="","",IFERROR(INDEX('Localization Efforts'!$B:$P,MATCH($A41,'Localization Efforts'!$A:$A,0),MATCH(B$39,'Localization Efforts'!$B$3:$P$3,0)),0))</f>
        <v/>
      </c>
      <c r="C41" s="38">
        <f>IF($A41="","",IFERROR(INDEX('Localization Efforts'!$B:$P,MATCH($A41,'Localization Efforts'!$A:$A,0),MATCH(C$39,'Localization Efforts'!$B$3:$P$3,0)),0))</f>
        <v/>
      </c>
      <c r="D41" s="38">
        <f>IF($A41="","",IFERROR(INDEX('Localization Efforts'!$B:$P,MATCH($A41,'Localization Efforts'!$A:$A,0),MATCH(D$39,'Localization Efforts'!$B$3:$P$3,0)),0))</f>
        <v/>
      </c>
      <c r="E41" s="38">
        <f>IF($A41="","",IFERROR(INDEX('Localization Efforts'!$B:$P,MATCH($A41,'Localization Efforts'!$A:$A,0),MATCH(E$39,'Localization Efforts'!$B$3:$P$3,0)),0))</f>
        <v/>
      </c>
      <c r="F41" s="38">
        <f>IF($A41="","",IFERROR(INDEX('Localization Efforts'!$B:$P,MATCH($A41,'Localization Efforts'!$A:$A,0),MATCH(F$39,'Localization Efforts'!$B$3:$P$3,0)),0))</f>
        <v/>
      </c>
      <c r="G41" s="38">
        <f>IF($A41="","",IFERROR(INDEX('Localization Efforts'!$B:$P,MATCH($A41,'Localization Efforts'!$A:$A,0),MATCH(G$39,'Localization Efforts'!$B$3:$P$3,0)),0))</f>
        <v/>
      </c>
      <c r="H41" s="38">
        <f>IF($A41="","",IFERROR(INDEX('Localization Efforts'!$B:$P,MATCH($A41,'Localization Efforts'!$A:$A,0),MATCH(H$39,'Localization Efforts'!$B$3:$P$3,0)),0))</f>
        <v/>
      </c>
      <c r="I41" s="38">
        <f>IF($A41="","",IFERROR(INDEX('Localization Efforts'!$B:$P,MATCH($A41,'Localization Efforts'!$A:$A,0),MATCH(I$39,'Localization Efforts'!$B$3:$P$3,0)),0))</f>
        <v/>
      </c>
      <c r="J41" s="38">
        <f>IF($A41="","",IFERROR(INDEX('Localization Efforts'!$B:$P,MATCH($A41,'Localization Efforts'!$A:$A,0),MATCH(J$39,'Localization Efforts'!$B$3:$P$3,0)),0))</f>
        <v/>
      </c>
      <c r="K41" s="38">
        <f>IF($A41="","",IFERROR(INDEX('Localization Efforts'!$B:$P,MATCH($A41,'Localization Efforts'!$A:$A,0),MATCH(K$39,'Localization Efforts'!$B$3:$P$3,0)),0))</f>
        <v/>
      </c>
      <c r="L41" s="38">
        <f>IF($A41="","",IFERROR(INDEX('Localization Efforts'!$B:$P,MATCH($A41,'Localization Efforts'!$A:$A,0),MATCH(L$39,'Localization Efforts'!$B$3:$P$3,0)),0))</f>
        <v/>
      </c>
      <c r="M41" s="38">
        <f>IF($A41="","",IFERROR(INDEX('Localization Efforts'!$B:$P,MATCH($A41,'Localization Efforts'!$A:$A,0),MATCH(M$39,'Localization Efforts'!$B$3:$P$3,0)),0))</f>
        <v/>
      </c>
      <c r="N41" s="38">
        <f>IF($A41="","",IFERROR(INDEX('Localization Efforts'!$B:$P,MATCH($A41,'Localization Efforts'!$A:$A,0),MATCH(N$39,'Localization Efforts'!$B$3:$P$3,0)),0))</f>
        <v/>
      </c>
      <c r="O41" s="38">
        <f>IF($A41="","",IFERROR(INDEX('Localization Efforts'!$B:$P,MATCH($A41,'Localization Efforts'!$A:$A,0),MATCH(O$39,'Localization Efforts'!$B$3:$P$3,0)),0))</f>
        <v/>
      </c>
      <c r="P41" s="38">
        <f>IF($A41="","",IFERROR(INDEX('Localization Efforts'!$B:$P,MATCH($A41,'Localization Efforts'!$A:$A,0),MATCH(P$39,'Localization Efforts'!$B$3:$P$3,0)),0))</f>
        <v/>
      </c>
      <c r="Q41" s="38">
        <f>IF($A41="","",SUM(B41:P41))</f>
        <v/>
      </c>
      <c r="AZ41" s="38">
        <f>INDEX(Translations!$D:$ZZ, MATCH(310,Translations!$A:$A,0), MATCH('Project Information'!$C$4,Translations!$D$1:$ZZ$1,0))</f>
        <v/>
      </c>
      <c r="BA41" s="38">
        <f>INDEX(Translations!$D:$ZZ, MATCH(189,Translations!$A:$A,0), MATCH('Project Information'!$C$4,Translations!$D$1:$ZZ$1,0))</f>
        <v/>
      </c>
      <c r="BB41" s="38">
        <f>INDEX(Translations!$D:$ZZ, MATCH(342,Translations!$A:$A,0), MATCH('Project Information'!$C$4,Translations!$D$1:$ZZ$1,0))</f>
        <v/>
      </c>
      <c r="BC41" s="38">
        <f>INDEX(Translations!$D:$ZZ, MATCH(85,Translations!$A:$A,0), MATCH('Project Information'!$C$4,Translations!$D$1:$ZZ$1,0))</f>
        <v/>
      </c>
      <c r="BD41" s="38">
        <f>IF(OR(TRIM("")="Evet",TRIM("")="Yes"),1,0)</f>
        <v/>
      </c>
      <c r="BE41" s="38" t="n">
        <v>5</v>
      </c>
      <c r="BF41" s="38">
        <f>BD41*BE41</f>
        <v/>
      </c>
      <c r="BH41" s="38">
        <f>INDEX(Translations!$D:$ZZ, MATCH(306,Translations!$A:$A,0), MATCH('Project Information'!$C$4,Translations!$D$1:$ZZ$1,0))</f>
        <v/>
      </c>
      <c r="BI41" s="38">
        <f>INDEX(Translations!$D:$ZZ, MATCH(227,Translations!$A:$A,0), MATCH('Project Information'!$C$4,Translations!$D$1:$ZZ$1,0))</f>
        <v/>
      </c>
      <c r="BJ41" s="38">
        <f>INDEX(Translations!$D:$ZZ, MATCH(339,Translations!$A:$A,0), MATCH('Project Information'!$C$4,Translations!$D$1:$ZZ$1,0))</f>
        <v/>
      </c>
      <c r="BK41" s="38">
        <f>INDEX(Translations!$D:$ZZ, MATCH(76,Translations!$A:$A,0), MATCH('Project Information'!$C$4,Translations!$D$1:$ZZ$1,0))</f>
        <v/>
      </c>
      <c r="BL41" s="38">
        <f>MAX(N(Development!$G$24),0)</f>
        <v/>
      </c>
      <c r="BM41" s="38" t="n">
        <v>1</v>
      </c>
      <c r="BN41" s="38">
        <f>BL41*BM41</f>
        <v/>
      </c>
    </row>
    <row r="42" ht="15" customHeight="1" s="39">
      <c r="A42" s="38">
        <f>IF(OR('Localization Selection'!$B$6="Var",'Localization Selection'!$B$6="Include"),'Localization Selection'!$A$6,"")</f>
        <v/>
      </c>
      <c r="B42" s="38">
        <f>IF($A42="","",IFERROR(INDEX('Localization Efforts'!$B:$P,MATCH($A42,'Localization Efforts'!$A:$A,0),MATCH(B$39,'Localization Efforts'!$B$3:$P$3,0)),0))</f>
        <v/>
      </c>
      <c r="C42" s="38">
        <f>IF($A42="","",IFERROR(INDEX('Localization Efforts'!$B:$P,MATCH($A42,'Localization Efforts'!$A:$A,0),MATCH(C$39,'Localization Efforts'!$B$3:$P$3,0)),0))</f>
        <v/>
      </c>
      <c r="D42" s="38">
        <f>IF($A42="","",IFERROR(INDEX('Localization Efforts'!$B:$P,MATCH($A42,'Localization Efforts'!$A:$A,0),MATCH(D$39,'Localization Efforts'!$B$3:$P$3,0)),0))</f>
        <v/>
      </c>
      <c r="E42" s="38">
        <f>IF($A42="","",IFERROR(INDEX('Localization Efforts'!$B:$P,MATCH($A42,'Localization Efforts'!$A:$A,0),MATCH(E$39,'Localization Efforts'!$B$3:$P$3,0)),0))</f>
        <v/>
      </c>
      <c r="F42" s="38">
        <f>IF($A42="","",IFERROR(INDEX('Localization Efforts'!$B:$P,MATCH($A42,'Localization Efforts'!$A:$A,0),MATCH(F$39,'Localization Efforts'!$B$3:$P$3,0)),0))</f>
        <v/>
      </c>
      <c r="G42" s="38">
        <f>IF($A42="","",IFERROR(INDEX('Localization Efforts'!$B:$P,MATCH($A42,'Localization Efforts'!$A:$A,0),MATCH(G$39,'Localization Efforts'!$B$3:$P$3,0)),0))</f>
        <v/>
      </c>
      <c r="H42" s="38">
        <f>IF($A42="","",IFERROR(INDEX('Localization Efforts'!$B:$P,MATCH($A42,'Localization Efforts'!$A:$A,0),MATCH(H$39,'Localization Efforts'!$B$3:$P$3,0)),0))</f>
        <v/>
      </c>
      <c r="I42" s="38">
        <f>IF($A42="","",IFERROR(INDEX('Localization Efforts'!$B:$P,MATCH($A42,'Localization Efforts'!$A:$A,0),MATCH(I$39,'Localization Efforts'!$B$3:$P$3,0)),0))</f>
        <v/>
      </c>
      <c r="J42" s="38">
        <f>IF($A42="","",IFERROR(INDEX('Localization Efforts'!$B:$P,MATCH($A42,'Localization Efforts'!$A:$A,0),MATCH(J$39,'Localization Efforts'!$B$3:$P$3,0)),0))</f>
        <v/>
      </c>
      <c r="K42" s="38">
        <f>IF($A42="","",IFERROR(INDEX('Localization Efforts'!$B:$P,MATCH($A42,'Localization Efforts'!$A:$A,0),MATCH(K$39,'Localization Efforts'!$B$3:$P$3,0)),0))</f>
        <v/>
      </c>
      <c r="L42" s="38">
        <f>IF($A42="","",IFERROR(INDEX('Localization Efforts'!$B:$P,MATCH($A42,'Localization Efforts'!$A:$A,0),MATCH(L$39,'Localization Efforts'!$B$3:$P$3,0)),0))</f>
        <v/>
      </c>
      <c r="M42" s="38">
        <f>IF($A42="","",IFERROR(INDEX('Localization Efforts'!$B:$P,MATCH($A42,'Localization Efforts'!$A:$A,0),MATCH(M$39,'Localization Efforts'!$B$3:$P$3,0)),0))</f>
        <v/>
      </c>
      <c r="N42" s="38">
        <f>IF($A42="","",IFERROR(INDEX('Localization Efforts'!$B:$P,MATCH($A42,'Localization Efforts'!$A:$A,0),MATCH(N$39,'Localization Efforts'!$B$3:$P$3,0)),0))</f>
        <v/>
      </c>
      <c r="O42" s="38">
        <f>IF($A42="","",IFERROR(INDEX('Localization Efforts'!$B:$P,MATCH($A42,'Localization Efforts'!$A:$A,0),MATCH(O$39,'Localization Efforts'!$B$3:$P$3,0)),0))</f>
        <v/>
      </c>
      <c r="P42" s="38">
        <f>IF($A42="","",IFERROR(INDEX('Localization Efforts'!$B:$P,MATCH($A42,'Localization Efforts'!$A:$A,0),MATCH(P$39,'Localization Efforts'!$B$3:$P$3,0)),0))</f>
        <v/>
      </c>
      <c r="Q42" s="38">
        <f>IF($A42="","",SUM(B42:P42))</f>
        <v/>
      </c>
      <c r="AZ42" s="38">
        <f>INDEX(Translations!$D:$ZZ, MATCH(310,Translations!$A:$A,0), MATCH('Project Information'!$C$4,Translations!$D$1:$ZZ$1,0))</f>
        <v/>
      </c>
      <c r="BA42" s="38">
        <f>INDEX(Translations!$D:$ZZ, MATCH(189,Translations!$A:$A,0), MATCH('Project Information'!$C$4,Translations!$D$1:$ZZ$1,0))</f>
        <v/>
      </c>
      <c r="BB42" s="38">
        <f>INDEX(Translations!$D:$ZZ, MATCH(343,Translations!$A:$A,0), MATCH('Project Information'!$C$4,Translations!$D$1:$ZZ$1,0))</f>
        <v/>
      </c>
      <c r="BC42" s="38">
        <f>INDEX(Translations!$D:$ZZ, MATCH(85,Translations!$A:$A,0), MATCH('Project Information'!$C$4,Translations!$D$1:$ZZ$1,0))</f>
        <v/>
      </c>
      <c r="BD42" s="38">
        <f>IF(OR(TRIM("")="Evet",TRIM("")="Yes"),1,0)</f>
        <v/>
      </c>
      <c r="BE42" s="38" t="n">
        <v>5</v>
      </c>
      <c r="BF42" s="38">
        <f>BD42*BE42</f>
        <v/>
      </c>
      <c r="BH42" s="38">
        <f>INDEX(Translations!$D:$ZZ, MATCH(306,Translations!$A:$A,0), MATCH('Project Information'!$C$4,Translations!$D$1:$ZZ$1,0))</f>
        <v/>
      </c>
      <c r="BI42" s="38">
        <f>INDEX(Translations!$D:$ZZ, MATCH(227,Translations!$A:$A,0), MATCH('Project Information'!$C$4,Translations!$D$1:$ZZ$1,0))</f>
        <v/>
      </c>
      <c r="BJ42" s="38">
        <f>INDEX(Translations!$D:$ZZ, MATCH(339,Translations!$A:$A,0), MATCH('Project Information'!$C$4,Translations!$D$1:$ZZ$1,0))</f>
        <v/>
      </c>
      <c r="BK42" s="38">
        <f>INDEX(Translations!$D:$ZZ, MATCH(79,Translations!$A:$A,0), MATCH('Project Information'!$C$4,Translations!$D$1:$ZZ$1,0))</f>
        <v/>
      </c>
      <c r="BL42" s="38">
        <f>MAX(N(Development!$G$24),0)</f>
        <v/>
      </c>
      <c r="BM42" s="38" t="n">
        <v>3</v>
      </c>
      <c r="BN42" s="38">
        <f>BL42*BM42</f>
        <v/>
      </c>
    </row>
    <row r="43" ht="15" customHeight="1" s="39">
      <c r="A43" s="38">
        <f>IF(OR('Localization Selection'!$B$7="Var",'Localization Selection'!$B$7="Include"),'Localization Selection'!$A$7,"")</f>
        <v/>
      </c>
      <c r="B43" s="38">
        <f>IF($A43="","",IFERROR(INDEX('Localization Efforts'!$B:$P,MATCH($A43,'Localization Efforts'!$A:$A,0),MATCH(B$39,'Localization Efforts'!$B$3:$P$3,0)),0))</f>
        <v/>
      </c>
      <c r="C43" s="38">
        <f>IF($A43="","",IFERROR(INDEX('Localization Efforts'!$B:$P,MATCH($A43,'Localization Efforts'!$A:$A,0),MATCH(C$39,'Localization Efforts'!$B$3:$P$3,0)),0))</f>
        <v/>
      </c>
      <c r="D43" s="38">
        <f>IF($A43="","",IFERROR(INDEX('Localization Efforts'!$B:$P,MATCH($A43,'Localization Efforts'!$A:$A,0),MATCH(D$39,'Localization Efforts'!$B$3:$P$3,0)),0))</f>
        <v/>
      </c>
      <c r="E43" s="38">
        <f>IF($A43="","",IFERROR(INDEX('Localization Efforts'!$B:$P,MATCH($A43,'Localization Efforts'!$A:$A,0),MATCH(E$39,'Localization Efforts'!$B$3:$P$3,0)),0))</f>
        <v/>
      </c>
      <c r="F43" s="38">
        <f>IF($A43="","",IFERROR(INDEX('Localization Efforts'!$B:$P,MATCH($A43,'Localization Efforts'!$A:$A,0),MATCH(F$39,'Localization Efforts'!$B$3:$P$3,0)),0))</f>
        <v/>
      </c>
      <c r="G43" s="38">
        <f>IF($A43="","",IFERROR(INDEX('Localization Efforts'!$B:$P,MATCH($A43,'Localization Efforts'!$A:$A,0),MATCH(G$39,'Localization Efforts'!$B$3:$P$3,0)),0))</f>
        <v/>
      </c>
      <c r="H43" s="38">
        <f>IF($A43="","",IFERROR(INDEX('Localization Efforts'!$B:$P,MATCH($A43,'Localization Efforts'!$A:$A,0),MATCH(H$39,'Localization Efforts'!$B$3:$P$3,0)),0))</f>
        <v/>
      </c>
      <c r="I43" s="38">
        <f>IF($A43="","",IFERROR(INDEX('Localization Efforts'!$B:$P,MATCH($A43,'Localization Efforts'!$A:$A,0),MATCH(I$39,'Localization Efforts'!$B$3:$P$3,0)),0))</f>
        <v/>
      </c>
      <c r="J43" s="38">
        <f>IF($A43="","",IFERROR(INDEX('Localization Efforts'!$B:$P,MATCH($A43,'Localization Efforts'!$A:$A,0),MATCH(J$39,'Localization Efforts'!$B$3:$P$3,0)),0))</f>
        <v/>
      </c>
      <c r="K43" s="38">
        <f>IF($A43="","",IFERROR(INDEX('Localization Efforts'!$B:$P,MATCH($A43,'Localization Efforts'!$A:$A,0),MATCH(K$39,'Localization Efforts'!$B$3:$P$3,0)),0))</f>
        <v/>
      </c>
      <c r="L43" s="38">
        <f>IF($A43="","",IFERROR(INDEX('Localization Efforts'!$B:$P,MATCH($A43,'Localization Efforts'!$A:$A,0),MATCH(L$39,'Localization Efforts'!$B$3:$P$3,0)),0))</f>
        <v/>
      </c>
      <c r="M43" s="38">
        <f>IF($A43="","",IFERROR(INDEX('Localization Efforts'!$B:$P,MATCH($A43,'Localization Efforts'!$A:$A,0),MATCH(M$39,'Localization Efforts'!$B$3:$P$3,0)),0))</f>
        <v/>
      </c>
      <c r="N43" s="38">
        <f>IF($A43="","",IFERROR(INDEX('Localization Efforts'!$B:$P,MATCH($A43,'Localization Efforts'!$A:$A,0),MATCH(N$39,'Localization Efforts'!$B$3:$P$3,0)),0))</f>
        <v/>
      </c>
      <c r="O43" s="38">
        <f>IF($A43="","",IFERROR(INDEX('Localization Efforts'!$B:$P,MATCH($A43,'Localization Efforts'!$A:$A,0),MATCH(O$39,'Localization Efforts'!$B$3:$P$3,0)),0))</f>
        <v/>
      </c>
      <c r="P43" s="38">
        <f>IF($A43="","",IFERROR(INDEX('Localization Efforts'!$B:$P,MATCH($A43,'Localization Efforts'!$A:$A,0),MATCH(P$39,'Localization Efforts'!$B$3:$P$3,0)),0))</f>
        <v/>
      </c>
      <c r="Q43" s="38">
        <f>IF($A43="","",SUM(B43:P43))</f>
        <v/>
      </c>
      <c r="AZ43" s="38">
        <f>INDEX(Translations!$D:$ZZ, MATCH(310,Translations!$A:$A,0), MATCH('Project Information'!$C$4,Translations!$D$1:$ZZ$1,0))</f>
        <v/>
      </c>
      <c r="BA43" s="38">
        <f>INDEX(Translations!$D:$ZZ, MATCH(189,Translations!$A:$A,0), MATCH('Project Information'!$C$4,Translations!$D$1:$ZZ$1,0))</f>
        <v/>
      </c>
      <c r="BB43" s="38">
        <f>INDEX(Translations!$D:$ZZ, MATCH(344,Translations!$A:$A,0), MATCH('Project Information'!$C$4,Translations!$D$1:$ZZ$1,0))</f>
        <v/>
      </c>
      <c r="BC43" s="38">
        <f>INDEX(Translations!$D:$ZZ, MATCH(85,Translations!$A:$A,0), MATCH('Project Information'!$C$4,Translations!$D$1:$ZZ$1,0))</f>
        <v/>
      </c>
      <c r="BD43" s="38">
        <f>IF(OR(TRIM("")="Evet",TRIM("")="Yes"),1,0)</f>
        <v/>
      </c>
      <c r="BE43" s="38" t="n">
        <v>5</v>
      </c>
      <c r="BF43" s="38">
        <f>BD43*BE43</f>
        <v/>
      </c>
      <c r="BH43" s="38">
        <f>INDEX(Translations!$D:$ZZ, MATCH(306,Translations!$A:$A,0), MATCH('Project Information'!$C$4,Translations!$D$1:$ZZ$1,0))</f>
        <v/>
      </c>
      <c r="BI43" s="38">
        <f>INDEX(Translations!$D:$ZZ, MATCH(201,Translations!$A:$A,0), MATCH('Project Information'!$C$4,Translations!$D$1:$ZZ$1,0))</f>
        <v/>
      </c>
      <c r="BJ43" s="38">
        <f>INDEX(Translations!$D:$ZZ, MATCH(346,Translations!$A:$A,0), MATCH('Project Information'!$C$4,Translations!$D$1:$ZZ$1,0))</f>
        <v/>
      </c>
      <c r="BK43" s="38">
        <f>INDEX(Translations!$D:$ZZ, MATCH(78,Translations!$A:$A,0), MATCH('Project Information'!$C$4,Translations!$D$1:$ZZ$1,0))</f>
        <v/>
      </c>
      <c r="BL43" s="38">
        <f>MAX(N(Development!$G$16),0)</f>
        <v/>
      </c>
      <c r="BM43" s="38" t="n">
        <v>10</v>
      </c>
      <c r="BN43" s="38">
        <f>BL43*BM43</f>
        <v/>
      </c>
    </row>
    <row r="44" ht="15" customHeight="1" s="39">
      <c r="A44" s="38">
        <f>IF(OR('Localization Selection'!$B$8="Var",'Localization Selection'!$B$8="Include"),'Localization Selection'!$A$8,"")</f>
        <v/>
      </c>
      <c r="B44" s="38">
        <f>IF($A44="","",IFERROR(INDEX('Localization Efforts'!$B:$P,MATCH($A44,'Localization Efforts'!$A:$A,0),MATCH(B$39,'Localization Efforts'!$B$3:$P$3,0)),0))</f>
        <v/>
      </c>
      <c r="C44" s="38">
        <f>IF($A44="","",IFERROR(INDEX('Localization Efforts'!$B:$P,MATCH($A44,'Localization Efforts'!$A:$A,0),MATCH(C$39,'Localization Efforts'!$B$3:$P$3,0)),0))</f>
        <v/>
      </c>
      <c r="D44" s="38">
        <f>IF($A44="","",IFERROR(INDEX('Localization Efforts'!$B:$P,MATCH($A44,'Localization Efforts'!$A:$A,0),MATCH(D$39,'Localization Efforts'!$B$3:$P$3,0)),0))</f>
        <v/>
      </c>
      <c r="E44" s="38">
        <f>IF($A44="","",IFERROR(INDEX('Localization Efforts'!$B:$P,MATCH($A44,'Localization Efforts'!$A:$A,0),MATCH(E$39,'Localization Efforts'!$B$3:$P$3,0)),0))</f>
        <v/>
      </c>
      <c r="F44" s="38">
        <f>IF($A44="","",IFERROR(INDEX('Localization Efforts'!$B:$P,MATCH($A44,'Localization Efforts'!$A:$A,0),MATCH(F$39,'Localization Efforts'!$B$3:$P$3,0)),0))</f>
        <v/>
      </c>
      <c r="G44" s="38">
        <f>IF($A44="","",IFERROR(INDEX('Localization Efforts'!$B:$P,MATCH($A44,'Localization Efforts'!$A:$A,0),MATCH(G$39,'Localization Efforts'!$B$3:$P$3,0)),0))</f>
        <v/>
      </c>
      <c r="H44" s="38">
        <f>IF($A44="","",IFERROR(INDEX('Localization Efforts'!$B:$P,MATCH($A44,'Localization Efforts'!$A:$A,0),MATCH(H$39,'Localization Efforts'!$B$3:$P$3,0)),0))</f>
        <v/>
      </c>
      <c r="I44" s="38">
        <f>IF($A44="","",IFERROR(INDEX('Localization Efforts'!$B:$P,MATCH($A44,'Localization Efforts'!$A:$A,0),MATCH(I$39,'Localization Efforts'!$B$3:$P$3,0)),0))</f>
        <v/>
      </c>
      <c r="J44" s="38">
        <f>IF($A44="","",IFERROR(INDEX('Localization Efforts'!$B:$P,MATCH($A44,'Localization Efforts'!$A:$A,0),MATCH(J$39,'Localization Efforts'!$B$3:$P$3,0)),0))</f>
        <v/>
      </c>
      <c r="K44" s="38">
        <f>IF($A44="","",IFERROR(INDEX('Localization Efforts'!$B:$P,MATCH($A44,'Localization Efforts'!$A:$A,0),MATCH(K$39,'Localization Efforts'!$B$3:$P$3,0)),0))</f>
        <v/>
      </c>
      <c r="L44" s="38">
        <f>IF($A44="","",IFERROR(INDEX('Localization Efforts'!$B:$P,MATCH($A44,'Localization Efforts'!$A:$A,0),MATCH(L$39,'Localization Efforts'!$B$3:$P$3,0)),0))</f>
        <v/>
      </c>
      <c r="M44" s="38">
        <f>IF($A44="","",IFERROR(INDEX('Localization Efforts'!$B:$P,MATCH($A44,'Localization Efforts'!$A:$A,0),MATCH(M$39,'Localization Efforts'!$B$3:$P$3,0)),0))</f>
        <v/>
      </c>
      <c r="N44" s="38">
        <f>IF($A44="","",IFERROR(INDEX('Localization Efforts'!$B:$P,MATCH($A44,'Localization Efforts'!$A:$A,0),MATCH(N$39,'Localization Efforts'!$B$3:$P$3,0)),0))</f>
        <v/>
      </c>
      <c r="O44" s="38">
        <f>IF($A44="","",IFERROR(INDEX('Localization Efforts'!$B:$P,MATCH($A44,'Localization Efforts'!$A:$A,0),MATCH(O$39,'Localization Efforts'!$B$3:$P$3,0)),0))</f>
        <v/>
      </c>
      <c r="P44" s="38">
        <f>IF($A44="","",IFERROR(INDEX('Localization Efforts'!$B:$P,MATCH($A44,'Localization Efforts'!$A:$A,0),MATCH(P$39,'Localization Efforts'!$B$3:$P$3,0)),0))</f>
        <v/>
      </c>
      <c r="Q44" s="38">
        <f>IF($A44="","",SUM(B44:P44))</f>
        <v/>
      </c>
      <c r="AZ44" s="38">
        <f>INDEX(Translations!$D:$ZZ, MATCH(310,Translations!$A:$A,0), MATCH('Project Information'!$C$4,Translations!$D$1:$ZZ$1,0))</f>
        <v/>
      </c>
      <c r="BA44" s="38">
        <f>INDEX(Translations!$D:$ZZ, MATCH(189,Translations!$A:$A,0), MATCH('Project Information'!$C$4,Translations!$D$1:$ZZ$1,0))</f>
        <v/>
      </c>
      <c r="BB44" s="38">
        <f>INDEX(Translations!$D:$ZZ, MATCH(345,Translations!$A:$A,0), MATCH('Project Information'!$C$4,Translations!$D$1:$ZZ$1,0))</f>
        <v/>
      </c>
      <c r="BC44" s="38">
        <f>INDEX(Translations!$D:$ZZ, MATCH(85,Translations!$A:$A,0), MATCH('Project Information'!$C$4,Translations!$D$1:$ZZ$1,0))</f>
        <v/>
      </c>
      <c r="BD44" s="38">
        <f>IF(OR(TRIM("")="Evet",TRIM("")="Yes"),1,0)</f>
        <v/>
      </c>
      <c r="BE44" s="38" t="n">
        <v>5</v>
      </c>
      <c r="BF44" s="38">
        <f>BD44*BE44</f>
        <v/>
      </c>
      <c r="BH44" s="38">
        <f>INDEX(Translations!$D:$ZZ, MATCH(306,Translations!$A:$A,0), MATCH('Project Information'!$C$4,Translations!$D$1:$ZZ$1,0))</f>
        <v/>
      </c>
      <c r="BI44" s="38">
        <f>INDEX(Translations!$D:$ZZ, MATCH(201,Translations!$A:$A,0), MATCH('Project Information'!$C$4,Translations!$D$1:$ZZ$1,0))</f>
        <v/>
      </c>
      <c r="BJ44" s="38">
        <f>INDEX(Translations!$D:$ZZ, MATCH(339,Translations!$A:$A,0), MATCH('Project Information'!$C$4,Translations!$D$1:$ZZ$1,0))</f>
        <v/>
      </c>
      <c r="BK44" s="38">
        <f>INDEX(Translations!$D:$ZZ, MATCH(75,Translations!$A:$A,0), MATCH('Project Information'!$C$4,Translations!$D$1:$ZZ$1,0))</f>
        <v/>
      </c>
      <c r="BL44" s="38">
        <f>MAX(N(Development!$G$16),0)</f>
        <v/>
      </c>
      <c r="BM44" s="38" t="n">
        <v>2</v>
      </c>
      <c r="BN44" s="38">
        <f>BL44*BM44</f>
        <v/>
      </c>
    </row>
    <row r="45" ht="15" customHeight="1" s="39">
      <c r="A45" s="38">
        <f>IF(OR('Localization Selection'!$B$9="Var",'Localization Selection'!$B$9="Include"),'Localization Selection'!$A$9,"")</f>
        <v/>
      </c>
      <c r="B45" s="38">
        <f>IF($A45="","",IFERROR(INDEX('Localization Efforts'!$B:$P,MATCH($A45,'Localization Efforts'!$A:$A,0),MATCH(B$39,'Localization Efforts'!$B$3:$P$3,0)),0))</f>
        <v/>
      </c>
      <c r="C45" s="38">
        <f>IF($A45="","",IFERROR(INDEX('Localization Efforts'!$B:$P,MATCH($A45,'Localization Efforts'!$A:$A,0),MATCH(C$39,'Localization Efforts'!$B$3:$P$3,0)),0))</f>
        <v/>
      </c>
      <c r="D45" s="38">
        <f>IF($A45="","",IFERROR(INDEX('Localization Efforts'!$B:$P,MATCH($A45,'Localization Efforts'!$A:$A,0),MATCH(D$39,'Localization Efforts'!$B$3:$P$3,0)),0))</f>
        <v/>
      </c>
      <c r="E45" s="38">
        <f>IF($A45="","",IFERROR(INDEX('Localization Efforts'!$B:$P,MATCH($A45,'Localization Efforts'!$A:$A,0),MATCH(E$39,'Localization Efforts'!$B$3:$P$3,0)),0))</f>
        <v/>
      </c>
      <c r="F45" s="38">
        <f>IF($A45="","",IFERROR(INDEX('Localization Efforts'!$B:$P,MATCH($A45,'Localization Efforts'!$A:$A,0),MATCH(F$39,'Localization Efforts'!$B$3:$P$3,0)),0))</f>
        <v/>
      </c>
      <c r="G45" s="38">
        <f>IF($A45="","",IFERROR(INDEX('Localization Efforts'!$B:$P,MATCH($A45,'Localization Efforts'!$A:$A,0),MATCH(G$39,'Localization Efforts'!$B$3:$P$3,0)),0))</f>
        <v/>
      </c>
      <c r="H45" s="38">
        <f>IF($A45="","",IFERROR(INDEX('Localization Efforts'!$B:$P,MATCH($A45,'Localization Efforts'!$A:$A,0),MATCH(H$39,'Localization Efforts'!$B$3:$P$3,0)),0))</f>
        <v/>
      </c>
      <c r="I45" s="38">
        <f>IF($A45="","",IFERROR(INDEX('Localization Efforts'!$B:$P,MATCH($A45,'Localization Efforts'!$A:$A,0),MATCH(I$39,'Localization Efforts'!$B$3:$P$3,0)),0))</f>
        <v/>
      </c>
      <c r="J45" s="38">
        <f>IF($A45="","",IFERROR(INDEX('Localization Efforts'!$B:$P,MATCH($A45,'Localization Efforts'!$A:$A,0),MATCH(J$39,'Localization Efforts'!$B$3:$P$3,0)),0))</f>
        <v/>
      </c>
      <c r="K45" s="38">
        <f>IF($A45="","",IFERROR(INDEX('Localization Efforts'!$B:$P,MATCH($A45,'Localization Efforts'!$A:$A,0),MATCH(K$39,'Localization Efforts'!$B$3:$P$3,0)),0))</f>
        <v/>
      </c>
      <c r="L45" s="38">
        <f>IF($A45="","",IFERROR(INDEX('Localization Efforts'!$B:$P,MATCH($A45,'Localization Efforts'!$A:$A,0),MATCH(L$39,'Localization Efforts'!$B$3:$P$3,0)),0))</f>
        <v/>
      </c>
      <c r="M45" s="38">
        <f>IF($A45="","",IFERROR(INDEX('Localization Efforts'!$B:$P,MATCH($A45,'Localization Efforts'!$A:$A,0),MATCH(M$39,'Localization Efforts'!$B$3:$P$3,0)),0))</f>
        <v/>
      </c>
      <c r="N45" s="38">
        <f>IF($A45="","",IFERROR(INDEX('Localization Efforts'!$B:$P,MATCH($A45,'Localization Efforts'!$A:$A,0),MATCH(N$39,'Localization Efforts'!$B$3:$P$3,0)),0))</f>
        <v/>
      </c>
      <c r="O45" s="38">
        <f>IF($A45="","",IFERROR(INDEX('Localization Efforts'!$B:$P,MATCH($A45,'Localization Efforts'!$A:$A,0),MATCH(O$39,'Localization Efforts'!$B$3:$P$3,0)),0))</f>
        <v/>
      </c>
      <c r="P45" s="38">
        <f>IF($A45="","",IFERROR(INDEX('Localization Efforts'!$B:$P,MATCH($A45,'Localization Efforts'!$A:$A,0),MATCH(P$39,'Localization Efforts'!$B$3:$P$3,0)),0))</f>
        <v/>
      </c>
      <c r="Q45" s="38">
        <f>IF($A45="","",SUM(B45:P45))</f>
        <v/>
      </c>
      <c r="AZ45" s="38">
        <f>INDEX(Translations!$D:$ZZ, MATCH(310,Translations!$A:$A,0), MATCH('Project Information'!$C$4,Translations!$D$1:$ZZ$1,0))</f>
        <v/>
      </c>
      <c r="BA45" s="38">
        <f>INDEX(Translations!$D:$ZZ, MATCH(244,Translations!$A:$A,0), MATCH('Project Information'!$C$4,Translations!$D$1:$ZZ$1,0))</f>
        <v/>
      </c>
      <c r="BB45" s="38">
        <f>INDEX(Translations!$D:$ZZ, MATCH(333,Translations!$A:$A,0), MATCH('Project Information'!$C$4,Translations!$D$1:$ZZ$1,0))</f>
        <v/>
      </c>
      <c r="BC45" s="38">
        <f>INDEX(Translations!$D:$ZZ, MATCH(75,Translations!$A:$A,0), MATCH('Project Information'!$C$4,Translations!$D$1:$ZZ$1,0))</f>
        <v/>
      </c>
      <c r="BD45" s="38">
        <f>IF(OR(TRIM("")="Evet",TRIM("")="Yes"),1,0)</f>
        <v/>
      </c>
      <c r="BE45" s="38" t="n">
        <v>1</v>
      </c>
      <c r="BF45" s="38">
        <f>BD45*BE45</f>
        <v/>
      </c>
      <c r="BH45" s="38">
        <f>INDEX(Translations!$D:$ZZ, MATCH(306,Translations!$A:$A,0), MATCH('Project Information'!$C$4,Translations!$D$1:$ZZ$1,0))</f>
        <v/>
      </c>
      <c r="BI45" s="38">
        <f>INDEX(Translations!$D:$ZZ, MATCH(201,Translations!$A:$A,0), MATCH('Project Information'!$C$4,Translations!$D$1:$ZZ$1,0))</f>
        <v/>
      </c>
      <c r="BJ45" s="38">
        <f>INDEX(Translations!$D:$ZZ, MATCH(339,Translations!$A:$A,0), MATCH('Project Information'!$C$4,Translations!$D$1:$ZZ$1,0))</f>
        <v/>
      </c>
      <c r="BK45" s="38">
        <f>INDEX(Translations!$D:$ZZ, MATCH(76,Translations!$A:$A,0), MATCH('Project Information'!$C$4,Translations!$D$1:$ZZ$1,0))</f>
        <v/>
      </c>
      <c r="BL45" s="38">
        <f>MAX(N(Development!$G$16),0)</f>
        <v/>
      </c>
      <c r="BM45" s="38" t="n">
        <v>1</v>
      </c>
      <c r="BN45" s="38">
        <f>BL45*BM45</f>
        <v/>
      </c>
    </row>
    <row r="46" ht="15" customHeight="1" s="39">
      <c r="A46" s="38">
        <f>INDEX(Translations!$D:$ZZ, MATCH(91,Translations!$A:$A,0), MATCH('Project Information'!$C$4,Translations!$D$1:$ZZ$1,0))</f>
        <v/>
      </c>
      <c r="B46" s="38">
        <f>SUM(B40:B45)</f>
        <v/>
      </c>
      <c r="C46" s="38">
        <f>SUM(C40:C45)</f>
        <v/>
      </c>
      <c r="D46" s="38">
        <f>SUM(D40:D45)</f>
        <v/>
      </c>
      <c r="E46" s="38">
        <f>SUM(E40:E45)</f>
        <v/>
      </c>
      <c r="F46" s="38">
        <f>SUM(F40:F45)</f>
        <v/>
      </c>
      <c r="G46" s="38">
        <f>SUM(G40:G45)</f>
        <v/>
      </c>
      <c r="H46" s="38">
        <f>SUM(H40:H45)</f>
        <v/>
      </c>
      <c r="I46" s="38">
        <f>SUM(I40:I45)</f>
        <v/>
      </c>
      <c r="J46" s="38">
        <f>SUM(J40:J45)</f>
        <v/>
      </c>
      <c r="K46" s="38">
        <f>SUM(K40:K45)</f>
        <v/>
      </c>
      <c r="L46" s="38">
        <f>SUM(L40:L45)</f>
        <v/>
      </c>
      <c r="M46" s="38">
        <f>SUM(M40:M45)</f>
        <v/>
      </c>
      <c r="N46" s="38">
        <f>SUM(N40:N45)</f>
        <v/>
      </c>
      <c r="O46" s="38">
        <f>SUM(O40:O45)</f>
        <v/>
      </c>
      <c r="P46" s="38">
        <f>SUM(P40:P45)</f>
        <v/>
      </c>
      <c r="Q46" s="38">
        <f>SUM(Q40:Q45)</f>
        <v/>
      </c>
      <c r="AZ46" s="38">
        <f>INDEX(Translations!$D:$ZZ, MATCH(310,Translations!$A:$A,0), MATCH('Project Information'!$C$4,Translations!$D$1:$ZZ$1,0))</f>
        <v/>
      </c>
      <c r="BA46" s="38">
        <f>INDEX(Translations!$D:$ZZ, MATCH(244,Translations!$A:$A,0), MATCH('Project Information'!$C$4,Translations!$D$1:$ZZ$1,0))</f>
        <v/>
      </c>
      <c r="BB46" s="38">
        <f>INDEX(Translations!$D:$ZZ, MATCH(332,Translations!$A:$A,0), MATCH('Project Information'!$C$4,Translations!$D$1:$ZZ$1,0))</f>
        <v/>
      </c>
      <c r="BC46" s="38">
        <f>INDEX(Translations!$D:$ZZ, MATCH(75,Translations!$A:$A,0), MATCH('Project Information'!$C$4,Translations!$D$1:$ZZ$1,0))</f>
        <v/>
      </c>
      <c r="BD46" s="38">
        <f>IF(OR(TRIM("")="Evet",TRIM("")="Yes"),1,0)</f>
        <v/>
      </c>
      <c r="BE46" s="38" t="n">
        <v>2</v>
      </c>
      <c r="BF46" s="38">
        <f>BD46*BE46</f>
        <v/>
      </c>
      <c r="BH46" s="38">
        <f>INDEX(Translations!$D:$ZZ, MATCH(306,Translations!$A:$A,0), MATCH('Project Information'!$C$4,Translations!$D$1:$ZZ$1,0))</f>
        <v/>
      </c>
      <c r="BI46" s="38">
        <f>INDEX(Translations!$D:$ZZ, MATCH(201,Translations!$A:$A,0), MATCH('Project Information'!$C$4,Translations!$D$1:$ZZ$1,0))</f>
        <v/>
      </c>
      <c r="BJ46" s="38">
        <f>INDEX(Translations!$D:$ZZ, MATCH(339,Translations!$A:$A,0), MATCH('Project Information'!$C$4,Translations!$D$1:$ZZ$1,0))</f>
        <v/>
      </c>
      <c r="BK46" s="38">
        <f>INDEX(Translations!$D:$ZZ, MATCH(79,Translations!$A:$A,0), MATCH('Project Information'!$C$4,Translations!$D$1:$ZZ$1,0))</f>
        <v/>
      </c>
      <c r="BL46" s="38">
        <f>MAX(N(Development!$G$16),0)</f>
        <v/>
      </c>
      <c r="BM46" s="38" t="n">
        <v>4</v>
      </c>
      <c r="BN46" s="38">
        <f>BL46*BM46</f>
        <v/>
      </c>
    </row>
    <row r="47" ht="15" customHeight="1" s="39">
      <c r="AZ47" s="38">
        <f>INDEX(Translations!$D:$ZZ, MATCH(310,Translations!$A:$A,0), MATCH('Project Information'!$C$4,Translations!$D$1:$ZZ$1,0))</f>
        <v/>
      </c>
      <c r="BA47" s="38">
        <f>INDEX(Translations!$D:$ZZ, MATCH(244,Translations!$A:$A,0), MATCH('Project Information'!$C$4,Translations!$D$1:$ZZ$1,0))</f>
        <v/>
      </c>
      <c r="BB47" s="38">
        <f>INDEX(Translations!$D:$ZZ, MATCH(332,Translations!$A:$A,0), MATCH('Project Information'!$C$4,Translations!$D$1:$ZZ$1,0))</f>
        <v/>
      </c>
      <c r="BC47" s="38">
        <f>INDEX(Translations!$D:$ZZ, MATCH(78,Translations!$A:$A,0), MATCH('Project Information'!$C$4,Translations!$D$1:$ZZ$1,0))</f>
        <v/>
      </c>
      <c r="BD47" s="38">
        <f>IF(OR(TRIM("")="Evet",TRIM("")="Yes"),1,0)</f>
        <v/>
      </c>
      <c r="BE47" s="38" t="n">
        <v>2</v>
      </c>
      <c r="BF47" s="38">
        <f>BD47*BE47</f>
        <v/>
      </c>
      <c r="BH47" s="38">
        <f>INDEX(Translations!$D:$ZZ, MATCH(306,Translations!$A:$A,0), MATCH('Project Information'!$C$4,Translations!$D$1:$ZZ$1,0))</f>
        <v/>
      </c>
      <c r="BI47" s="38">
        <f>INDEX(Translations!$D:$ZZ, MATCH(224,Translations!$A:$A,0), MATCH('Project Information'!$C$4,Translations!$D$1:$ZZ$1,0))</f>
        <v/>
      </c>
      <c r="BJ47" s="38">
        <f>INDEX(Translations!$D:$ZZ, MATCH(346,Translations!$A:$A,0), MATCH('Project Information'!$C$4,Translations!$D$1:$ZZ$1,0))</f>
        <v/>
      </c>
      <c r="BK47" s="38">
        <f>INDEX(Translations!$D:$ZZ, MATCH(78,Translations!$A:$A,0), MATCH('Project Information'!$C$4,Translations!$D$1:$ZZ$1,0))</f>
        <v/>
      </c>
      <c r="BL47" s="38">
        <f>MAX(N(Development!$G$22),0)</f>
        <v/>
      </c>
      <c r="BM47" s="38" t="n">
        <v>12</v>
      </c>
      <c r="BN47" s="38">
        <f>BL47*BM47</f>
        <v/>
      </c>
    </row>
    <row r="48" ht="15" customHeight="1" s="39">
      <c r="A48" s="38">
        <f>INDEX(Translations!$D:$ZZ, MATCH(307,Translations!$A:$A,0), MATCH('Project Information'!$C$4,Translations!$D$1:$ZZ$1,0))</f>
        <v/>
      </c>
      <c r="AZ48" s="38">
        <f>INDEX(Translations!$D:$ZZ, MATCH(310,Translations!$A:$A,0), MATCH('Project Information'!$C$4,Translations!$D$1:$ZZ$1,0))</f>
        <v/>
      </c>
      <c r="BA48" s="38">
        <f>INDEX(Translations!$D:$ZZ, MATCH(244,Translations!$A:$A,0), MATCH('Project Information'!$C$4,Translations!$D$1:$ZZ$1,0))</f>
        <v/>
      </c>
      <c r="BB48" s="38">
        <f>INDEX(Translations!$D:$ZZ, MATCH(332,Translations!$A:$A,0), MATCH('Project Information'!$C$4,Translations!$D$1:$ZZ$1,0))</f>
        <v/>
      </c>
      <c r="BC48" s="38">
        <f>INDEX(Translations!$D:$ZZ, MATCH(82,Translations!$A:$A,0), MATCH('Project Information'!$C$4,Translations!$D$1:$ZZ$1,0))</f>
        <v/>
      </c>
      <c r="BD48" s="38">
        <f>IF(OR(TRIM("")="Evet",TRIM("")="Yes"),1,0)</f>
        <v/>
      </c>
      <c r="BE48" s="38" t="n">
        <v>2</v>
      </c>
      <c r="BF48" s="38">
        <f>BD48*BE48</f>
        <v/>
      </c>
      <c r="BH48" s="38">
        <f>INDEX(Translations!$D:$ZZ, MATCH(306,Translations!$A:$A,0), MATCH('Project Information'!$C$4,Translations!$D$1:$ZZ$1,0))</f>
        <v/>
      </c>
      <c r="BI48" s="38">
        <f>INDEX(Translations!$D:$ZZ, MATCH(224,Translations!$A:$A,0), MATCH('Project Information'!$C$4,Translations!$D$1:$ZZ$1,0))</f>
        <v/>
      </c>
      <c r="BJ48" s="38">
        <f>INDEX(Translations!$D:$ZZ, MATCH(343,Translations!$A:$A,0), MATCH('Project Information'!$C$4,Translations!$D$1:$ZZ$1,0))</f>
        <v/>
      </c>
      <c r="BK48" s="38">
        <f>INDEX(Translations!$D:$ZZ, MATCH(76,Translations!$A:$A,0), MATCH('Project Information'!$C$4,Translations!$D$1:$ZZ$1,0))</f>
        <v/>
      </c>
      <c r="BL48" s="38">
        <f>MAX(N(Development!$G$22),0)</f>
        <v/>
      </c>
      <c r="BM48" s="38" t="n">
        <v>1</v>
      </c>
      <c r="BN48" s="38">
        <f>BL48*BM48</f>
        <v/>
      </c>
    </row>
    <row r="49" ht="15" customHeight="1" s="39">
      <c r="A49" s="38">
        <f>INDEX(Translations!$D:$ZZ, MATCH(308,Translations!$A:$A,0), MATCH('Project Information'!$C$4,Translations!$D$1:$ZZ$1,0))</f>
        <v/>
      </c>
      <c r="B49" s="38">
        <f>'Module Selection'!A2</f>
        <v/>
      </c>
      <c r="C49" s="38">
        <f>'Module Selection'!A3</f>
        <v/>
      </c>
      <c r="D49" s="38">
        <f>'Module Selection'!A4</f>
        <v/>
      </c>
      <c r="E49" s="38">
        <f>'Module Selection'!A5</f>
        <v/>
      </c>
      <c r="F49" s="38">
        <f>'Module Selection'!A6</f>
        <v/>
      </c>
      <c r="G49" s="38">
        <f>'Module Selection'!A7</f>
        <v/>
      </c>
      <c r="H49" s="38">
        <f>'Module Selection'!A8</f>
        <v/>
      </c>
      <c r="I49" s="38">
        <f>'Module Selection'!A9</f>
        <v/>
      </c>
      <c r="J49" s="38">
        <f>'Module Selection'!A10</f>
        <v/>
      </c>
      <c r="K49" s="38">
        <f>'Module Selection'!A11</f>
        <v/>
      </c>
      <c r="L49" s="38">
        <f>'Module Selection'!A12</f>
        <v/>
      </c>
      <c r="M49" s="38">
        <f>'Module Selection'!A13</f>
        <v/>
      </c>
      <c r="N49" s="38">
        <f>'Module Selection'!A14</f>
        <v/>
      </c>
      <c r="O49" s="38">
        <f>'Module Selection'!A15</f>
        <v/>
      </c>
      <c r="P49" s="38">
        <f>'Module Selection'!A16</f>
        <v/>
      </c>
      <c r="Q49" s="38">
        <f>'Module Selection'!A17</f>
        <v/>
      </c>
      <c r="R49" s="38">
        <f>'Module Selection'!A18</f>
        <v/>
      </c>
      <c r="S49" s="38">
        <f>'Module Selection'!A19</f>
        <v/>
      </c>
      <c r="T49" s="38">
        <f>'Module Selection'!A20</f>
        <v/>
      </c>
      <c r="U49" s="38">
        <f>'Module Selection'!A21</f>
        <v/>
      </c>
      <c r="V49" s="38">
        <f>'Module Selection'!A22</f>
        <v/>
      </c>
      <c r="W49" s="38">
        <f>'Module Selection'!A23</f>
        <v/>
      </c>
      <c r="X49" s="38">
        <f>'Module Selection'!A24</f>
        <v/>
      </c>
      <c r="Y49" s="38">
        <f>'Module Selection'!A25</f>
        <v/>
      </c>
      <c r="Z49" s="38">
        <f>'Module Selection'!A26</f>
        <v/>
      </c>
      <c r="AA49" s="38">
        <f>'Module Selection'!A27</f>
        <v/>
      </c>
      <c r="AB49" s="38">
        <f>'Module Selection'!A28</f>
        <v/>
      </c>
      <c r="AC49" s="38">
        <f>'Module Selection'!A29</f>
        <v/>
      </c>
      <c r="AD49" s="38">
        <f>'Module Selection'!A30</f>
        <v/>
      </c>
      <c r="AE49" s="38">
        <f>'Module Selection'!A31</f>
        <v/>
      </c>
      <c r="AF49" s="38">
        <f>'Module Selection'!A32</f>
        <v/>
      </c>
      <c r="AG49" s="38">
        <f>INDEX(Translations!$D:$ZZ, MATCH(309,Translations!$A:$A,0), MATCH('Project Information'!$C$4,Translations!$D$1:$ZZ$1,0))</f>
        <v/>
      </c>
      <c r="AZ49" s="38">
        <f>INDEX(Translations!$D:$ZZ, MATCH(310,Translations!$A:$A,0), MATCH('Project Information'!$C$4,Translations!$D$1:$ZZ$1,0))</f>
        <v/>
      </c>
      <c r="BA49" s="38">
        <f>INDEX(Translations!$D:$ZZ, MATCH(244,Translations!$A:$A,0), MATCH('Project Information'!$C$4,Translations!$D$1:$ZZ$1,0))</f>
        <v/>
      </c>
      <c r="BB49" s="38">
        <f>INDEX(Translations!$D:$ZZ, MATCH(332,Translations!$A:$A,0), MATCH('Project Information'!$C$4,Translations!$D$1:$ZZ$1,0))</f>
        <v/>
      </c>
      <c r="BC49" s="38">
        <f>INDEX(Translations!$D:$ZZ, MATCH(83,Translations!$A:$A,0), MATCH('Project Information'!$C$4,Translations!$D$1:$ZZ$1,0))</f>
        <v/>
      </c>
      <c r="BD49" s="38">
        <f>IF(OR(TRIM("")="Evet",TRIM("")="Yes"),1,0)</f>
        <v/>
      </c>
      <c r="BE49" s="38" t="n">
        <v>2</v>
      </c>
      <c r="BF49" s="38">
        <f>BD49*BE49</f>
        <v/>
      </c>
      <c r="BH49" s="38">
        <f>INDEX(Translations!$D:$ZZ, MATCH(306,Translations!$A:$A,0), MATCH('Project Information'!$C$4,Translations!$D$1:$ZZ$1,0))</f>
        <v/>
      </c>
      <c r="BI49" s="38">
        <f>INDEX(Translations!$D:$ZZ, MATCH(224,Translations!$A:$A,0), MATCH('Project Information'!$C$4,Translations!$D$1:$ZZ$1,0))</f>
        <v/>
      </c>
      <c r="BJ49" s="38">
        <f>INDEX(Translations!$D:$ZZ, MATCH(343,Translations!$A:$A,0), MATCH('Project Information'!$C$4,Translations!$D$1:$ZZ$1,0))</f>
        <v/>
      </c>
      <c r="BK49" s="38">
        <f>INDEX(Translations!$D:$ZZ, MATCH(79,Translations!$A:$A,0), MATCH('Project Information'!$C$4,Translations!$D$1:$ZZ$1,0))</f>
        <v/>
      </c>
      <c r="BL49" s="38">
        <f>MAX(N(Development!$G$22),0)</f>
        <v/>
      </c>
      <c r="BM49" s="38" t="n">
        <v>1</v>
      </c>
      <c r="BN49" s="38">
        <f>BL49*BM49</f>
        <v/>
      </c>
    </row>
    <row r="50" ht="15" customHeight="1" s="39">
      <c r="A50" s="38">
        <f>INDEX(Translations!$D:$ZZ, MATCH(251,Translations!$A:$A,0), MATCH('Project Information'!$C$4,Translations!$D$1:$ZZ$1,0))</f>
        <v/>
      </c>
      <c r="B50" s="38">
        <f>IF($A50="","",SUMIFS($BN$2:$BN$700,$BI$2:$BI$700,$A50,$BJ$2:$BJ$700,B$49))</f>
        <v/>
      </c>
      <c r="C50" s="38">
        <f>IF($A50="","",SUMIFS($BN$2:$BN$700,$BI$2:$BI$700,$A50,$BJ$2:$BJ$700,C$49))</f>
        <v/>
      </c>
      <c r="D50" s="38">
        <f>IF($A50="","",SUMIFS($BN$2:$BN$700,$BI$2:$BI$700,$A50,$BJ$2:$BJ$700,D$49))</f>
        <v/>
      </c>
      <c r="E50" s="38">
        <f>IF($A50="","",SUMIFS($BN$2:$BN$700,$BI$2:$BI$700,$A50,$BJ$2:$BJ$700,E$49))</f>
        <v/>
      </c>
      <c r="F50" s="38">
        <f>IF($A50="","",SUMIFS($BN$2:$BN$700,$BI$2:$BI$700,$A50,$BJ$2:$BJ$700,F$49))</f>
        <v/>
      </c>
      <c r="G50" s="38">
        <f>IF($A50="","",SUMIFS($BN$2:$BN$700,$BI$2:$BI$700,$A50,$BJ$2:$BJ$700,G$49))</f>
        <v/>
      </c>
      <c r="H50" s="38">
        <f>IF($A50="","",SUMIFS($BN$2:$BN$700,$BI$2:$BI$700,$A50,$BJ$2:$BJ$700,H$49))</f>
        <v/>
      </c>
      <c r="I50" s="38">
        <f>IF($A50="","",SUMIFS($BN$2:$BN$700,$BI$2:$BI$700,$A50,$BJ$2:$BJ$700,I$49))</f>
        <v/>
      </c>
      <c r="J50" s="38">
        <f>IF($A50="","",SUMIFS($BN$2:$BN$700,$BI$2:$BI$700,$A50,$BJ$2:$BJ$700,J$49))</f>
        <v/>
      </c>
      <c r="K50" s="38">
        <f>IF($A50="","",SUMIFS($BN$2:$BN$700,$BI$2:$BI$700,$A50,$BJ$2:$BJ$700,K$49))</f>
        <v/>
      </c>
      <c r="L50" s="38">
        <f>IF($A50="","",SUMIFS($BN$2:$BN$700,$BI$2:$BI$700,$A50,$BJ$2:$BJ$700,L$49))</f>
        <v/>
      </c>
      <c r="M50" s="38">
        <f>IF($A50="","",SUMIFS($BN$2:$BN$700,$BI$2:$BI$700,$A50,$BJ$2:$BJ$700,M$49))</f>
        <v/>
      </c>
      <c r="N50" s="38">
        <f>IF($A50="","",SUMIFS($BN$2:$BN$700,$BI$2:$BI$700,$A50,$BJ$2:$BJ$700,N$49))</f>
        <v/>
      </c>
      <c r="O50" s="38">
        <f>IF($A50="","",SUMIFS($BN$2:$BN$700,$BI$2:$BI$700,$A50,$BJ$2:$BJ$700,O$49))</f>
        <v/>
      </c>
      <c r="P50" s="38">
        <f>IF($A50="","",SUMIFS($BN$2:$BN$700,$BI$2:$BI$700,$A50,$BJ$2:$BJ$700,P$49))</f>
        <v/>
      </c>
      <c r="Q50" s="38">
        <f>IF($A50="","",SUMIFS($BN$2:$BN$700,$BI$2:$BI$700,$A50,$BJ$2:$BJ$700,Q$49))</f>
        <v/>
      </c>
      <c r="R50" s="38">
        <f>IF($A50="","",SUMIFS($BN$2:$BN$700,$BI$2:$BI$700,$A50,$BJ$2:$BJ$700,R$49))</f>
        <v/>
      </c>
      <c r="S50" s="38">
        <f>IF($A50="","",SUMIFS($BN$2:$BN$700,$BI$2:$BI$700,$A50,$BJ$2:$BJ$700,S$49))</f>
        <v/>
      </c>
      <c r="T50" s="38">
        <f>IF($A50="","",SUMIFS($BN$2:$BN$700,$BI$2:$BI$700,$A50,$BJ$2:$BJ$700,T$49))</f>
        <v/>
      </c>
      <c r="U50" s="38">
        <f>IF($A50="","",SUMIFS($BN$2:$BN$700,$BI$2:$BI$700,$A50,$BJ$2:$BJ$700,U$49))</f>
        <v/>
      </c>
      <c r="V50" s="38">
        <f>IF($A50="","",SUMIFS($BN$2:$BN$700,$BI$2:$BI$700,$A50,$BJ$2:$BJ$700,V$49))</f>
        <v/>
      </c>
      <c r="W50" s="38">
        <f>IF($A50="","",SUMIFS($BN$2:$BN$700,$BI$2:$BI$700,$A50,$BJ$2:$BJ$700,W$49))</f>
        <v/>
      </c>
      <c r="X50" s="38">
        <f>IF($A50="","",SUMIFS($BN$2:$BN$700,$BI$2:$BI$700,$A50,$BJ$2:$BJ$700,X$49))</f>
        <v/>
      </c>
      <c r="Y50" s="38">
        <f>IF($A50="","",SUMIFS($BN$2:$BN$700,$BI$2:$BI$700,$A50,$BJ$2:$BJ$700,Y$49))</f>
        <v/>
      </c>
      <c r="Z50" s="38">
        <f>IF($A50="","",SUMIFS($BN$2:$BN$700,$BI$2:$BI$700,$A50,$BJ$2:$BJ$700,Z$49))</f>
        <v/>
      </c>
      <c r="AA50" s="38">
        <f>IF($A50="","",SUMIFS($BN$2:$BN$700,$BI$2:$BI$700,$A50,$BJ$2:$BJ$700,AA$49))</f>
        <v/>
      </c>
      <c r="AB50" s="38">
        <f>IF($A50="","",SUMIFS($BN$2:$BN$700,$BI$2:$BI$700,$A50,$BJ$2:$BJ$700,AB$49))</f>
        <v/>
      </c>
      <c r="AC50" s="38">
        <f>IF($A50="","",SUMIFS($BN$2:$BN$700,$BI$2:$BI$700,$A50,$BJ$2:$BJ$700,AC$49))</f>
        <v/>
      </c>
      <c r="AD50" s="38">
        <f>IF($A50="","",SUMIFS($BN$2:$BN$700,$BI$2:$BI$700,$A50,$BJ$2:$BJ$700,AD$49))</f>
        <v/>
      </c>
      <c r="AE50" s="38">
        <f>IF($A50="","",SUMIFS($BN$2:$BN$700,$BI$2:$BI$700,$A50,$BJ$2:$BJ$700,AE$49))</f>
        <v/>
      </c>
      <c r="AF50" s="38">
        <f>IF($A50="","",SUMIFS($BN$2:$BN$700,$BI$2:$BI$700,$A50,$BJ$2:$BJ$700,AF$49))</f>
        <v/>
      </c>
      <c r="AG50" s="38">
        <f>IF($A50="","",SUM(B50:AF50))</f>
        <v/>
      </c>
      <c r="AZ50" s="38">
        <f>INDEX(Translations!$D:$ZZ, MATCH(393,Translations!$A:$A,0), MATCH('Project Information'!$C$4,Translations!$D$1:$ZZ$1,0))</f>
        <v/>
      </c>
      <c r="BA50" s="38">
        <f>INDEX(Translations!$D:$ZZ, MATCH(356,Translations!$A:$A,0), MATCH('Project Information'!$C$4,Translations!$D$1:$ZZ$1,0))</f>
        <v/>
      </c>
      <c r="BB50" s="38">
        <f>INDEX(Translations!$D:$ZZ, MATCH(339,Translations!$A:$A,0), MATCH('Project Information'!$C$4,Translations!$D$1:$ZZ$1,0))</f>
        <v/>
      </c>
      <c r="BC50" s="38">
        <f>INDEX(Translations!$D:$ZZ, MATCH(75,Translations!$A:$A,0), MATCH('Project Information'!$C$4,Translations!$D$1:$ZZ$1,0))</f>
        <v/>
      </c>
      <c r="BD50" s="38">
        <f>IFERROR(IF(OR(INDEX('Module Selection'!$B:$B,MATCH("COMMODITY",'Module Selection'!$A:$A,0))="Var",INDEX('Module Selection'!$B:$B,MATCH("COMMODITY",'Module Selection'!$A:$A,0))="Include"),1,0),0)</f>
        <v/>
      </c>
      <c r="BE50" s="38" t="n">
        <v>8</v>
      </c>
      <c r="BF50" s="38">
        <f>BD50*BE50</f>
        <v/>
      </c>
      <c r="BH50" s="38">
        <f>INDEX(Translations!$D:$ZZ, MATCH(306,Translations!$A:$A,0), MATCH('Project Information'!$C$4,Translations!$D$1:$ZZ$1,0))</f>
        <v/>
      </c>
      <c r="BI50" s="38">
        <f>INDEX(Translations!$D:$ZZ, MATCH(224,Translations!$A:$A,0), MATCH('Project Information'!$C$4,Translations!$D$1:$ZZ$1,0))</f>
        <v/>
      </c>
      <c r="BJ50" s="38">
        <f>INDEX(Translations!$D:$ZZ, MATCH(337,Translations!$A:$A,0), MATCH('Project Information'!$C$4,Translations!$D$1:$ZZ$1,0))</f>
        <v/>
      </c>
      <c r="BK50" s="38">
        <f>INDEX(Translations!$D:$ZZ, MATCH(75,Translations!$A:$A,0), MATCH('Project Information'!$C$4,Translations!$D$1:$ZZ$1,0))</f>
        <v/>
      </c>
      <c r="BL50" s="38">
        <f>MAX(N(Development!$G$22),0)</f>
        <v/>
      </c>
      <c r="BM50" s="38" t="n">
        <v>2</v>
      </c>
      <c r="BN50" s="38">
        <f>BL50*BM50</f>
        <v/>
      </c>
    </row>
    <row r="51" ht="15" customHeight="1" s="39">
      <c r="A51" s="38">
        <f>INDEX(Translations!$D:$ZZ, MATCH(205,Translations!$A:$A,0), MATCH('Project Information'!$C$4,Translations!$D$1:$ZZ$1,0))</f>
        <v/>
      </c>
      <c r="B51" s="38">
        <f>IF($A51="","",SUMIFS($BN$2:$BN$700,$BI$2:$BI$700,$A51,$BJ$2:$BJ$700,B$49))</f>
        <v/>
      </c>
      <c r="C51" s="38">
        <f>IF($A51="","",SUMIFS($BN$2:$BN$700,$BI$2:$BI$700,$A51,$BJ$2:$BJ$700,C$49))</f>
        <v/>
      </c>
      <c r="D51" s="38">
        <f>IF($A51="","",SUMIFS($BN$2:$BN$700,$BI$2:$BI$700,$A51,$BJ$2:$BJ$700,D$49))</f>
        <v/>
      </c>
      <c r="E51" s="38">
        <f>IF($A51="","",SUMIFS($BN$2:$BN$700,$BI$2:$BI$700,$A51,$BJ$2:$BJ$700,E$49))</f>
        <v/>
      </c>
      <c r="F51" s="38">
        <f>IF($A51="","",SUMIFS($BN$2:$BN$700,$BI$2:$BI$700,$A51,$BJ$2:$BJ$700,F$49))</f>
        <v/>
      </c>
      <c r="G51" s="38">
        <f>IF($A51="","",SUMIFS($BN$2:$BN$700,$BI$2:$BI$700,$A51,$BJ$2:$BJ$700,G$49))</f>
        <v/>
      </c>
      <c r="H51" s="38">
        <f>IF($A51="","",SUMIFS($BN$2:$BN$700,$BI$2:$BI$700,$A51,$BJ$2:$BJ$700,H$49))</f>
        <v/>
      </c>
      <c r="I51" s="38">
        <f>IF($A51="","",SUMIFS($BN$2:$BN$700,$BI$2:$BI$700,$A51,$BJ$2:$BJ$700,I$49))</f>
        <v/>
      </c>
      <c r="J51" s="38">
        <f>IF($A51="","",SUMIFS($BN$2:$BN$700,$BI$2:$BI$700,$A51,$BJ$2:$BJ$700,J$49))</f>
        <v/>
      </c>
      <c r="K51" s="38">
        <f>IF($A51="","",SUMIFS($BN$2:$BN$700,$BI$2:$BI$700,$A51,$BJ$2:$BJ$700,K$49))</f>
        <v/>
      </c>
      <c r="L51" s="38">
        <f>IF($A51="","",SUMIFS($BN$2:$BN$700,$BI$2:$BI$700,$A51,$BJ$2:$BJ$700,L$49))</f>
        <v/>
      </c>
      <c r="M51" s="38">
        <f>IF($A51="","",SUMIFS($BN$2:$BN$700,$BI$2:$BI$700,$A51,$BJ$2:$BJ$700,M$49))</f>
        <v/>
      </c>
      <c r="N51" s="38">
        <f>IF($A51="","",SUMIFS($BN$2:$BN$700,$BI$2:$BI$700,$A51,$BJ$2:$BJ$700,N$49))</f>
        <v/>
      </c>
      <c r="O51" s="38">
        <f>IF($A51="","",SUMIFS($BN$2:$BN$700,$BI$2:$BI$700,$A51,$BJ$2:$BJ$700,O$49))</f>
        <v/>
      </c>
      <c r="P51" s="38">
        <f>IF($A51="","",SUMIFS($BN$2:$BN$700,$BI$2:$BI$700,$A51,$BJ$2:$BJ$700,P$49))</f>
        <v/>
      </c>
      <c r="Q51" s="38">
        <f>IF($A51="","",SUMIFS($BN$2:$BN$700,$BI$2:$BI$700,$A51,$BJ$2:$BJ$700,Q$49))</f>
        <v/>
      </c>
      <c r="R51" s="38">
        <f>IF($A51="","",SUMIFS($BN$2:$BN$700,$BI$2:$BI$700,$A51,$BJ$2:$BJ$700,R$49))</f>
        <v/>
      </c>
      <c r="S51" s="38">
        <f>IF($A51="","",SUMIFS($BN$2:$BN$700,$BI$2:$BI$700,$A51,$BJ$2:$BJ$700,S$49))</f>
        <v/>
      </c>
      <c r="T51" s="38">
        <f>IF($A51="","",SUMIFS($BN$2:$BN$700,$BI$2:$BI$700,$A51,$BJ$2:$BJ$700,T$49))</f>
        <v/>
      </c>
      <c r="U51" s="38">
        <f>IF($A51="","",SUMIFS($BN$2:$BN$700,$BI$2:$BI$700,$A51,$BJ$2:$BJ$700,U$49))</f>
        <v/>
      </c>
      <c r="V51" s="38">
        <f>IF($A51="","",SUMIFS($BN$2:$BN$700,$BI$2:$BI$700,$A51,$BJ$2:$BJ$700,V$49))</f>
        <v/>
      </c>
      <c r="W51" s="38">
        <f>IF($A51="","",SUMIFS($BN$2:$BN$700,$BI$2:$BI$700,$A51,$BJ$2:$BJ$700,W$49))</f>
        <v/>
      </c>
      <c r="X51" s="38">
        <f>IF($A51="","",SUMIFS($BN$2:$BN$700,$BI$2:$BI$700,$A51,$BJ$2:$BJ$700,X$49))</f>
        <v/>
      </c>
      <c r="Y51" s="38">
        <f>IF($A51="","",SUMIFS($BN$2:$BN$700,$BI$2:$BI$700,$A51,$BJ$2:$BJ$700,Y$49))</f>
        <v/>
      </c>
      <c r="Z51" s="38">
        <f>IF($A51="","",SUMIFS($BN$2:$BN$700,$BI$2:$BI$700,$A51,$BJ$2:$BJ$700,Z$49))</f>
        <v/>
      </c>
      <c r="AA51" s="38">
        <f>IF($A51="","",SUMIFS($BN$2:$BN$700,$BI$2:$BI$700,$A51,$BJ$2:$BJ$700,AA$49))</f>
        <v/>
      </c>
      <c r="AB51" s="38">
        <f>IF($A51="","",SUMIFS($BN$2:$BN$700,$BI$2:$BI$700,$A51,$BJ$2:$BJ$700,AB$49))</f>
        <v/>
      </c>
      <c r="AC51" s="38">
        <f>IF($A51="","",SUMIFS($BN$2:$BN$700,$BI$2:$BI$700,$A51,$BJ$2:$BJ$700,AC$49))</f>
        <v/>
      </c>
      <c r="AD51" s="38">
        <f>IF($A51="","",SUMIFS($BN$2:$BN$700,$BI$2:$BI$700,$A51,$BJ$2:$BJ$700,AD$49))</f>
        <v/>
      </c>
      <c r="AE51" s="38">
        <f>IF($A51="","",SUMIFS($BN$2:$BN$700,$BI$2:$BI$700,$A51,$BJ$2:$BJ$700,AE$49))</f>
        <v/>
      </c>
      <c r="AF51" s="38">
        <f>IF($A51="","",SUMIFS($BN$2:$BN$700,$BI$2:$BI$700,$A51,$BJ$2:$BJ$700,AF$49))</f>
        <v/>
      </c>
      <c r="AG51" s="38">
        <f>IF($A51="","",SUM(B51:AF51))</f>
        <v/>
      </c>
      <c r="AZ51" s="38">
        <f>INDEX(Translations!$D:$ZZ, MATCH(393,Translations!$A:$A,0), MATCH('Project Information'!$C$4,Translations!$D$1:$ZZ$1,0))</f>
        <v/>
      </c>
      <c r="BA51" s="38">
        <f>INDEX(Translations!$D:$ZZ, MATCH(356,Translations!$A:$A,0), MATCH('Project Information'!$C$4,Translations!$D$1:$ZZ$1,0))</f>
        <v/>
      </c>
      <c r="BB51" s="38">
        <f>INDEX(Translations!$D:$ZZ, MATCH(339,Translations!$A:$A,0), MATCH('Project Information'!$C$4,Translations!$D$1:$ZZ$1,0))</f>
        <v/>
      </c>
      <c r="BC51" s="38">
        <f>INDEX(Translations!$D:$ZZ, MATCH(76,Translations!$A:$A,0), MATCH('Project Information'!$C$4,Translations!$D$1:$ZZ$1,0))</f>
        <v/>
      </c>
      <c r="BD51" s="38">
        <f>IFERROR(IF(OR(INDEX('Module Selection'!$B:$B,MATCH("COMMODITY",'Module Selection'!$A:$A,0))="Var",INDEX('Module Selection'!$B:$B,MATCH("COMMODITY",'Module Selection'!$A:$A,0))="Include"),1,0),0)</f>
        <v/>
      </c>
      <c r="BE51" s="38" t="n">
        <v>2</v>
      </c>
      <c r="BF51" s="38">
        <f>BD51*BE51</f>
        <v/>
      </c>
      <c r="BH51" s="38">
        <f>INDEX(Translations!$D:$ZZ, MATCH(306,Translations!$A:$A,0), MATCH('Project Information'!$C$4,Translations!$D$1:$ZZ$1,0))</f>
        <v/>
      </c>
      <c r="BI51" s="38">
        <f>INDEX(Translations!$D:$ZZ, MATCH(224,Translations!$A:$A,0), MATCH('Project Information'!$C$4,Translations!$D$1:$ZZ$1,0))</f>
        <v/>
      </c>
      <c r="BJ51" s="38">
        <f>INDEX(Translations!$D:$ZZ, MATCH(337,Translations!$A:$A,0), MATCH('Project Information'!$C$4,Translations!$D$1:$ZZ$1,0))</f>
        <v/>
      </c>
      <c r="BK51" s="38">
        <f>INDEX(Translations!$D:$ZZ, MATCH(76,Translations!$A:$A,0), MATCH('Project Information'!$C$4,Translations!$D$1:$ZZ$1,0))</f>
        <v/>
      </c>
      <c r="BL51" s="38">
        <f>MAX(N(Development!$G$22),0)</f>
        <v/>
      </c>
      <c r="BM51" s="38" t="n">
        <v>1</v>
      </c>
      <c r="BN51" s="38">
        <f>BL51*BM51</f>
        <v/>
      </c>
    </row>
    <row r="52" hidden="1" ht="15" customHeight="1" s="39">
      <c r="A52" s="38">
        <f>INDEX(Translations!$D:$ZZ, MATCH(215,Translations!$A:$A,0), MATCH('Project Information'!$C$4,Translations!$D$1:$ZZ$1,0))</f>
        <v/>
      </c>
      <c r="B52" s="38">
        <f>IF($A52="","",SUMIFS($BN$2:$BN$700,$BI$2:$BI$700,$A52,$BJ$2:$BJ$700,B$49))</f>
        <v/>
      </c>
      <c r="C52" s="38">
        <f>IF($A52="","",SUMIFS($BN$2:$BN$700,$BI$2:$BI$700,$A52,$BJ$2:$BJ$700,C$49))</f>
        <v/>
      </c>
      <c r="D52" s="38">
        <f>IF($A52="","",SUMIFS($BN$2:$BN$700,$BI$2:$BI$700,$A52,$BJ$2:$BJ$700,D$49))</f>
        <v/>
      </c>
      <c r="E52" s="38">
        <f>IF($A52="","",SUMIFS($BN$2:$BN$700,$BI$2:$BI$700,$A52,$BJ$2:$BJ$700,E$49))</f>
        <v/>
      </c>
      <c r="F52" s="38">
        <f>IF($A52="","",SUMIFS($BN$2:$BN$700,$BI$2:$BI$700,$A52,$BJ$2:$BJ$700,F$49))</f>
        <v/>
      </c>
      <c r="G52" s="38">
        <f>IF($A52="","",SUMIFS($BN$2:$BN$700,$BI$2:$BI$700,$A52,$BJ$2:$BJ$700,G$49))</f>
        <v/>
      </c>
      <c r="H52" s="38">
        <f>IF($A52="","",SUMIFS($BN$2:$BN$700,$BI$2:$BI$700,$A52,$BJ$2:$BJ$700,H$49))</f>
        <v/>
      </c>
      <c r="I52" s="38">
        <f>IF($A52="","",SUMIFS($BN$2:$BN$700,$BI$2:$BI$700,$A52,$BJ$2:$BJ$700,I$49))</f>
        <v/>
      </c>
      <c r="J52" s="38">
        <f>IF($A52="","",SUMIFS($BN$2:$BN$700,$BI$2:$BI$700,$A52,$BJ$2:$BJ$700,J$49))</f>
        <v/>
      </c>
      <c r="K52" s="38">
        <f>IF($A52="","",SUMIFS($BN$2:$BN$700,$BI$2:$BI$700,$A52,$BJ$2:$BJ$700,K$49))</f>
        <v/>
      </c>
      <c r="L52" s="38">
        <f>IF($A52="","",SUMIFS($BN$2:$BN$700,$BI$2:$BI$700,$A52,$BJ$2:$BJ$700,L$49))</f>
        <v/>
      </c>
      <c r="M52" s="38">
        <f>IF($A52="","",SUMIFS($BN$2:$BN$700,$BI$2:$BI$700,$A52,$BJ$2:$BJ$700,M$49))</f>
        <v/>
      </c>
      <c r="N52" s="38">
        <f>IF($A52="","",SUMIFS($BN$2:$BN$700,$BI$2:$BI$700,$A52,$BJ$2:$BJ$700,N$49))</f>
        <v/>
      </c>
      <c r="O52" s="38">
        <f>IF($A52="","",SUMIFS($BN$2:$BN$700,$BI$2:$BI$700,$A52,$BJ$2:$BJ$700,O$49))</f>
        <v/>
      </c>
      <c r="P52" s="38">
        <f>IF($A52="","",SUMIFS($BN$2:$BN$700,$BI$2:$BI$700,$A52,$BJ$2:$BJ$700,P$49))</f>
        <v/>
      </c>
      <c r="Q52" s="38">
        <f>IF($A52="","",SUMIFS($BN$2:$BN$700,$BI$2:$BI$700,$A52,$BJ$2:$BJ$700,Q$49))</f>
        <v/>
      </c>
      <c r="R52" s="38">
        <f>IF($A52="","",SUMIFS($BN$2:$BN$700,$BI$2:$BI$700,$A52,$BJ$2:$BJ$700,R$49))</f>
        <v/>
      </c>
      <c r="S52" s="38">
        <f>IF($A52="","",SUMIFS($BN$2:$BN$700,$BI$2:$BI$700,$A52,$BJ$2:$BJ$700,S$49))</f>
        <v/>
      </c>
      <c r="T52" s="38">
        <f>IF($A52="","",SUMIFS($BN$2:$BN$700,$BI$2:$BI$700,$A52,$BJ$2:$BJ$700,T$49))</f>
        <v/>
      </c>
      <c r="U52" s="38">
        <f>IF($A52="","",SUMIFS($BN$2:$BN$700,$BI$2:$BI$700,$A52,$BJ$2:$BJ$700,U$49))</f>
        <v/>
      </c>
      <c r="V52" s="38">
        <f>IF($A52="","",SUMIFS($BN$2:$BN$700,$BI$2:$BI$700,$A52,$BJ$2:$BJ$700,V$49))</f>
        <v/>
      </c>
      <c r="W52" s="38">
        <f>IF($A52="","",SUMIFS($BN$2:$BN$700,$BI$2:$BI$700,$A52,$BJ$2:$BJ$700,W$49))</f>
        <v/>
      </c>
      <c r="X52" s="38">
        <f>IF($A52="","",SUMIFS($BN$2:$BN$700,$BI$2:$BI$700,$A52,$BJ$2:$BJ$700,X$49))</f>
        <v/>
      </c>
      <c r="Y52" s="38">
        <f>IF($A52="","",SUMIFS($BN$2:$BN$700,$BI$2:$BI$700,$A52,$BJ$2:$BJ$700,Y$49))</f>
        <v/>
      </c>
      <c r="Z52" s="38">
        <f>IF($A52="","",SUMIFS($BN$2:$BN$700,$BI$2:$BI$700,$A52,$BJ$2:$BJ$700,Z$49))</f>
        <v/>
      </c>
      <c r="AA52" s="38">
        <f>IF($A52="","",SUMIFS($BN$2:$BN$700,$BI$2:$BI$700,$A52,$BJ$2:$BJ$700,AA$49))</f>
        <v/>
      </c>
      <c r="AB52" s="38">
        <f>IF($A52="","",SUMIFS($BN$2:$BN$700,$BI$2:$BI$700,$A52,$BJ$2:$BJ$700,AB$49))</f>
        <v/>
      </c>
      <c r="AC52" s="38">
        <f>IF($A52="","",SUMIFS($BN$2:$BN$700,$BI$2:$BI$700,$A52,$BJ$2:$BJ$700,AC$49))</f>
        <v/>
      </c>
      <c r="AD52" s="38">
        <f>IF($A52="","",SUMIFS($BN$2:$BN$700,$BI$2:$BI$700,$A52,$BJ$2:$BJ$700,AD$49))</f>
        <v/>
      </c>
      <c r="AE52" s="38">
        <f>IF($A52="","",SUMIFS($BN$2:$BN$700,$BI$2:$BI$700,$A52,$BJ$2:$BJ$700,AE$49))</f>
        <v/>
      </c>
      <c r="AF52" s="38">
        <f>IF($A52="","",SUMIFS($BN$2:$BN$700,$BI$2:$BI$700,$A52,$BJ$2:$BJ$700,AF$49))</f>
        <v/>
      </c>
      <c r="AG52" s="38">
        <f>IF($A52="","",SUM(B52:AF52))</f>
        <v/>
      </c>
      <c r="AZ52" s="38">
        <f>INDEX(Translations!$D:$ZZ, MATCH(393,Translations!$A:$A,0), MATCH('Project Information'!$C$4,Translations!$D$1:$ZZ$1,0))</f>
        <v/>
      </c>
      <c r="BA52" s="38">
        <f>INDEX(Translations!$D:$ZZ, MATCH(356,Translations!$A:$A,0), MATCH('Project Information'!$C$4,Translations!$D$1:$ZZ$1,0))</f>
        <v/>
      </c>
      <c r="BB52" s="38">
        <f>INDEX(Translations!$D:$ZZ, MATCH(339,Translations!$A:$A,0), MATCH('Project Information'!$C$4,Translations!$D$1:$ZZ$1,0))</f>
        <v/>
      </c>
      <c r="BC52" s="38">
        <f>INDEX(Translations!$D:$ZZ, MATCH(77,Translations!$A:$A,0), MATCH('Project Information'!$C$4,Translations!$D$1:$ZZ$1,0))</f>
        <v/>
      </c>
      <c r="BD52" s="38">
        <f>IFERROR(IF(OR(INDEX('Module Selection'!$B:$B,MATCH("COMMODITY",'Module Selection'!$A:$A,0))="Var",INDEX('Module Selection'!$B:$B,MATCH("COMMODITY",'Module Selection'!$A:$A,0))="Include"),1,0),0)</f>
        <v/>
      </c>
      <c r="BE52" s="38" t="n">
        <v>1</v>
      </c>
      <c r="BF52" s="38">
        <f>BD52*BE52</f>
        <v/>
      </c>
      <c r="BH52" s="38">
        <f>INDEX(Translations!$D:$ZZ, MATCH(306,Translations!$A:$A,0), MATCH('Project Information'!$C$4,Translations!$D$1:$ZZ$1,0))</f>
        <v/>
      </c>
      <c r="BI52" s="38">
        <f>INDEX(Translations!$D:$ZZ, MATCH(224,Translations!$A:$A,0), MATCH('Project Information'!$C$4,Translations!$D$1:$ZZ$1,0))</f>
        <v/>
      </c>
      <c r="BJ52" s="38">
        <f>INDEX(Translations!$D:$ZZ, MATCH(337,Translations!$A:$A,0), MATCH('Project Information'!$C$4,Translations!$D$1:$ZZ$1,0))</f>
        <v/>
      </c>
      <c r="BK52" s="38">
        <f>INDEX(Translations!$D:$ZZ, MATCH(79,Translations!$A:$A,0), MATCH('Project Information'!$C$4,Translations!$D$1:$ZZ$1,0))</f>
        <v/>
      </c>
      <c r="BL52" s="38">
        <f>MAX(N(Development!$G$22),0)</f>
        <v/>
      </c>
      <c r="BM52" s="38" t="n">
        <v>1</v>
      </c>
      <c r="BN52" s="38">
        <f>BL52*BM52</f>
        <v/>
      </c>
    </row>
    <row r="53" ht="15" customHeight="1" s="39">
      <c r="A53" s="38">
        <f>INDEX(Translations!$D:$ZZ, MATCH(225,Translations!$A:$A,0), MATCH('Project Information'!$C$4,Translations!$D$1:$ZZ$1,0))</f>
        <v/>
      </c>
      <c r="B53" s="38">
        <f>IF($A53="","",SUMIFS($BN$2:$BN$700,$BI$2:$BI$700,$A53,$BJ$2:$BJ$700,B$49))</f>
        <v/>
      </c>
      <c r="C53" s="38">
        <f>IF($A53="","",SUMIFS($BN$2:$BN$700,$BI$2:$BI$700,$A53,$BJ$2:$BJ$700,C$49))</f>
        <v/>
      </c>
      <c r="D53" s="38">
        <f>IF($A53="","",SUMIFS($BN$2:$BN$700,$BI$2:$BI$700,$A53,$BJ$2:$BJ$700,D$49))</f>
        <v/>
      </c>
      <c r="E53" s="38">
        <f>IF($A53="","",SUMIFS($BN$2:$BN$700,$BI$2:$BI$700,$A53,$BJ$2:$BJ$700,E$49))</f>
        <v/>
      </c>
      <c r="F53" s="38">
        <f>IF($A53="","",SUMIFS($BN$2:$BN$700,$BI$2:$BI$700,$A53,$BJ$2:$BJ$700,F$49))</f>
        <v/>
      </c>
      <c r="G53" s="38">
        <f>IF($A53="","",SUMIFS($BN$2:$BN$700,$BI$2:$BI$700,$A53,$BJ$2:$BJ$700,G$49))</f>
        <v/>
      </c>
      <c r="H53" s="38">
        <f>IF($A53="","",SUMIFS($BN$2:$BN$700,$BI$2:$BI$700,$A53,$BJ$2:$BJ$700,H$49))</f>
        <v/>
      </c>
      <c r="I53" s="38">
        <f>IF($A53="","",SUMIFS($BN$2:$BN$700,$BI$2:$BI$700,$A53,$BJ$2:$BJ$700,I$49))</f>
        <v/>
      </c>
      <c r="J53" s="38">
        <f>IF($A53="","",SUMIFS($BN$2:$BN$700,$BI$2:$BI$700,$A53,$BJ$2:$BJ$700,J$49))</f>
        <v/>
      </c>
      <c r="K53" s="38">
        <f>IF($A53="","",SUMIFS($BN$2:$BN$700,$BI$2:$BI$700,$A53,$BJ$2:$BJ$700,K$49))</f>
        <v/>
      </c>
      <c r="L53" s="38">
        <f>IF($A53="","",SUMIFS($BN$2:$BN$700,$BI$2:$BI$700,$A53,$BJ$2:$BJ$700,L$49))</f>
        <v/>
      </c>
      <c r="M53" s="38">
        <f>IF($A53="","",SUMIFS($BN$2:$BN$700,$BI$2:$BI$700,$A53,$BJ$2:$BJ$700,M$49))</f>
        <v/>
      </c>
      <c r="N53" s="38">
        <f>IF($A53="","",SUMIFS($BN$2:$BN$700,$BI$2:$BI$700,$A53,$BJ$2:$BJ$700,N$49))</f>
        <v/>
      </c>
      <c r="O53" s="38">
        <f>IF($A53="","",SUMIFS($BN$2:$BN$700,$BI$2:$BI$700,$A53,$BJ$2:$BJ$700,O$49))</f>
        <v/>
      </c>
      <c r="P53" s="38">
        <f>IF($A53="","",SUMIFS($BN$2:$BN$700,$BI$2:$BI$700,$A53,$BJ$2:$BJ$700,P$49))</f>
        <v/>
      </c>
      <c r="Q53" s="38">
        <f>IF($A53="","",SUMIFS($BN$2:$BN$700,$BI$2:$BI$700,$A53,$BJ$2:$BJ$700,Q$49))</f>
        <v/>
      </c>
      <c r="R53" s="38">
        <f>IF($A53="","",SUMIFS($BN$2:$BN$700,$BI$2:$BI$700,$A53,$BJ$2:$BJ$700,R$49))</f>
        <v/>
      </c>
      <c r="S53" s="38">
        <f>IF($A53="","",SUMIFS($BN$2:$BN$700,$BI$2:$BI$700,$A53,$BJ$2:$BJ$700,S$49))</f>
        <v/>
      </c>
      <c r="T53" s="38">
        <f>IF($A53="","",SUMIFS($BN$2:$BN$700,$BI$2:$BI$700,$A53,$BJ$2:$BJ$700,T$49))</f>
        <v/>
      </c>
      <c r="U53" s="38">
        <f>IF($A53="","",SUMIFS($BN$2:$BN$700,$BI$2:$BI$700,$A53,$BJ$2:$BJ$700,U$49))</f>
        <v/>
      </c>
      <c r="V53" s="38">
        <f>IF($A53="","",SUMIFS($BN$2:$BN$700,$BI$2:$BI$700,$A53,$BJ$2:$BJ$700,V$49))</f>
        <v/>
      </c>
      <c r="W53" s="38">
        <f>IF($A53="","",SUMIFS($BN$2:$BN$700,$BI$2:$BI$700,$A53,$BJ$2:$BJ$700,W$49))</f>
        <v/>
      </c>
      <c r="X53" s="38">
        <f>IF($A53="","",SUMIFS($BN$2:$BN$700,$BI$2:$BI$700,$A53,$BJ$2:$BJ$700,X$49))</f>
        <v/>
      </c>
      <c r="Y53" s="38">
        <f>IF($A53="","",SUMIFS($BN$2:$BN$700,$BI$2:$BI$700,$A53,$BJ$2:$BJ$700,Y$49))</f>
        <v/>
      </c>
      <c r="Z53" s="38">
        <f>IF($A53="","",SUMIFS($BN$2:$BN$700,$BI$2:$BI$700,$A53,$BJ$2:$BJ$700,Z$49))</f>
        <v/>
      </c>
      <c r="AA53" s="38">
        <f>IF($A53="","",SUMIFS($BN$2:$BN$700,$BI$2:$BI$700,$A53,$BJ$2:$BJ$700,AA$49))</f>
        <v/>
      </c>
      <c r="AB53" s="38">
        <f>IF($A53="","",SUMIFS($BN$2:$BN$700,$BI$2:$BI$700,$A53,$BJ$2:$BJ$700,AB$49))</f>
        <v/>
      </c>
      <c r="AC53" s="38">
        <f>IF($A53="","",SUMIFS($BN$2:$BN$700,$BI$2:$BI$700,$A53,$BJ$2:$BJ$700,AC$49))</f>
        <v/>
      </c>
      <c r="AD53" s="38">
        <f>IF($A53="","",SUMIFS($BN$2:$BN$700,$BI$2:$BI$700,$A53,$BJ$2:$BJ$700,AD$49))</f>
        <v/>
      </c>
      <c r="AE53" s="38">
        <f>IF($A53="","",SUMIFS($BN$2:$BN$700,$BI$2:$BI$700,$A53,$BJ$2:$BJ$700,AE$49))</f>
        <v/>
      </c>
      <c r="AF53" s="38">
        <f>IF($A53="","",SUMIFS($BN$2:$BN$700,$BI$2:$BI$700,$A53,$BJ$2:$BJ$700,AF$49))</f>
        <v/>
      </c>
      <c r="AG53" s="38">
        <f>IF($A53="","",SUM(B53:AF53))</f>
        <v/>
      </c>
      <c r="AZ53" s="38">
        <f>INDEX(Translations!$D:$ZZ, MATCH(393,Translations!$A:$A,0), MATCH('Project Information'!$C$4,Translations!$D$1:$ZZ$1,0))</f>
        <v/>
      </c>
      <c r="BA53" s="38">
        <f>INDEX(Translations!$D:$ZZ, MATCH(356,Translations!$A:$A,0), MATCH('Project Information'!$C$4,Translations!$D$1:$ZZ$1,0))</f>
        <v/>
      </c>
      <c r="BB53" s="38">
        <f>INDEX(Translations!$D:$ZZ, MATCH(339,Translations!$A:$A,0), MATCH('Project Information'!$C$4,Translations!$D$1:$ZZ$1,0))</f>
        <v/>
      </c>
      <c r="BC53" s="38">
        <f>INDEX(Translations!$D:$ZZ, MATCH(78,Translations!$A:$A,0), MATCH('Project Information'!$C$4,Translations!$D$1:$ZZ$1,0))</f>
        <v/>
      </c>
      <c r="BD53" s="38">
        <f>IFERROR(IF(OR(INDEX('Module Selection'!$B:$B,MATCH("COMMODITY",'Module Selection'!$A:$A,0))="Var",INDEX('Module Selection'!$B:$B,MATCH("COMMODITY",'Module Selection'!$A:$A,0))="Include"),1,0),0)</f>
        <v/>
      </c>
      <c r="BE53" s="38" t="n">
        <v>8</v>
      </c>
      <c r="BF53" s="38">
        <f>BD53*BE53</f>
        <v/>
      </c>
      <c r="BH53" s="38">
        <f>INDEX(Translations!$D:$ZZ, MATCH(306,Translations!$A:$A,0), MATCH('Project Information'!$C$4,Translations!$D$1:$ZZ$1,0))</f>
        <v/>
      </c>
      <c r="BI53" s="38">
        <f>INDEX(Translations!$D:$ZZ, MATCH(224,Translations!$A:$A,0), MATCH('Project Information'!$C$4,Translations!$D$1:$ZZ$1,0))</f>
        <v/>
      </c>
      <c r="BJ53" s="38">
        <f>INDEX(Translations!$D:$ZZ, MATCH(339,Translations!$A:$A,0), MATCH('Project Information'!$C$4,Translations!$D$1:$ZZ$1,0))</f>
        <v/>
      </c>
      <c r="BK53" s="38">
        <f>INDEX(Translations!$D:$ZZ, MATCH(75,Translations!$A:$A,0), MATCH('Project Information'!$C$4,Translations!$D$1:$ZZ$1,0))</f>
        <v/>
      </c>
      <c r="BL53" s="38">
        <f>MAX(N(Development!$G$22),0)</f>
        <v/>
      </c>
      <c r="BM53" s="38" t="n">
        <v>2</v>
      </c>
      <c r="BN53" s="38">
        <f>BL53*BM53</f>
        <v/>
      </c>
    </row>
    <row r="54" ht="15" customHeight="1" s="39">
      <c r="A54" s="38">
        <f>INDEX(Translations!$D:$ZZ, MATCH(249,Translations!$A:$A,0), MATCH('Project Information'!$C$4,Translations!$D$1:$ZZ$1,0))</f>
        <v/>
      </c>
      <c r="B54" s="38">
        <f>IF($A54="","",SUMIFS($BN$2:$BN$700,$BI$2:$BI$700,$A54,$BJ$2:$BJ$700,B$49))</f>
        <v/>
      </c>
      <c r="C54" s="38">
        <f>IF($A54="","",SUMIFS($BN$2:$BN$700,$BI$2:$BI$700,$A54,$BJ$2:$BJ$700,C$49))</f>
        <v/>
      </c>
      <c r="D54" s="38">
        <f>IF($A54="","",SUMIFS($BN$2:$BN$700,$BI$2:$BI$700,$A54,$BJ$2:$BJ$700,D$49))</f>
        <v/>
      </c>
      <c r="E54" s="38">
        <f>IF($A54="","",SUMIFS($BN$2:$BN$700,$BI$2:$BI$700,$A54,$BJ$2:$BJ$700,E$49))</f>
        <v/>
      </c>
      <c r="F54" s="38">
        <f>IF($A54="","",SUMIFS($BN$2:$BN$700,$BI$2:$BI$700,$A54,$BJ$2:$BJ$700,F$49))</f>
        <v/>
      </c>
      <c r="G54" s="38">
        <f>IF($A54="","",SUMIFS($BN$2:$BN$700,$BI$2:$BI$700,$A54,$BJ$2:$BJ$700,G$49))</f>
        <v/>
      </c>
      <c r="H54" s="38">
        <f>IF($A54="","",SUMIFS($BN$2:$BN$700,$BI$2:$BI$700,$A54,$BJ$2:$BJ$700,H$49))</f>
        <v/>
      </c>
      <c r="I54" s="38">
        <f>IF($A54="","",SUMIFS($BN$2:$BN$700,$BI$2:$BI$700,$A54,$BJ$2:$BJ$700,I$49))</f>
        <v/>
      </c>
      <c r="J54" s="38">
        <f>IF($A54="","",SUMIFS($BN$2:$BN$700,$BI$2:$BI$700,$A54,$BJ$2:$BJ$700,J$49))</f>
        <v/>
      </c>
      <c r="K54" s="38">
        <f>IF($A54="","",SUMIFS($BN$2:$BN$700,$BI$2:$BI$700,$A54,$BJ$2:$BJ$700,K$49))</f>
        <v/>
      </c>
      <c r="L54" s="38">
        <f>IF($A54="","",SUMIFS($BN$2:$BN$700,$BI$2:$BI$700,$A54,$BJ$2:$BJ$700,L$49))</f>
        <v/>
      </c>
      <c r="M54" s="38">
        <f>IF($A54="","",SUMIFS($BN$2:$BN$700,$BI$2:$BI$700,$A54,$BJ$2:$BJ$700,M$49))</f>
        <v/>
      </c>
      <c r="N54" s="38">
        <f>IF($A54="","",SUMIFS($BN$2:$BN$700,$BI$2:$BI$700,$A54,$BJ$2:$BJ$700,N$49))</f>
        <v/>
      </c>
      <c r="O54" s="38">
        <f>IF($A54="","",SUMIFS($BN$2:$BN$700,$BI$2:$BI$700,$A54,$BJ$2:$BJ$700,O$49))</f>
        <v/>
      </c>
      <c r="P54" s="38">
        <f>IF($A54="","",SUMIFS($BN$2:$BN$700,$BI$2:$BI$700,$A54,$BJ$2:$BJ$700,P$49))</f>
        <v/>
      </c>
      <c r="Q54" s="38">
        <f>IF($A54="","",SUMIFS($BN$2:$BN$700,$BI$2:$BI$700,$A54,$BJ$2:$BJ$700,Q$49))</f>
        <v/>
      </c>
      <c r="R54" s="38">
        <f>IF($A54="","",SUMIFS($BN$2:$BN$700,$BI$2:$BI$700,$A54,$BJ$2:$BJ$700,R$49))</f>
        <v/>
      </c>
      <c r="S54" s="38">
        <f>IF($A54="","",SUMIFS($BN$2:$BN$700,$BI$2:$BI$700,$A54,$BJ$2:$BJ$700,S$49))</f>
        <v/>
      </c>
      <c r="T54" s="38">
        <f>IF($A54="","",SUMIFS($BN$2:$BN$700,$BI$2:$BI$700,$A54,$BJ$2:$BJ$700,T$49))</f>
        <v/>
      </c>
      <c r="U54" s="38">
        <f>IF($A54="","",SUMIFS($BN$2:$BN$700,$BI$2:$BI$700,$A54,$BJ$2:$BJ$700,U$49))</f>
        <v/>
      </c>
      <c r="V54" s="38">
        <f>IF($A54="","",SUMIFS($BN$2:$BN$700,$BI$2:$BI$700,$A54,$BJ$2:$BJ$700,V$49))</f>
        <v/>
      </c>
      <c r="W54" s="38">
        <f>IF($A54="","",SUMIFS($BN$2:$BN$700,$BI$2:$BI$700,$A54,$BJ$2:$BJ$700,W$49))</f>
        <v/>
      </c>
      <c r="X54" s="38">
        <f>IF($A54="","",SUMIFS($BN$2:$BN$700,$BI$2:$BI$700,$A54,$BJ$2:$BJ$700,X$49))</f>
        <v/>
      </c>
      <c r="Y54" s="38">
        <f>IF($A54="","",SUMIFS($BN$2:$BN$700,$BI$2:$BI$700,$A54,$BJ$2:$BJ$700,Y$49))</f>
        <v/>
      </c>
      <c r="Z54" s="38">
        <f>IF($A54="","",SUMIFS($BN$2:$BN$700,$BI$2:$BI$700,$A54,$BJ$2:$BJ$700,Z$49))</f>
        <v/>
      </c>
      <c r="AA54" s="38">
        <f>IF($A54="","",SUMIFS($BN$2:$BN$700,$BI$2:$BI$700,$A54,$BJ$2:$BJ$700,AA$49))</f>
        <v/>
      </c>
      <c r="AB54" s="38">
        <f>IF($A54="","",SUMIFS($BN$2:$BN$700,$BI$2:$BI$700,$A54,$BJ$2:$BJ$700,AB$49))</f>
        <v/>
      </c>
      <c r="AC54" s="38">
        <f>IF($A54="","",SUMIFS($BN$2:$BN$700,$BI$2:$BI$700,$A54,$BJ$2:$BJ$700,AC$49))</f>
        <v/>
      </c>
      <c r="AD54" s="38">
        <f>IF($A54="","",SUMIFS($BN$2:$BN$700,$BI$2:$BI$700,$A54,$BJ$2:$BJ$700,AD$49))</f>
        <v/>
      </c>
      <c r="AE54" s="38">
        <f>IF($A54="","",SUMIFS($BN$2:$BN$700,$BI$2:$BI$700,$A54,$BJ$2:$BJ$700,AE$49))</f>
        <v/>
      </c>
      <c r="AF54" s="38">
        <f>IF($A54="","",SUMIFS($BN$2:$BN$700,$BI$2:$BI$700,$A54,$BJ$2:$BJ$700,AF$49))</f>
        <v/>
      </c>
      <c r="AG54" s="38">
        <f>IF($A54="","",SUM(B54:AF54))</f>
        <v/>
      </c>
      <c r="AZ54" s="38">
        <f>INDEX(Translations!$D:$ZZ, MATCH(393,Translations!$A:$A,0), MATCH('Project Information'!$C$4,Translations!$D$1:$ZZ$1,0))</f>
        <v/>
      </c>
      <c r="BA54" s="38">
        <f>INDEX(Translations!$D:$ZZ, MATCH(356,Translations!$A:$A,0), MATCH('Project Information'!$C$4,Translations!$D$1:$ZZ$1,0))</f>
        <v/>
      </c>
      <c r="BB54" s="38">
        <f>INDEX(Translations!$D:$ZZ, MATCH(339,Translations!$A:$A,0), MATCH('Project Information'!$C$4,Translations!$D$1:$ZZ$1,0))</f>
        <v/>
      </c>
      <c r="BC54" s="38">
        <f>INDEX(Translations!$D:$ZZ, MATCH(79,Translations!$A:$A,0), MATCH('Project Information'!$C$4,Translations!$D$1:$ZZ$1,0))</f>
        <v/>
      </c>
      <c r="BD54" s="38">
        <f>IFERROR(IF(OR(INDEX('Module Selection'!$B:$B,MATCH("COMMODITY",'Module Selection'!$A:$A,0))="Var",INDEX('Module Selection'!$B:$B,MATCH("COMMODITY",'Module Selection'!$A:$A,0))="Include"),1,0),0)</f>
        <v/>
      </c>
      <c r="BE54" s="38" t="n">
        <v>3</v>
      </c>
      <c r="BF54" s="38">
        <f>BD54*BE54</f>
        <v/>
      </c>
      <c r="BH54" s="38">
        <f>INDEX(Translations!$D:$ZZ, MATCH(306,Translations!$A:$A,0), MATCH('Project Information'!$C$4,Translations!$D$1:$ZZ$1,0))</f>
        <v/>
      </c>
      <c r="BI54" s="38">
        <f>INDEX(Translations!$D:$ZZ, MATCH(224,Translations!$A:$A,0), MATCH('Project Information'!$C$4,Translations!$D$1:$ZZ$1,0))</f>
        <v/>
      </c>
      <c r="BJ54" s="38">
        <f>INDEX(Translations!$D:$ZZ, MATCH(339,Translations!$A:$A,0), MATCH('Project Information'!$C$4,Translations!$D$1:$ZZ$1,0))</f>
        <v/>
      </c>
      <c r="BK54" s="38">
        <f>INDEX(Translations!$D:$ZZ, MATCH(76,Translations!$A:$A,0), MATCH('Project Information'!$C$4,Translations!$D$1:$ZZ$1,0))</f>
        <v/>
      </c>
      <c r="BL54" s="38">
        <f>MAX(N(Development!$G$22),0)</f>
        <v/>
      </c>
      <c r="BM54" s="38" t="n">
        <v>1</v>
      </c>
      <c r="BN54" s="38">
        <f>BL54*BM54</f>
        <v/>
      </c>
    </row>
    <row r="55" ht="15" customHeight="1" s="39">
      <c r="A55" s="38">
        <f>INDEX(Translations!$D:$ZZ, MATCH(237,Translations!$A:$A,0), MATCH('Project Information'!$C$4,Translations!$D$1:$ZZ$1,0))</f>
        <v/>
      </c>
      <c r="B55" s="38">
        <f>IF($A55="","",SUMIFS($BN$2:$BN$700,$BI$2:$BI$700,$A55,$BJ$2:$BJ$700,B$49))</f>
        <v/>
      </c>
      <c r="C55" s="38">
        <f>IF($A55="","",SUMIFS($BN$2:$BN$700,$BI$2:$BI$700,$A55,$BJ$2:$BJ$700,C$49))</f>
        <v/>
      </c>
      <c r="D55" s="38">
        <f>IF($A55="","",SUMIFS($BN$2:$BN$700,$BI$2:$BI$700,$A55,$BJ$2:$BJ$700,D$49))</f>
        <v/>
      </c>
      <c r="E55" s="38">
        <f>IF($A55="","",SUMIFS($BN$2:$BN$700,$BI$2:$BI$700,$A55,$BJ$2:$BJ$700,E$49))</f>
        <v/>
      </c>
      <c r="F55" s="38">
        <f>IF($A55="","",SUMIFS($BN$2:$BN$700,$BI$2:$BI$700,$A55,$BJ$2:$BJ$700,F$49))</f>
        <v/>
      </c>
      <c r="G55" s="38">
        <f>IF($A55="","",SUMIFS($BN$2:$BN$700,$BI$2:$BI$700,$A55,$BJ$2:$BJ$700,G$49))</f>
        <v/>
      </c>
      <c r="H55" s="38">
        <f>IF($A55="","",SUMIFS($BN$2:$BN$700,$BI$2:$BI$700,$A55,$BJ$2:$BJ$700,H$49))</f>
        <v/>
      </c>
      <c r="I55" s="38">
        <f>IF($A55="","",SUMIFS($BN$2:$BN$700,$BI$2:$BI$700,$A55,$BJ$2:$BJ$700,I$49))</f>
        <v/>
      </c>
      <c r="J55" s="38">
        <f>IF($A55="","",SUMIFS($BN$2:$BN$700,$BI$2:$BI$700,$A55,$BJ$2:$BJ$700,J$49))</f>
        <v/>
      </c>
      <c r="K55" s="38">
        <f>IF($A55="","",SUMIFS($BN$2:$BN$700,$BI$2:$BI$700,$A55,$BJ$2:$BJ$700,K$49))</f>
        <v/>
      </c>
      <c r="L55" s="38">
        <f>IF($A55="","",SUMIFS($BN$2:$BN$700,$BI$2:$BI$700,$A55,$BJ$2:$BJ$700,L$49))</f>
        <v/>
      </c>
      <c r="M55" s="38">
        <f>IF($A55="","",SUMIFS($BN$2:$BN$700,$BI$2:$BI$700,$A55,$BJ$2:$BJ$700,M$49))</f>
        <v/>
      </c>
      <c r="N55" s="38">
        <f>IF($A55="","",SUMIFS($BN$2:$BN$700,$BI$2:$BI$700,$A55,$BJ$2:$BJ$700,N$49))</f>
        <v/>
      </c>
      <c r="O55" s="38">
        <f>IF($A55="","",SUMIFS($BN$2:$BN$700,$BI$2:$BI$700,$A55,$BJ$2:$BJ$700,O$49))</f>
        <v/>
      </c>
      <c r="P55" s="38">
        <f>IF($A55="","",SUMIFS($BN$2:$BN$700,$BI$2:$BI$700,$A55,$BJ$2:$BJ$700,P$49))</f>
        <v/>
      </c>
      <c r="Q55" s="38">
        <f>IF($A55="","",SUMIFS($BN$2:$BN$700,$BI$2:$BI$700,$A55,$BJ$2:$BJ$700,Q$49))</f>
        <v/>
      </c>
      <c r="R55" s="38">
        <f>IF($A55="","",SUMIFS($BN$2:$BN$700,$BI$2:$BI$700,$A55,$BJ$2:$BJ$700,R$49))</f>
        <v/>
      </c>
      <c r="S55" s="38">
        <f>IF($A55="","",SUMIFS($BN$2:$BN$700,$BI$2:$BI$700,$A55,$BJ$2:$BJ$700,S$49))</f>
        <v/>
      </c>
      <c r="T55" s="38">
        <f>IF($A55="","",SUMIFS($BN$2:$BN$700,$BI$2:$BI$700,$A55,$BJ$2:$BJ$700,T$49))</f>
        <v/>
      </c>
      <c r="U55" s="38">
        <f>IF($A55="","",SUMIFS($BN$2:$BN$700,$BI$2:$BI$700,$A55,$BJ$2:$BJ$700,U$49))</f>
        <v/>
      </c>
      <c r="V55" s="38">
        <f>IF($A55="","",SUMIFS($BN$2:$BN$700,$BI$2:$BI$700,$A55,$BJ$2:$BJ$700,V$49))</f>
        <v/>
      </c>
      <c r="W55" s="38">
        <f>IF($A55="","",SUMIFS($BN$2:$BN$700,$BI$2:$BI$700,$A55,$BJ$2:$BJ$700,W$49))</f>
        <v/>
      </c>
      <c r="X55" s="38">
        <f>IF($A55="","",SUMIFS($BN$2:$BN$700,$BI$2:$BI$700,$A55,$BJ$2:$BJ$700,X$49))</f>
        <v/>
      </c>
      <c r="Y55" s="38">
        <f>IF($A55="","",SUMIFS($BN$2:$BN$700,$BI$2:$BI$700,$A55,$BJ$2:$BJ$700,Y$49))</f>
        <v/>
      </c>
      <c r="Z55" s="38">
        <f>IF($A55="","",SUMIFS($BN$2:$BN$700,$BI$2:$BI$700,$A55,$BJ$2:$BJ$700,Z$49))</f>
        <v/>
      </c>
      <c r="AA55" s="38">
        <f>IF($A55="","",SUMIFS($BN$2:$BN$700,$BI$2:$BI$700,$A55,$BJ$2:$BJ$700,AA$49))</f>
        <v/>
      </c>
      <c r="AB55" s="38">
        <f>IF($A55="","",SUMIFS($BN$2:$BN$700,$BI$2:$BI$700,$A55,$BJ$2:$BJ$700,AB$49))</f>
        <v/>
      </c>
      <c r="AC55" s="38">
        <f>IF($A55="","",SUMIFS($BN$2:$BN$700,$BI$2:$BI$700,$A55,$BJ$2:$BJ$700,AC$49))</f>
        <v/>
      </c>
      <c r="AD55" s="38">
        <f>IF($A55="","",SUMIFS($BN$2:$BN$700,$BI$2:$BI$700,$A55,$BJ$2:$BJ$700,AD$49))</f>
        <v/>
      </c>
      <c r="AE55" s="38">
        <f>IF($A55="","",SUMIFS($BN$2:$BN$700,$BI$2:$BI$700,$A55,$BJ$2:$BJ$700,AE$49))</f>
        <v/>
      </c>
      <c r="AF55" s="38">
        <f>IF($A55="","",SUMIFS($BN$2:$BN$700,$BI$2:$BI$700,$A55,$BJ$2:$BJ$700,AF$49))</f>
        <v/>
      </c>
      <c r="AG55" s="38">
        <f>IF($A55="","",SUM(B55:AF55))</f>
        <v/>
      </c>
      <c r="AZ55" s="38">
        <f>INDEX(Translations!$D:$ZZ, MATCH(393,Translations!$A:$A,0), MATCH('Project Information'!$C$4,Translations!$D$1:$ZZ$1,0))</f>
        <v/>
      </c>
      <c r="BA55" s="38">
        <f>INDEX(Translations!$D:$ZZ, MATCH(356,Translations!$A:$A,0), MATCH('Project Information'!$C$4,Translations!$D$1:$ZZ$1,0))</f>
        <v/>
      </c>
      <c r="BB55" s="38">
        <f>INDEX(Translations!$D:$ZZ, MATCH(339,Translations!$A:$A,0), MATCH('Project Information'!$C$4,Translations!$D$1:$ZZ$1,0))</f>
        <v/>
      </c>
      <c r="BC55" s="38">
        <f>INDEX(Translations!$D:$ZZ, MATCH(82,Translations!$A:$A,0), MATCH('Project Information'!$C$4,Translations!$D$1:$ZZ$1,0))</f>
        <v/>
      </c>
      <c r="BD55" s="38">
        <f>IFERROR(IF(OR(INDEX('Module Selection'!$B:$B,MATCH("COMMODITY",'Module Selection'!$A:$A,0))="Var",INDEX('Module Selection'!$B:$B,MATCH("COMMODITY",'Module Selection'!$A:$A,0))="Include"),1,0),0)</f>
        <v/>
      </c>
      <c r="BE55" s="38" t="n">
        <v>2</v>
      </c>
      <c r="BF55" s="38">
        <f>BD55*BE55</f>
        <v/>
      </c>
      <c r="BH55" s="38">
        <f>INDEX(Translations!$D:$ZZ, MATCH(306,Translations!$A:$A,0), MATCH('Project Information'!$C$4,Translations!$D$1:$ZZ$1,0))</f>
        <v/>
      </c>
      <c r="BI55" s="38">
        <f>INDEX(Translations!$D:$ZZ, MATCH(224,Translations!$A:$A,0), MATCH('Project Information'!$C$4,Translations!$D$1:$ZZ$1,0))</f>
        <v/>
      </c>
      <c r="BJ55" s="38">
        <f>INDEX(Translations!$D:$ZZ, MATCH(339,Translations!$A:$A,0), MATCH('Project Information'!$C$4,Translations!$D$1:$ZZ$1,0))</f>
        <v/>
      </c>
      <c r="BK55" s="38">
        <f>INDEX(Translations!$D:$ZZ, MATCH(79,Translations!$A:$A,0), MATCH('Project Information'!$C$4,Translations!$D$1:$ZZ$1,0))</f>
        <v/>
      </c>
      <c r="BL55" s="38">
        <f>MAX(N(Development!$G$22),0)</f>
        <v/>
      </c>
      <c r="BM55" s="38" t="n">
        <v>1</v>
      </c>
      <c r="BN55" s="38">
        <f>BL55*BM55</f>
        <v/>
      </c>
    </row>
    <row r="56" ht="15" customHeight="1" s="39">
      <c r="A56" s="38">
        <f>INDEX(Translations!$D:$ZZ, MATCH(235,Translations!$A:$A,0), MATCH('Project Information'!$C$4,Translations!$D$1:$ZZ$1,0))</f>
        <v/>
      </c>
      <c r="B56" s="38">
        <f>IF($A56="","",SUMIFS($BN$2:$BN$700,$BI$2:$BI$700,$A56,$BJ$2:$BJ$700,B$49))</f>
        <v/>
      </c>
      <c r="C56" s="38">
        <f>IF($A56="","",SUMIFS($BN$2:$BN$700,$BI$2:$BI$700,$A56,$BJ$2:$BJ$700,C$49))</f>
        <v/>
      </c>
      <c r="D56" s="38">
        <f>IF($A56="","",SUMIFS($BN$2:$BN$700,$BI$2:$BI$700,$A56,$BJ$2:$BJ$700,D$49))</f>
        <v/>
      </c>
      <c r="E56" s="38">
        <f>IF($A56="","",SUMIFS($BN$2:$BN$700,$BI$2:$BI$700,$A56,$BJ$2:$BJ$700,E$49))</f>
        <v/>
      </c>
      <c r="F56" s="38">
        <f>IF($A56="","",SUMIFS($BN$2:$BN$700,$BI$2:$BI$700,$A56,$BJ$2:$BJ$700,F$49))</f>
        <v/>
      </c>
      <c r="G56" s="38">
        <f>IF($A56="","",SUMIFS($BN$2:$BN$700,$BI$2:$BI$700,$A56,$BJ$2:$BJ$700,G$49))</f>
        <v/>
      </c>
      <c r="H56" s="38">
        <f>IF($A56="","",SUMIFS($BN$2:$BN$700,$BI$2:$BI$700,$A56,$BJ$2:$BJ$700,H$49))</f>
        <v/>
      </c>
      <c r="I56" s="38">
        <f>IF($A56="","",SUMIFS($BN$2:$BN$700,$BI$2:$BI$700,$A56,$BJ$2:$BJ$700,I$49))</f>
        <v/>
      </c>
      <c r="J56" s="38">
        <f>IF($A56="","",SUMIFS($BN$2:$BN$700,$BI$2:$BI$700,$A56,$BJ$2:$BJ$700,J$49))</f>
        <v/>
      </c>
      <c r="K56" s="38">
        <f>IF($A56="","",SUMIFS($BN$2:$BN$700,$BI$2:$BI$700,$A56,$BJ$2:$BJ$700,K$49))</f>
        <v/>
      </c>
      <c r="L56" s="38">
        <f>IF($A56="","",SUMIFS($BN$2:$BN$700,$BI$2:$BI$700,$A56,$BJ$2:$BJ$700,L$49))</f>
        <v/>
      </c>
      <c r="M56" s="38">
        <f>IF($A56="","",SUMIFS($BN$2:$BN$700,$BI$2:$BI$700,$A56,$BJ$2:$BJ$700,M$49))</f>
        <v/>
      </c>
      <c r="N56" s="38">
        <f>IF($A56="","",SUMIFS($BN$2:$BN$700,$BI$2:$BI$700,$A56,$BJ$2:$BJ$700,N$49))</f>
        <v/>
      </c>
      <c r="O56" s="38">
        <f>IF($A56="","",SUMIFS($BN$2:$BN$700,$BI$2:$BI$700,$A56,$BJ$2:$BJ$700,O$49))</f>
        <v/>
      </c>
      <c r="P56" s="38">
        <f>IF($A56="","",SUMIFS($BN$2:$BN$700,$BI$2:$BI$700,$A56,$BJ$2:$BJ$700,P$49))</f>
        <v/>
      </c>
      <c r="Q56" s="38">
        <f>IF($A56="","",SUMIFS($BN$2:$BN$700,$BI$2:$BI$700,$A56,$BJ$2:$BJ$700,Q$49))</f>
        <v/>
      </c>
      <c r="R56" s="38">
        <f>IF($A56="","",SUMIFS($BN$2:$BN$700,$BI$2:$BI$700,$A56,$BJ$2:$BJ$700,R$49))</f>
        <v/>
      </c>
      <c r="S56" s="38">
        <f>IF($A56="","",SUMIFS($BN$2:$BN$700,$BI$2:$BI$700,$A56,$BJ$2:$BJ$700,S$49))</f>
        <v/>
      </c>
      <c r="T56" s="38">
        <f>IF($A56="","",SUMIFS($BN$2:$BN$700,$BI$2:$BI$700,$A56,$BJ$2:$BJ$700,T$49))</f>
        <v/>
      </c>
      <c r="U56" s="38">
        <f>IF($A56="","",SUMIFS($BN$2:$BN$700,$BI$2:$BI$700,$A56,$BJ$2:$BJ$700,U$49))</f>
        <v/>
      </c>
      <c r="V56" s="38">
        <f>IF($A56="","",SUMIFS($BN$2:$BN$700,$BI$2:$BI$700,$A56,$BJ$2:$BJ$700,V$49))</f>
        <v/>
      </c>
      <c r="W56" s="38">
        <f>IF($A56="","",SUMIFS($BN$2:$BN$700,$BI$2:$BI$700,$A56,$BJ$2:$BJ$700,W$49))</f>
        <v/>
      </c>
      <c r="X56" s="38">
        <f>IF($A56="","",SUMIFS($BN$2:$BN$700,$BI$2:$BI$700,$A56,$BJ$2:$BJ$700,X$49))</f>
        <v/>
      </c>
      <c r="Y56" s="38">
        <f>IF($A56="","",SUMIFS($BN$2:$BN$700,$BI$2:$BI$700,$A56,$BJ$2:$BJ$700,Y$49))</f>
        <v/>
      </c>
      <c r="Z56" s="38">
        <f>IF($A56="","",SUMIFS($BN$2:$BN$700,$BI$2:$BI$700,$A56,$BJ$2:$BJ$700,Z$49))</f>
        <v/>
      </c>
      <c r="AA56" s="38">
        <f>IF($A56="","",SUMIFS($BN$2:$BN$700,$BI$2:$BI$700,$A56,$BJ$2:$BJ$700,AA$49))</f>
        <v/>
      </c>
      <c r="AB56" s="38">
        <f>IF($A56="","",SUMIFS($BN$2:$BN$700,$BI$2:$BI$700,$A56,$BJ$2:$BJ$700,AB$49))</f>
        <v/>
      </c>
      <c r="AC56" s="38">
        <f>IF($A56="","",SUMIFS($BN$2:$BN$700,$BI$2:$BI$700,$A56,$BJ$2:$BJ$700,AC$49))</f>
        <v/>
      </c>
      <c r="AD56" s="38">
        <f>IF($A56="","",SUMIFS($BN$2:$BN$700,$BI$2:$BI$700,$A56,$BJ$2:$BJ$700,AD$49))</f>
        <v/>
      </c>
      <c r="AE56" s="38">
        <f>IF($A56="","",SUMIFS($BN$2:$BN$700,$BI$2:$BI$700,$A56,$BJ$2:$BJ$700,AE$49))</f>
        <v/>
      </c>
      <c r="AF56" s="38">
        <f>IF($A56="","",SUMIFS($BN$2:$BN$700,$BI$2:$BI$700,$A56,$BJ$2:$BJ$700,AF$49))</f>
        <v/>
      </c>
      <c r="AG56" s="38">
        <f>IF($A56="","",SUM(B56:AF56))</f>
        <v/>
      </c>
      <c r="AZ56" s="38">
        <f>INDEX(Translations!$D:$ZZ, MATCH(393,Translations!$A:$A,0), MATCH('Project Information'!$C$4,Translations!$D$1:$ZZ$1,0))</f>
        <v/>
      </c>
      <c r="BA56" s="38">
        <f>INDEX(Translations!$D:$ZZ, MATCH(356,Translations!$A:$A,0), MATCH('Project Information'!$C$4,Translations!$D$1:$ZZ$1,0))</f>
        <v/>
      </c>
      <c r="BB56" s="38">
        <f>INDEX(Translations!$D:$ZZ, MATCH(339,Translations!$A:$A,0), MATCH('Project Information'!$C$4,Translations!$D$1:$ZZ$1,0))</f>
        <v/>
      </c>
      <c r="BC56" s="38">
        <f>INDEX(Translations!$D:$ZZ, MATCH(83,Translations!$A:$A,0), MATCH('Project Information'!$C$4,Translations!$D$1:$ZZ$1,0))</f>
        <v/>
      </c>
      <c r="BD56" s="38">
        <f>IFERROR(IF(OR(INDEX('Module Selection'!$B:$B,MATCH("COMMODITY",'Module Selection'!$A:$A,0))="Var",INDEX('Module Selection'!$B:$B,MATCH("COMMODITY",'Module Selection'!$A:$A,0))="Include"),1,0),0)</f>
        <v/>
      </c>
      <c r="BE56" s="38" t="n">
        <v>2</v>
      </c>
      <c r="BF56" s="38">
        <f>BD56*BE56</f>
        <v/>
      </c>
      <c r="BH56" s="38">
        <f>INDEX(Translations!$D:$ZZ, MATCH(306,Translations!$A:$A,0), MATCH('Project Information'!$C$4,Translations!$D$1:$ZZ$1,0))</f>
        <v/>
      </c>
      <c r="BI56" s="38">
        <f>INDEX(Translations!$D:$ZZ, MATCH(213,Translations!$A:$A,0), MATCH('Project Information'!$C$4,Translations!$D$1:$ZZ$1,0))</f>
        <v/>
      </c>
      <c r="BJ56" s="38">
        <f>INDEX(Translations!$D:$ZZ, MATCH(346,Translations!$A:$A,0), MATCH('Project Information'!$C$4,Translations!$D$1:$ZZ$1,0))</f>
        <v/>
      </c>
      <c r="BK56" s="38">
        <f>INDEX(Translations!$D:$ZZ, MATCH(78,Translations!$A:$A,0), MATCH('Project Information'!$C$4,Translations!$D$1:$ZZ$1,0))</f>
        <v/>
      </c>
      <c r="BL56" s="38">
        <f>IF(OR(TRIM(Development!$F$20)="Evet",TRIM(Development!$F$20)="Yes"),1,0)</f>
        <v/>
      </c>
      <c r="BM56" s="38" t="n">
        <v>12</v>
      </c>
      <c r="BN56" s="38">
        <f>BL56*BM56</f>
        <v/>
      </c>
    </row>
    <row r="57" ht="15" customHeight="1" s="39">
      <c r="A57" s="38">
        <f>INDEX(Translations!$D:$ZZ, MATCH(227,Translations!$A:$A,0), MATCH('Project Information'!$C$4,Translations!$D$1:$ZZ$1,0))</f>
        <v/>
      </c>
      <c r="B57" s="38">
        <f>IF($A57="","",SUMIFS($BN$2:$BN$700,$BI$2:$BI$700,$A57,$BJ$2:$BJ$700,B$49))</f>
        <v/>
      </c>
      <c r="C57" s="38">
        <f>IF($A57="","",SUMIFS($BN$2:$BN$700,$BI$2:$BI$700,$A57,$BJ$2:$BJ$700,C$49))</f>
        <v/>
      </c>
      <c r="D57" s="38">
        <f>IF($A57="","",SUMIFS($BN$2:$BN$700,$BI$2:$BI$700,$A57,$BJ$2:$BJ$700,D$49))</f>
        <v/>
      </c>
      <c r="E57" s="38">
        <f>IF($A57="","",SUMIFS($BN$2:$BN$700,$BI$2:$BI$700,$A57,$BJ$2:$BJ$700,E$49))</f>
        <v/>
      </c>
      <c r="F57" s="38">
        <f>IF($A57="","",SUMIFS($BN$2:$BN$700,$BI$2:$BI$700,$A57,$BJ$2:$BJ$700,F$49))</f>
        <v/>
      </c>
      <c r="G57" s="38">
        <f>IF($A57="","",SUMIFS($BN$2:$BN$700,$BI$2:$BI$700,$A57,$BJ$2:$BJ$700,G$49))</f>
        <v/>
      </c>
      <c r="H57" s="38">
        <f>IF($A57="","",SUMIFS($BN$2:$BN$700,$BI$2:$BI$700,$A57,$BJ$2:$BJ$700,H$49))</f>
        <v/>
      </c>
      <c r="I57" s="38">
        <f>IF($A57="","",SUMIFS($BN$2:$BN$700,$BI$2:$BI$700,$A57,$BJ$2:$BJ$700,I$49))</f>
        <v/>
      </c>
      <c r="J57" s="38">
        <f>IF($A57="","",SUMIFS($BN$2:$BN$700,$BI$2:$BI$700,$A57,$BJ$2:$BJ$700,J$49))</f>
        <v/>
      </c>
      <c r="K57" s="38">
        <f>IF($A57="","",SUMIFS($BN$2:$BN$700,$BI$2:$BI$700,$A57,$BJ$2:$BJ$700,K$49))</f>
        <v/>
      </c>
      <c r="L57" s="38">
        <f>IF($A57="","",SUMIFS($BN$2:$BN$700,$BI$2:$BI$700,$A57,$BJ$2:$BJ$700,L$49))</f>
        <v/>
      </c>
      <c r="M57" s="38">
        <f>IF($A57="","",SUMIFS($BN$2:$BN$700,$BI$2:$BI$700,$A57,$BJ$2:$BJ$700,M$49))</f>
        <v/>
      </c>
      <c r="N57" s="38">
        <f>IF($A57="","",SUMIFS($BN$2:$BN$700,$BI$2:$BI$700,$A57,$BJ$2:$BJ$700,N$49))</f>
        <v/>
      </c>
      <c r="O57" s="38">
        <f>IF($A57="","",SUMIFS($BN$2:$BN$700,$BI$2:$BI$700,$A57,$BJ$2:$BJ$700,O$49))</f>
        <v/>
      </c>
      <c r="P57" s="38">
        <f>IF($A57="","",SUMIFS($BN$2:$BN$700,$BI$2:$BI$700,$A57,$BJ$2:$BJ$700,P$49))</f>
        <v/>
      </c>
      <c r="Q57" s="38">
        <f>IF($A57="","",SUMIFS($BN$2:$BN$700,$BI$2:$BI$700,$A57,$BJ$2:$BJ$700,Q$49))</f>
        <v/>
      </c>
      <c r="R57" s="38">
        <f>IF($A57="","",SUMIFS($BN$2:$BN$700,$BI$2:$BI$700,$A57,$BJ$2:$BJ$700,R$49))</f>
        <v/>
      </c>
      <c r="S57" s="38">
        <f>IF($A57="","",SUMIFS($BN$2:$BN$700,$BI$2:$BI$700,$A57,$BJ$2:$BJ$700,S$49))</f>
        <v/>
      </c>
      <c r="T57" s="38">
        <f>IF($A57="","",SUMIFS($BN$2:$BN$700,$BI$2:$BI$700,$A57,$BJ$2:$BJ$700,T$49))</f>
        <v/>
      </c>
      <c r="U57" s="38">
        <f>IF($A57="","",SUMIFS($BN$2:$BN$700,$BI$2:$BI$700,$A57,$BJ$2:$BJ$700,U$49))</f>
        <v/>
      </c>
      <c r="V57" s="38">
        <f>IF($A57="","",SUMIFS($BN$2:$BN$700,$BI$2:$BI$700,$A57,$BJ$2:$BJ$700,V$49))</f>
        <v/>
      </c>
      <c r="W57" s="38">
        <f>IF($A57="","",SUMIFS($BN$2:$BN$700,$BI$2:$BI$700,$A57,$BJ$2:$BJ$700,W$49))</f>
        <v/>
      </c>
      <c r="X57" s="38">
        <f>IF($A57="","",SUMIFS($BN$2:$BN$700,$BI$2:$BI$700,$A57,$BJ$2:$BJ$700,X$49))</f>
        <v/>
      </c>
      <c r="Y57" s="38">
        <f>IF($A57="","",SUMIFS($BN$2:$BN$700,$BI$2:$BI$700,$A57,$BJ$2:$BJ$700,Y$49))</f>
        <v/>
      </c>
      <c r="Z57" s="38">
        <f>IF($A57="","",SUMIFS($BN$2:$BN$700,$BI$2:$BI$700,$A57,$BJ$2:$BJ$700,Z$49))</f>
        <v/>
      </c>
      <c r="AA57" s="38">
        <f>IF($A57="","",SUMIFS($BN$2:$BN$700,$BI$2:$BI$700,$A57,$BJ$2:$BJ$700,AA$49))</f>
        <v/>
      </c>
      <c r="AB57" s="38">
        <f>IF($A57="","",SUMIFS($BN$2:$BN$700,$BI$2:$BI$700,$A57,$BJ$2:$BJ$700,AB$49))</f>
        <v/>
      </c>
      <c r="AC57" s="38">
        <f>IF($A57="","",SUMIFS($BN$2:$BN$700,$BI$2:$BI$700,$A57,$BJ$2:$BJ$700,AC$49))</f>
        <v/>
      </c>
      <c r="AD57" s="38">
        <f>IF($A57="","",SUMIFS($BN$2:$BN$700,$BI$2:$BI$700,$A57,$BJ$2:$BJ$700,AD$49))</f>
        <v/>
      </c>
      <c r="AE57" s="38">
        <f>IF($A57="","",SUMIFS($BN$2:$BN$700,$BI$2:$BI$700,$A57,$BJ$2:$BJ$700,AE$49))</f>
        <v/>
      </c>
      <c r="AF57" s="38">
        <f>IF($A57="","",SUMIFS($BN$2:$BN$700,$BI$2:$BI$700,$A57,$BJ$2:$BJ$700,AF$49))</f>
        <v/>
      </c>
      <c r="AG57" s="38">
        <f>IF($A57="","",SUM(B57:AF57))</f>
        <v/>
      </c>
      <c r="AZ57" s="38">
        <f>INDEX(Translations!$D:$ZZ, MATCH(310,Translations!$A:$A,0), MATCH('Project Information'!$C$4,Translations!$D$1:$ZZ$1,0))</f>
        <v/>
      </c>
      <c r="BA57" s="38">
        <f>INDEX(Translations!$D:$ZZ, MATCH(221,Translations!$A:$A,0), MATCH('Project Information'!$C$4,Translations!$D$1:$ZZ$1,0))</f>
        <v/>
      </c>
      <c r="BB57" s="38">
        <f>INDEX(Translations!$D:$ZZ, MATCH(333,Translations!$A:$A,0), MATCH('Project Information'!$C$4,Translations!$D$1:$ZZ$1,0))</f>
        <v/>
      </c>
      <c r="BC57" s="38">
        <f>INDEX(Translations!$D:$ZZ, MATCH(75,Translations!$A:$A,0), MATCH('Project Information'!$C$4,Translations!$D$1:$ZZ$1,0))</f>
        <v/>
      </c>
      <c r="BD57" s="38">
        <f>IF(OR(TRIM("")="Evet",TRIM("")="Yes"),1,0)</f>
        <v/>
      </c>
      <c r="BE57" s="38" t="n">
        <v>1</v>
      </c>
      <c r="BF57" s="38">
        <f>BD57*BE57</f>
        <v/>
      </c>
      <c r="BH57" s="38">
        <f>INDEX(Translations!$D:$ZZ, MATCH(306,Translations!$A:$A,0), MATCH('Project Information'!$C$4,Translations!$D$1:$ZZ$1,0))</f>
        <v/>
      </c>
      <c r="BI57" s="38">
        <f>INDEX(Translations!$D:$ZZ, MATCH(213,Translations!$A:$A,0), MATCH('Project Information'!$C$4,Translations!$D$1:$ZZ$1,0))</f>
        <v/>
      </c>
      <c r="BJ57" s="38">
        <f>INDEX(Translations!$D:$ZZ, MATCH(343,Translations!$A:$A,0), MATCH('Project Information'!$C$4,Translations!$D$1:$ZZ$1,0))</f>
        <v/>
      </c>
      <c r="BK57" s="38">
        <f>INDEX(Translations!$D:$ZZ, MATCH(75,Translations!$A:$A,0), MATCH('Project Information'!$C$4,Translations!$D$1:$ZZ$1,0))</f>
        <v/>
      </c>
      <c r="BL57" s="38">
        <f>IF(OR(TRIM(Development!$F$20)="Evet",TRIM(Development!$F$20)="Yes"),1,0)</f>
        <v/>
      </c>
      <c r="BM57" s="38" t="n">
        <v>4</v>
      </c>
      <c r="BN57" s="38">
        <f>BL57*BM57</f>
        <v/>
      </c>
    </row>
    <row r="58" ht="15" customHeight="1" s="39">
      <c r="A58" s="38">
        <f>INDEX(Translations!$D:$ZZ, MATCH(201,Translations!$A:$A,0), MATCH('Project Information'!$C$4,Translations!$D$1:$ZZ$1,0))</f>
        <v/>
      </c>
      <c r="B58" s="38">
        <f>IF($A58="","",SUMIFS($BN$2:$BN$700,$BI$2:$BI$700,$A58,$BJ$2:$BJ$700,B$49))</f>
        <v/>
      </c>
      <c r="C58" s="38">
        <f>IF($A58="","",SUMIFS($BN$2:$BN$700,$BI$2:$BI$700,$A58,$BJ$2:$BJ$700,C$49))</f>
        <v/>
      </c>
      <c r="D58" s="38">
        <f>IF($A58="","",SUMIFS($BN$2:$BN$700,$BI$2:$BI$700,$A58,$BJ$2:$BJ$700,D$49))</f>
        <v/>
      </c>
      <c r="E58" s="38">
        <f>IF($A58="","",SUMIFS($BN$2:$BN$700,$BI$2:$BI$700,$A58,$BJ$2:$BJ$700,E$49))</f>
        <v/>
      </c>
      <c r="F58" s="38">
        <f>IF($A58="","",SUMIFS($BN$2:$BN$700,$BI$2:$BI$700,$A58,$BJ$2:$BJ$700,F$49))</f>
        <v/>
      </c>
      <c r="G58" s="38">
        <f>IF($A58="","",SUMIFS($BN$2:$BN$700,$BI$2:$BI$700,$A58,$BJ$2:$BJ$700,G$49))</f>
        <v/>
      </c>
      <c r="H58" s="38">
        <f>IF($A58="","",SUMIFS($BN$2:$BN$700,$BI$2:$BI$700,$A58,$BJ$2:$BJ$700,H$49))</f>
        <v/>
      </c>
      <c r="I58" s="38">
        <f>IF($A58="","",SUMIFS($BN$2:$BN$700,$BI$2:$BI$700,$A58,$BJ$2:$BJ$700,I$49))</f>
        <v/>
      </c>
      <c r="J58" s="38">
        <f>IF($A58="","",SUMIFS($BN$2:$BN$700,$BI$2:$BI$700,$A58,$BJ$2:$BJ$700,J$49))</f>
        <v/>
      </c>
      <c r="K58" s="38">
        <f>IF($A58="","",SUMIFS($BN$2:$BN$700,$BI$2:$BI$700,$A58,$BJ$2:$BJ$700,K$49))</f>
        <v/>
      </c>
      <c r="L58" s="38">
        <f>IF($A58="","",SUMIFS($BN$2:$BN$700,$BI$2:$BI$700,$A58,$BJ$2:$BJ$700,L$49))</f>
        <v/>
      </c>
      <c r="M58" s="38">
        <f>IF($A58="","",SUMIFS($BN$2:$BN$700,$BI$2:$BI$700,$A58,$BJ$2:$BJ$700,M$49))</f>
        <v/>
      </c>
      <c r="N58" s="38">
        <f>IF($A58="","",SUMIFS($BN$2:$BN$700,$BI$2:$BI$700,$A58,$BJ$2:$BJ$700,N$49))</f>
        <v/>
      </c>
      <c r="O58" s="38">
        <f>IF($A58="","",SUMIFS($BN$2:$BN$700,$BI$2:$BI$700,$A58,$BJ$2:$BJ$700,O$49))</f>
        <v/>
      </c>
      <c r="P58" s="38">
        <f>IF($A58="","",SUMIFS($BN$2:$BN$700,$BI$2:$BI$700,$A58,$BJ$2:$BJ$700,P$49))</f>
        <v/>
      </c>
      <c r="Q58" s="38">
        <f>IF($A58="","",SUMIFS($BN$2:$BN$700,$BI$2:$BI$700,$A58,$BJ$2:$BJ$700,Q$49))</f>
        <v/>
      </c>
      <c r="R58" s="38">
        <f>IF($A58="","",SUMIFS($BN$2:$BN$700,$BI$2:$BI$700,$A58,$BJ$2:$BJ$700,R$49))</f>
        <v/>
      </c>
      <c r="S58" s="38">
        <f>IF($A58="","",SUMIFS($BN$2:$BN$700,$BI$2:$BI$700,$A58,$BJ$2:$BJ$700,S$49))</f>
        <v/>
      </c>
      <c r="T58" s="38">
        <f>IF($A58="","",SUMIFS($BN$2:$BN$700,$BI$2:$BI$700,$A58,$BJ$2:$BJ$700,T$49))</f>
        <v/>
      </c>
      <c r="U58" s="38">
        <f>IF($A58="","",SUMIFS($BN$2:$BN$700,$BI$2:$BI$700,$A58,$BJ$2:$BJ$700,U$49))</f>
        <v/>
      </c>
      <c r="V58" s="38">
        <f>IF($A58="","",SUMIFS($BN$2:$BN$700,$BI$2:$BI$700,$A58,$BJ$2:$BJ$700,V$49))</f>
        <v/>
      </c>
      <c r="W58" s="38">
        <f>IF($A58="","",SUMIFS($BN$2:$BN$700,$BI$2:$BI$700,$A58,$BJ$2:$BJ$700,W$49))</f>
        <v/>
      </c>
      <c r="X58" s="38">
        <f>IF($A58="","",SUMIFS($BN$2:$BN$700,$BI$2:$BI$700,$A58,$BJ$2:$BJ$700,X$49))</f>
        <v/>
      </c>
      <c r="Y58" s="38">
        <f>IF($A58="","",SUMIFS($BN$2:$BN$700,$BI$2:$BI$700,$A58,$BJ$2:$BJ$700,Y$49))</f>
        <v/>
      </c>
      <c r="Z58" s="38">
        <f>IF($A58="","",SUMIFS($BN$2:$BN$700,$BI$2:$BI$700,$A58,$BJ$2:$BJ$700,Z$49))</f>
        <v/>
      </c>
      <c r="AA58" s="38">
        <f>IF($A58="","",SUMIFS($BN$2:$BN$700,$BI$2:$BI$700,$A58,$BJ$2:$BJ$700,AA$49))</f>
        <v/>
      </c>
      <c r="AB58" s="38">
        <f>IF($A58="","",SUMIFS($BN$2:$BN$700,$BI$2:$BI$700,$A58,$BJ$2:$BJ$700,AB$49))</f>
        <v/>
      </c>
      <c r="AC58" s="38">
        <f>IF($A58="","",SUMIFS($BN$2:$BN$700,$BI$2:$BI$700,$A58,$BJ$2:$BJ$700,AC$49))</f>
        <v/>
      </c>
      <c r="AD58" s="38">
        <f>IF($A58="","",SUMIFS($BN$2:$BN$700,$BI$2:$BI$700,$A58,$BJ$2:$BJ$700,AD$49))</f>
        <v/>
      </c>
      <c r="AE58" s="38">
        <f>IF($A58="","",SUMIFS($BN$2:$BN$700,$BI$2:$BI$700,$A58,$BJ$2:$BJ$700,AE$49))</f>
        <v/>
      </c>
      <c r="AF58" s="38">
        <f>IF($A58="","",SUMIFS($BN$2:$BN$700,$BI$2:$BI$700,$A58,$BJ$2:$BJ$700,AF$49))</f>
        <v/>
      </c>
      <c r="AG58" s="38">
        <f>IF($A58="","",SUM(B58:AF58))</f>
        <v/>
      </c>
      <c r="AZ58" s="38">
        <f>INDEX(Translations!$D:$ZZ, MATCH(310,Translations!$A:$A,0), MATCH('Project Information'!$C$4,Translations!$D$1:$ZZ$1,0))</f>
        <v/>
      </c>
      <c r="BA58" s="38">
        <f>INDEX(Translations!$D:$ZZ, MATCH(221,Translations!$A:$A,0), MATCH('Project Information'!$C$4,Translations!$D$1:$ZZ$1,0))</f>
        <v/>
      </c>
      <c r="BB58" s="38">
        <f>INDEX(Translations!$D:$ZZ, MATCH(333,Translations!$A:$A,0), MATCH('Project Information'!$C$4,Translations!$D$1:$ZZ$1,0))</f>
        <v/>
      </c>
      <c r="BC58" s="38">
        <f>INDEX(Translations!$D:$ZZ, MATCH(76,Translations!$A:$A,0), MATCH('Project Information'!$C$4,Translations!$D$1:$ZZ$1,0))</f>
        <v/>
      </c>
      <c r="BD58" s="38">
        <f>IF(OR(TRIM("")="Evet",TRIM("")="Yes"),1,0)</f>
        <v/>
      </c>
      <c r="BE58" s="38" t="n">
        <v>0.5</v>
      </c>
      <c r="BF58" s="38">
        <f>BD58*BE58</f>
        <v/>
      </c>
      <c r="BH58" s="38">
        <f>INDEX(Translations!$D:$ZZ, MATCH(306,Translations!$A:$A,0), MATCH('Project Information'!$C$4,Translations!$D$1:$ZZ$1,0))</f>
        <v/>
      </c>
      <c r="BI58" s="38">
        <f>INDEX(Translations!$D:$ZZ, MATCH(213,Translations!$A:$A,0), MATCH('Project Information'!$C$4,Translations!$D$1:$ZZ$1,0))</f>
        <v/>
      </c>
      <c r="BJ58" s="38">
        <f>INDEX(Translations!$D:$ZZ, MATCH(343,Translations!$A:$A,0), MATCH('Project Information'!$C$4,Translations!$D$1:$ZZ$1,0))</f>
        <v/>
      </c>
      <c r="BK58" s="38">
        <f>INDEX(Translations!$D:$ZZ, MATCH(76,Translations!$A:$A,0), MATCH('Project Information'!$C$4,Translations!$D$1:$ZZ$1,0))</f>
        <v/>
      </c>
      <c r="BL58" s="38">
        <f>IF(OR(TRIM(Development!$F$20)="Evet",TRIM(Development!$F$20)="Yes"),1,0)</f>
        <v/>
      </c>
      <c r="BM58" s="38" t="n">
        <v>1</v>
      </c>
      <c r="BN58" s="38">
        <f>BL58*BM58</f>
        <v/>
      </c>
    </row>
    <row r="59" ht="15" customHeight="1" s="39">
      <c r="A59" s="38">
        <f>INDEX(Translations!$D:$ZZ, MATCH(224,Translations!$A:$A,0), MATCH('Project Information'!$C$4,Translations!$D$1:$ZZ$1,0))</f>
        <v/>
      </c>
      <c r="B59" s="38">
        <f>IF($A59="","",SUMIFS($BN$2:$BN$700,$BI$2:$BI$700,$A59,$BJ$2:$BJ$700,B$49))</f>
        <v/>
      </c>
      <c r="C59" s="38">
        <f>IF($A59="","",SUMIFS($BN$2:$BN$700,$BI$2:$BI$700,$A59,$BJ$2:$BJ$700,C$49))</f>
        <v/>
      </c>
      <c r="D59" s="38">
        <f>IF($A59="","",SUMIFS($BN$2:$BN$700,$BI$2:$BI$700,$A59,$BJ$2:$BJ$700,D$49))</f>
        <v/>
      </c>
      <c r="E59" s="38">
        <f>IF($A59="","",SUMIFS($BN$2:$BN$700,$BI$2:$BI$700,$A59,$BJ$2:$BJ$700,E$49))</f>
        <v/>
      </c>
      <c r="F59" s="38">
        <f>IF($A59="","",SUMIFS($BN$2:$BN$700,$BI$2:$BI$700,$A59,$BJ$2:$BJ$700,F$49))</f>
        <v/>
      </c>
      <c r="G59" s="38">
        <f>IF($A59="","",SUMIFS($BN$2:$BN$700,$BI$2:$BI$700,$A59,$BJ$2:$BJ$700,G$49))</f>
        <v/>
      </c>
      <c r="H59" s="38">
        <f>IF($A59="","",SUMIFS($BN$2:$BN$700,$BI$2:$BI$700,$A59,$BJ$2:$BJ$700,H$49))</f>
        <v/>
      </c>
      <c r="I59" s="38">
        <f>IF($A59="","",SUMIFS($BN$2:$BN$700,$BI$2:$BI$700,$A59,$BJ$2:$BJ$700,I$49))</f>
        <v/>
      </c>
      <c r="J59" s="38">
        <f>IF($A59="","",SUMIFS($BN$2:$BN$700,$BI$2:$BI$700,$A59,$BJ$2:$BJ$700,J$49))</f>
        <v/>
      </c>
      <c r="K59" s="38">
        <f>IF($A59="","",SUMIFS($BN$2:$BN$700,$BI$2:$BI$700,$A59,$BJ$2:$BJ$700,K$49))</f>
        <v/>
      </c>
      <c r="L59" s="38">
        <f>IF($A59="","",SUMIFS($BN$2:$BN$700,$BI$2:$BI$700,$A59,$BJ$2:$BJ$700,L$49))</f>
        <v/>
      </c>
      <c r="M59" s="38">
        <f>IF($A59="","",SUMIFS($BN$2:$BN$700,$BI$2:$BI$700,$A59,$BJ$2:$BJ$700,M$49))</f>
        <v/>
      </c>
      <c r="N59" s="38">
        <f>IF($A59="","",SUMIFS($BN$2:$BN$700,$BI$2:$BI$700,$A59,$BJ$2:$BJ$700,N$49))</f>
        <v/>
      </c>
      <c r="O59" s="38">
        <f>IF($A59="","",SUMIFS($BN$2:$BN$700,$BI$2:$BI$700,$A59,$BJ$2:$BJ$700,O$49))</f>
        <v/>
      </c>
      <c r="P59" s="38">
        <f>IF($A59="","",SUMIFS($BN$2:$BN$700,$BI$2:$BI$700,$A59,$BJ$2:$BJ$700,P$49))</f>
        <v/>
      </c>
      <c r="Q59" s="38">
        <f>IF($A59="","",SUMIFS($BN$2:$BN$700,$BI$2:$BI$700,$A59,$BJ$2:$BJ$700,Q$49))</f>
        <v/>
      </c>
      <c r="R59" s="38">
        <f>IF($A59="","",SUMIFS($BN$2:$BN$700,$BI$2:$BI$700,$A59,$BJ$2:$BJ$700,R$49))</f>
        <v/>
      </c>
      <c r="S59" s="38">
        <f>IF($A59="","",SUMIFS($BN$2:$BN$700,$BI$2:$BI$700,$A59,$BJ$2:$BJ$700,S$49))</f>
        <v/>
      </c>
      <c r="T59" s="38">
        <f>IF($A59="","",SUMIFS($BN$2:$BN$700,$BI$2:$BI$700,$A59,$BJ$2:$BJ$700,T$49))</f>
        <v/>
      </c>
      <c r="U59" s="38">
        <f>IF($A59="","",SUMIFS($BN$2:$BN$700,$BI$2:$BI$700,$A59,$BJ$2:$BJ$700,U$49))</f>
        <v/>
      </c>
      <c r="V59" s="38">
        <f>IF($A59="","",SUMIFS($BN$2:$BN$700,$BI$2:$BI$700,$A59,$BJ$2:$BJ$700,V$49))</f>
        <v/>
      </c>
      <c r="W59" s="38">
        <f>IF($A59="","",SUMIFS($BN$2:$BN$700,$BI$2:$BI$700,$A59,$BJ$2:$BJ$700,W$49))</f>
        <v/>
      </c>
      <c r="X59" s="38">
        <f>IF($A59="","",SUMIFS($BN$2:$BN$700,$BI$2:$BI$700,$A59,$BJ$2:$BJ$700,X$49))</f>
        <v/>
      </c>
      <c r="Y59" s="38">
        <f>IF($A59="","",SUMIFS($BN$2:$BN$700,$BI$2:$BI$700,$A59,$BJ$2:$BJ$700,Y$49))</f>
        <v/>
      </c>
      <c r="Z59" s="38">
        <f>IF($A59="","",SUMIFS($BN$2:$BN$700,$BI$2:$BI$700,$A59,$BJ$2:$BJ$700,Z$49))</f>
        <v/>
      </c>
      <c r="AA59" s="38">
        <f>IF($A59="","",SUMIFS($BN$2:$BN$700,$BI$2:$BI$700,$A59,$BJ$2:$BJ$700,AA$49))</f>
        <v/>
      </c>
      <c r="AB59" s="38">
        <f>IF($A59="","",SUMIFS($BN$2:$BN$700,$BI$2:$BI$700,$A59,$BJ$2:$BJ$700,AB$49))</f>
        <v/>
      </c>
      <c r="AC59" s="38">
        <f>IF($A59="","",SUMIFS($BN$2:$BN$700,$BI$2:$BI$700,$A59,$BJ$2:$BJ$700,AC$49))</f>
        <v/>
      </c>
      <c r="AD59" s="38">
        <f>IF($A59="","",SUMIFS($BN$2:$BN$700,$BI$2:$BI$700,$A59,$BJ$2:$BJ$700,AD$49))</f>
        <v/>
      </c>
      <c r="AE59" s="38">
        <f>IF($A59="","",SUMIFS($BN$2:$BN$700,$BI$2:$BI$700,$A59,$BJ$2:$BJ$700,AE$49))</f>
        <v/>
      </c>
      <c r="AF59" s="38">
        <f>IF($A59="","",SUMIFS($BN$2:$BN$700,$BI$2:$BI$700,$A59,$BJ$2:$BJ$700,AF$49))</f>
        <v/>
      </c>
      <c r="AG59" s="38">
        <f>IF($A59="","",SUM(B59:AF59))</f>
        <v/>
      </c>
      <c r="AZ59" s="38">
        <f>INDEX(Translations!$D:$ZZ, MATCH(310,Translations!$A:$A,0), MATCH('Project Information'!$C$4,Translations!$D$1:$ZZ$1,0))</f>
        <v/>
      </c>
      <c r="BA59" s="38">
        <f>INDEX(Translations!$D:$ZZ, MATCH(221,Translations!$A:$A,0), MATCH('Project Information'!$C$4,Translations!$D$1:$ZZ$1,0))</f>
        <v/>
      </c>
      <c r="BB59" s="38">
        <f>INDEX(Translations!$D:$ZZ, MATCH(333,Translations!$A:$A,0), MATCH('Project Information'!$C$4,Translations!$D$1:$ZZ$1,0))</f>
        <v/>
      </c>
      <c r="BC59" s="38">
        <f>INDEX(Translations!$D:$ZZ, MATCH(78,Translations!$A:$A,0), MATCH('Project Information'!$C$4,Translations!$D$1:$ZZ$1,0))</f>
        <v/>
      </c>
      <c r="BD59" s="38">
        <f>IF(OR(TRIM("")="Evet",TRIM("")="Yes"),1,0)</f>
        <v/>
      </c>
      <c r="BE59" s="38" t="n">
        <v>0.5</v>
      </c>
      <c r="BF59" s="38">
        <f>BD59*BE59</f>
        <v/>
      </c>
      <c r="BH59" s="38">
        <f>INDEX(Translations!$D:$ZZ, MATCH(306,Translations!$A:$A,0), MATCH('Project Information'!$C$4,Translations!$D$1:$ZZ$1,0))</f>
        <v/>
      </c>
      <c r="BI59" s="38">
        <f>INDEX(Translations!$D:$ZZ, MATCH(213,Translations!$A:$A,0), MATCH('Project Information'!$C$4,Translations!$D$1:$ZZ$1,0))</f>
        <v/>
      </c>
      <c r="BJ59" s="38">
        <f>INDEX(Translations!$D:$ZZ, MATCH(343,Translations!$A:$A,0), MATCH('Project Information'!$C$4,Translations!$D$1:$ZZ$1,0))</f>
        <v/>
      </c>
      <c r="BK59" s="38">
        <f>INDEX(Translations!$D:$ZZ, MATCH(79,Translations!$A:$A,0), MATCH('Project Information'!$C$4,Translations!$D$1:$ZZ$1,0))</f>
        <v/>
      </c>
      <c r="BL59" s="38">
        <f>IF(OR(TRIM(Development!$F$20)="Evet",TRIM(Development!$F$20)="Yes"),1,0)</f>
        <v/>
      </c>
      <c r="BM59" s="38" t="n">
        <v>3</v>
      </c>
      <c r="BN59" s="38">
        <f>BL59*BM59</f>
        <v/>
      </c>
    </row>
    <row r="60" ht="15" customHeight="1" s="39">
      <c r="A60" s="38">
        <f>INDEX(Translations!$D:$ZZ, MATCH(213,Translations!$A:$A,0), MATCH('Project Information'!$C$4,Translations!$D$1:$ZZ$1,0))</f>
        <v/>
      </c>
      <c r="B60" s="38">
        <f>IF($A60="","",SUMIFS($BN$2:$BN$700,$BI$2:$BI$700,$A60,$BJ$2:$BJ$700,B$49))</f>
        <v/>
      </c>
      <c r="C60" s="38">
        <f>IF($A60="","",SUMIFS($BN$2:$BN$700,$BI$2:$BI$700,$A60,$BJ$2:$BJ$700,C$49))</f>
        <v/>
      </c>
      <c r="D60" s="38">
        <f>IF($A60="","",SUMIFS($BN$2:$BN$700,$BI$2:$BI$700,$A60,$BJ$2:$BJ$700,D$49))</f>
        <v/>
      </c>
      <c r="E60" s="38">
        <f>IF($A60="","",SUMIFS($BN$2:$BN$700,$BI$2:$BI$700,$A60,$BJ$2:$BJ$700,E$49))</f>
        <v/>
      </c>
      <c r="F60" s="38">
        <f>IF($A60="","",SUMIFS($BN$2:$BN$700,$BI$2:$BI$700,$A60,$BJ$2:$BJ$700,F$49))</f>
        <v/>
      </c>
      <c r="G60" s="38">
        <f>IF($A60="","",SUMIFS($BN$2:$BN$700,$BI$2:$BI$700,$A60,$BJ$2:$BJ$700,G$49))</f>
        <v/>
      </c>
      <c r="H60" s="38">
        <f>IF($A60="","",SUMIFS($BN$2:$BN$700,$BI$2:$BI$700,$A60,$BJ$2:$BJ$700,H$49))</f>
        <v/>
      </c>
      <c r="I60" s="38">
        <f>IF($A60="","",SUMIFS($BN$2:$BN$700,$BI$2:$BI$700,$A60,$BJ$2:$BJ$700,I$49))</f>
        <v/>
      </c>
      <c r="J60" s="38">
        <f>IF($A60="","",SUMIFS($BN$2:$BN$700,$BI$2:$BI$700,$A60,$BJ$2:$BJ$700,J$49))</f>
        <v/>
      </c>
      <c r="K60" s="38">
        <f>IF($A60="","",SUMIFS($BN$2:$BN$700,$BI$2:$BI$700,$A60,$BJ$2:$BJ$700,K$49))</f>
        <v/>
      </c>
      <c r="L60" s="38">
        <f>IF($A60="","",SUMIFS($BN$2:$BN$700,$BI$2:$BI$700,$A60,$BJ$2:$BJ$700,L$49))</f>
        <v/>
      </c>
      <c r="M60" s="38">
        <f>IF($A60="","",SUMIFS($BN$2:$BN$700,$BI$2:$BI$700,$A60,$BJ$2:$BJ$700,M$49))</f>
        <v/>
      </c>
      <c r="N60" s="38">
        <f>IF($A60="","",SUMIFS($BN$2:$BN$700,$BI$2:$BI$700,$A60,$BJ$2:$BJ$700,N$49))</f>
        <v/>
      </c>
      <c r="O60" s="38">
        <f>IF($A60="","",SUMIFS($BN$2:$BN$700,$BI$2:$BI$700,$A60,$BJ$2:$BJ$700,O$49))</f>
        <v/>
      </c>
      <c r="P60" s="38">
        <f>IF($A60="","",SUMIFS($BN$2:$BN$700,$BI$2:$BI$700,$A60,$BJ$2:$BJ$700,P$49))</f>
        <v/>
      </c>
      <c r="Q60" s="38">
        <f>IF($A60="","",SUMIFS($BN$2:$BN$700,$BI$2:$BI$700,$A60,$BJ$2:$BJ$700,Q$49))</f>
        <v/>
      </c>
      <c r="R60" s="38">
        <f>IF($A60="","",SUMIFS($BN$2:$BN$700,$BI$2:$BI$700,$A60,$BJ$2:$BJ$700,R$49))</f>
        <v/>
      </c>
      <c r="S60" s="38">
        <f>IF($A60="","",SUMIFS($BN$2:$BN$700,$BI$2:$BI$700,$A60,$BJ$2:$BJ$700,S$49))</f>
        <v/>
      </c>
      <c r="T60" s="38">
        <f>IF($A60="","",SUMIFS($BN$2:$BN$700,$BI$2:$BI$700,$A60,$BJ$2:$BJ$700,T$49))</f>
        <v/>
      </c>
      <c r="U60" s="38">
        <f>IF($A60="","",SUMIFS($BN$2:$BN$700,$BI$2:$BI$700,$A60,$BJ$2:$BJ$700,U$49))</f>
        <v/>
      </c>
      <c r="V60" s="38">
        <f>IF($A60="","",SUMIFS($BN$2:$BN$700,$BI$2:$BI$700,$A60,$BJ$2:$BJ$700,V$49))</f>
        <v/>
      </c>
      <c r="W60" s="38">
        <f>IF($A60="","",SUMIFS($BN$2:$BN$700,$BI$2:$BI$700,$A60,$BJ$2:$BJ$700,W$49))</f>
        <v/>
      </c>
      <c r="X60" s="38">
        <f>IF($A60="","",SUMIFS($BN$2:$BN$700,$BI$2:$BI$700,$A60,$BJ$2:$BJ$700,X$49))</f>
        <v/>
      </c>
      <c r="Y60" s="38">
        <f>IF($A60="","",SUMIFS($BN$2:$BN$700,$BI$2:$BI$700,$A60,$BJ$2:$BJ$700,Y$49))</f>
        <v/>
      </c>
      <c r="Z60" s="38">
        <f>IF($A60="","",SUMIFS($BN$2:$BN$700,$BI$2:$BI$700,$A60,$BJ$2:$BJ$700,Z$49))</f>
        <v/>
      </c>
      <c r="AA60" s="38">
        <f>IF($A60="","",SUMIFS($BN$2:$BN$700,$BI$2:$BI$700,$A60,$BJ$2:$BJ$700,AA$49))</f>
        <v/>
      </c>
      <c r="AB60" s="38">
        <f>IF($A60="","",SUMIFS($BN$2:$BN$700,$BI$2:$BI$700,$A60,$BJ$2:$BJ$700,AB$49))</f>
        <v/>
      </c>
      <c r="AC60" s="38">
        <f>IF($A60="","",SUMIFS($BN$2:$BN$700,$BI$2:$BI$700,$A60,$BJ$2:$BJ$700,AC$49))</f>
        <v/>
      </c>
      <c r="AD60" s="38">
        <f>IF($A60="","",SUMIFS($BN$2:$BN$700,$BI$2:$BI$700,$A60,$BJ$2:$BJ$700,AD$49))</f>
        <v/>
      </c>
      <c r="AE60" s="38">
        <f>IF($A60="","",SUMIFS($BN$2:$BN$700,$BI$2:$BI$700,$A60,$BJ$2:$BJ$700,AE$49))</f>
        <v/>
      </c>
      <c r="AF60" s="38">
        <f>IF($A60="","",SUMIFS($BN$2:$BN$700,$BI$2:$BI$700,$A60,$BJ$2:$BJ$700,AF$49))</f>
        <v/>
      </c>
      <c r="AG60" s="38">
        <f>IF($A60="","",SUM(B60:AF60))</f>
        <v/>
      </c>
      <c r="AZ60" s="38">
        <f>INDEX(Translations!$D:$ZZ, MATCH(310,Translations!$A:$A,0), MATCH('Project Information'!$C$4,Translations!$D$1:$ZZ$1,0))</f>
        <v/>
      </c>
      <c r="BA60" s="38">
        <f>INDEX(Translations!$D:$ZZ, MATCH(221,Translations!$A:$A,0), MATCH('Project Information'!$C$4,Translations!$D$1:$ZZ$1,0))</f>
        <v/>
      </c>
      <c r="BB60" s="38">
        <f>INDEX(Translations!$D:$ZZ, MATCH(333,Translations!$A:$A,0), MATCH('Project Information'!$C$4,Translations!$D$1:$ZZ$1,0))</f>
        <v/>
      </c>
      <c r="BC60" s="38">
        <f>INDEX(Translations!$D:$ZZ, MATCH(79,Translations!$A:$A,0), MATCH('Project Information'!$C$4,Translations!$D$1:$ZZ$1,0))</f>
        <v/>
      </c>
      <c r="BD60" s="38">
        <f>IF(OR(TRIM("")="Evet",TRIM("")="Yes"),1,0)</f>
        <v/>
      </c>
      <c r="BE60" s="38" t="n">
        <v>1</v>
      </c>
      <c r="BF60" s="38">
        <f>BD60*BE60</f>
        <v/>
      </c>
      <c r="BH60" s="38">
        <f>INDEX(Translations!$D:$ZZ, MATCH(306,Translations!$A:$A,0), MATCH('Project Information'!$C$4,Translations!$D$1:$ZZ$1,0))</f>
        <v/>
      </c>
      <c r="BI60" s="38">
        <f>INDEX(Translations!$D:$ZZ, MATCH(213,Translations!$A:$A,0), MATCH('Project Information'!$C$4,Translations!$D$1:$ZZ$1,0))</f>
        <v/>
      </c>
      <c r="BJ60" s="38">
        <f>INDEX(Translations!$D:$ZZ, MATCH(337,Translations!$A:$A,0), MATCH('Project Information'!$C$4,Translations!$D$1:$ZZ$1,0))</f>
        <v/>
      </c>
      <c r="BK60" s="38">
        <f>INDEX(Translations!$D:$ZZ, MATCH(75,Translations!$A:$A,0), MATCH('Project Information'!$C$4,Translations!$D$1:$ZZ$1,0))</f>
        <v/>
      </c>
      <c r="BL60" s="38">
        <f>IF(OR(TRIM(Development!$F$20)="Evet",TRIM(Development!$F$20)="Yes"),1,0)</f>
        <v/>
      </c>
      <c r="BM60" s="38" t="n">
        <v>3</v>
      </c>
      <c r="BN60" s="38">
        <f>BL60*BM60</f>
        <v/>
      </c>
    </row>
    <row r="61" ht="15" customHeight="1" s="39">
      <c r="A61" s="38">
        <f>INDEX(Translations!$D:$ZZ, MATCH(211,Translations!$A:$A,0), MATCH('Project Information'!$C$4,Translations!$D$1:$ZZ$1,0))</f>
        <v/>
      </c>
      <c r="B61" s="38">
        <f>IF($A61="","",SUMIFS($BN$2:$BN$700,$BI$2:$BI$700,$A61,$BJ$2:$BJ$700,B$49))</f>
        <v/>
      </c>
      <c r="C61" s="38">
        <f>IF($A61="","",SUMIFS($BN$2:$BN$700,$BI$2:$BI$700,$A61,$BJ$2:$BJ$700,C$49))</f>
        <v/>
      </c>
      <c r="D61" s="38">
        <f>IF($A61="","",SUMIFS($BN$2:$BN$700,$BI$2:$BI$700,$A61,$BJ$2:$BJ$700,D$49))</f>
        <v/>
      </c>
      <c r="E61" s="38">
        <f>IF($A61="","",SUMIFS($BN$2:$BN$700,$BI$2:$BI$700,$A61,$BJ$2:$BJ$700,E$49))</f>
        <v/>
      </c>
      <c r="F61" s="38">
        <f>IF($A61="","",SUMIFS($BN$2:$BN$700,$BI$2:$BI$700,$A61,$BJ$2:$BJ$700,F$49))</f>
        <v/>
      </c>
      <c r="G61" s="38">
        <f>IF($A61="","",SUMIFS($BN$2:$BN$700,$BI$2:$BI$700,$A61,$BJ$2:$BJ$700,G$49))</f>
        <v/>
      </c>
      <c r="H61" s="38">
        <f>IF($A61="","",SUMIFS($BN$2:$BN$700,$BI$2:$BI$700,$A61,$BJ$2:$BJ$700,H$49))</f>
        <v/>
      </c>
      <c r="I61" s="38">
        <f>IF($A61="","",SUMIFS($BN$2:$BN$700,$BI$2:$BI$700,$A61,$BJ$2:$BJ$700,I$49))</f>
        <v/>
      </c>
      <c r="J61" s="38">
        <f>IF($A61="","",SUMIFS($BN$2:$BN$700,$BI$2:$BI$700,$A61,$BJ$2:$BJ$700,J$49))</f>
        <v/>
      </c>
      <c r="K61" s="38">
        <f>IF($A61="","",SUMIFS($BN$2:$BN$700,$BI$2:$BI$700,$A61,$BJ$2:$BJ$700,K$49))</f>
        <v/>
      </c>
      <c r="L61" s="38">
        <f>IF($A61="","",SUMIFS($BN$2:$BN$700,$BI$2:$BI$700,$A61,$BJ$2:$BJ$700,L$49))</f>
        <v/>
      </c>
      <c r="M61" s="38">
        <f>IF($A61="","",SUMIFS($BN$2:$BN$700,$BI$2:$BI$700,$A61,$BJ$2:$BJ$700,M$49))</f>
        <v/>
      </c>
      <c r="N61" s="38">
        <f>IF($A61="","",SUMIFS($BN$2:$BN$700,$BI$2:$BI$700,$A61,$BJ$2:$BJ$700,N$49))</f>
        <v/>
      </c>
      <c r="O61" s="38">
        <f>IF($A61="","",SUMIFS($BN$2:$BN$700,$BI$2:$BI$700,$A61,$BJ$2:$BJ$700,O$49))</f>
        <v/>
      </c>
      <c r="P61" s="38">
        <f>IF($A61="","",SUMIFS($BN$2:$BN$700,$BI$2:$BI$700,$A61,$BJ$2:$BJ$700,P$49))</f>
        <v/>
      </c>
      <c r="Q61" s="38">
        <f>IF($A61="","",SUMIFS($BN$2:$BN$700,$BI$2:$BI$700,$A61,$BJ$2:$BJ$700,Q$49))</f>
        <v/>
      </c>
      <c r="R61" s="38">
        <f>IF($A61="","",SUMIFS($BN$2:$BN$700,$BI$2:$BI$700,$A61,$BJ$2:$BJ$700,R$49))</f>
        <v/>
      </c>
      <c r="S61" s="38">
        <f>IF($A61="","",SUMIFS($BN$2:$BN$700,$BI$2:$BI$700,$A61,$BJ$2:$BJ$700,S$49))</f>
        <v/>
      </c>
      <c r="T61" s="38">
        <f>IF($A61="","",SUMIFS($BN$2:$BN$700,$BI$2:$BI$700,$A61,$BJ$2:$BJ$700,T$49))</f>
        <v/>
      </c>
      <c r="U61" s="38">
        <f>IF($A61="","",SUMIFS($BN$2:$BN$700,$BI$2:$BI$700,$A61,$BJ$2:$BJ$700,U$49))</f>
        <v/>
      </c>
      <c r="V61" s="38">
        <f>IF($A61="","",SUMIFS($BN$2:$BN$700,$BI$2:$BI$700,$A61,$BJ$2:$BJ$700,V$49))</f>
        <v/>
      </c>
      <c r="W61" s="38">
        <f>IF($A61="","",SUMIFS($BN$2:$BN$700,$BI$2:$BI$700,$A61,$BJ$2:$BJ$700,W$49))</f>
        <v/>
      </c>
      <c r="X61" s="38">
        <f>IF($A61="","",SUMIFS($BN$2:$BN$700,$BI$2:$BI$700,$A61,$BJ$2:$BJ$700,X$49))</f>
        <v/>
      </c>
      <c r="Y61" s="38">
        <f>IF($A61="","",SUMIFS($BN$2:$BN$700,$BI$2:$BI$700,$A61,$BJ$2:$BJ$700,Y$49))</f>
        <v/>
      </c>
      <c r="Z61" s="38">
        <f>IF($A61="","",SUMIFS($BN$2:$BN$700,$BI$2:$BI$700,$A61,$BJ$2:$BJ$700,Z$49))</f>
        <v/>
      </c>
      <c r="AA61" s="38">
        <f>IF($A61="","",SUMIFS($BN$2:$BN$700,$BI$2:$BI$700,$A61,$BJ$2:$BJ$700,AA$49))</f>
        <v/>
      </c>
      <c r="AB61" s="38">
        <f>IF($A61="","",SUMIFS($BN$2:$BN$700,$BI$2:$BI$700,$A61,$BJ$2:$BJ$700,AB$49))</f>
        <v/>
      </c>
      <c r="AC61" s="38">
        <f>IF($A61="","",SUMIFS($BN$2:$BN$700,$BI$2:$BI$700,$A61,$BJ$2:$BJ$700,AC$49))</f>
        <v/>
      </c>
      <c r="AD61" s="38">
        <f>IF($A61="","",SUMIFS($BN$2:$BN$700,$BI$2:$BI$700,$A61,$BJ$2:$BJ$700,AD$49))</f>
        <v/>
      </c>
      <c r="AE61" s="38">
        <f>IF($A61="","",SUMIFS($BN$2:$BN$700,$BI$2:$BI$700,$A61,$BJ$2:$BJ$700,AE$49))</f>
        <v/>
      </c>
      <c r="AF61" s="38">
        <f>IF($A61="","",SUMIFS($BN$2:$BN$700,$BI$2:$BI$700,$A61,$BJ$2:$BJ$700,AF$49))</f>
        <v/>
      </c>
      <c r="AG61" s="38">
        <f>IF($A61="","",SUM(B61:AF61))</f>
        <v/>
      </c>
      <c r="AZ61" s="38">
        <f>INDEX(Translations!$D:$ZZ, MATCH(310,Translations!$A:$A,0), MATCH('Project Information'!$C$4,Translations!$D$1:$ZZ$1,0))</f>
        <v/>
      </c>
      <c r="BA61" s="38">
        <f>INDEX(Translations!$D:$ZZ, MATCH(221,Translations!$A:$A,0), MATCH('Project Information'!$C$4,Translations!$D$1:$ZZ$1,0))</f>
        <v/>
      </c>
      <c r="BB61" s="38">
        <f>INDEX(Translations!$D:$ZZ, MATCH(333,Translations!$A:$A,0), MATCH('Project Information'!$C$4,Translations!$D$1:$ZZ$1,0))</f>
        <v/>
      </c>
      <c r="BC61" s="38">
        <f>INDEX(Translations!$D:$ZZ, MATCH(82,Translations!$A:$A,0), MATCH('Project Information'!$C$4,Translations!$D$1:$ZZ$1,0))</f>
        <v/>
      </c>
      <c r="BD61" s="38">
        <f>IF(OR(TRIM("")="Evet",TRIM("")="Yes"),1,0)</f>
        <v/>
      </c>
      <c r="BE61" s="38" t="n">
        <v>1</v>
      </c>
      <c r="BF61" s="38">
        <f>BD61*BE61</f>
        <v/>
      </c>
      <c r="BH61" s="38">
        <f>INDEX(Translations!$D:$ZZ, MATCH(306,Translations!$A:$A,0), MATCH('Project Information'!$C$4,Translations!$D$1:$ZZ$1,0))</f>
        <v/>
      </c>
      <c r="BI61" s="38">
        <f>INDEX(Translations!$D:$ZZ, MATCH(213,Translations!$A:$A,0), MATCH('Project Information'!$C$4,Translations!$D$1:$ZZ$1,0))</f>
        <v/>
      </c>
      <c r="BJ61" s="38">
        <f>INDEX(Translations!$D:$ZZ, MATCH(337,Translations!$A:$A,0), MATCH('Project Information'!$C$4,Translations!$D$1:$ZZ$1,0))</f>
        <v/>
      </c>
      <c r="BK61" s="38">
        <f>INDEX(Translations!$D:$ZZ, MATCH(76,Translations!$A:$A,0), MATCH('Project Information'!$C$4,Translations!$D$1:$ZZ$1,0))</f>
        <v/>
      </c>
      <c r="BL61" s="38">
        <f>IF(OR(TRIM(Development!$F$20)="Evet",TRIM(Development!$F$20)="Yes"),1,0)</f>
        <v/>
      </c>
      <c r="BM61" s="38" t="n">
        <v>1</v>
      </c>
      <c r="BN61" s="38">
        <f>BL61*BM61</f>
        <v/>
      </c>
    </row>
    <row r="62" ht="15" customHeight="1" s="39">
      <c r="A62" s="38">
        <f>INDEX(Translations!$D:$ZZ, MATCH(241,Translations!$A:$A,0), MATCH('Project Information'!$C$4,Translations!$D$1:$ZZ$1,0))</f>
        <v/>
      </c>
      <c r="B62" s="38">
        <f>IF($A62="","",SUMIFS($BN$2:$BN$700,$BI$2:$BI$700,$A62,$BJ$2:$BJ$700,B$49))</f>
        <v/>
      </c>
      <c r="C62" s="38">
        <f>IF($A62="","",SUMIFS($BN$2:$BN$700,$BI$2:$BI$700,$A62,$BJ$2:$BJ$700,C$49))</f>
        <v/>
      </c>
      <c r="D62" s="38">
        <f>IF($A62="","",SUMIFS($BN$2:$BN$700,$BI$2:$BI$700,$A62,$BJ$2:$BJ$700,D$49))</f>
        <v/>
      </c>
      <c r="E62" s="38">
        <f>IF($A62="","",SUMIFS($BN$2:$BN$700,$BI$2:$BI$700,$A62,$BJ$2:$BJ$700,E$49))</f>
        <v/>
      </c>
      <c r="F62" s="38">
        <f>IF($A62="","",SUMIFS($BN$2:$BN$700,$BI$2:$BI$700,$A62,$BJ$2:$BJ$700,F$49))</f>
        <v/>
      </c>
      <c r="G62" s="38">
        <f>IF($A62="","",SUMIFS($BN$2:$BN$700,$BI$2:$BI$700,$A62,$BJ$2:$BJ$700,G$49))</f>
        <v/>
      </c>
      <c r="H62" s="38">
        <f>IF($A62="","",SUMIFS($BN$2:$BN$700,$BI$2:$BI$700,$A62,$BJ$2:$BJ$700,H$49))</f>
        <v/>
      </c>
      <c r="I62" s="38">
        <f>IF($A62="","",SUMIFS($BN$2:$BN$700,$BI$2:$BI$700,$A62,$BJ$2:$BJ$700,I$49))</f>
        <v/>
      </c>
      <c r="J62" s="38">
        <f>IF($A62="","",SUMIFS($BN$2:$BN$700,$BI$2:$BI$700,$A62,$BJ$2:$BJ$700,J$49))</f>
        <v/>
      </c>
      <c r="K62" s="38">
        <f>IF($A62="","",SUMIFS($BN$2:$BN$700,$BI$2:$BI$700,$A62,$BJ$2:$BJ$700,K$49))</f>
        <v/>
      </c>
      <c r="L62" s="38">
        <f>IF($A62="","",SUMIFS($BN$2:$BN$700,$BI$2:$BI$700,$A62,$BJ$2:$BJ$700,L$49))</f>
        <v/>
      </c>
      <c r="M62" s="38">
        <f>IF($A62="","",SUMIFS($BN$2:$BN$700,$BI$2:$BI$700,$A62,$BJ$2:$BJ$700,M$49))</f>
        <v/>
      </c>
      <c r="N62" s="38">
        <f>IF($A62="","",SUMIFS($BN$2:$BN$700,$BI$2:$BI$700,$A62,$BJ$2:$BJ$700,N$49))</f>
        <v/>
      </c>
      <c r="O62" s="38">
        <f>IF($A62="","",SUMIFS($BN$2:$BN$700,$BI$2:$BI$700,$A62,$BJ$2:$BJ$700,O$49))</f>
        <v/>
      </c>
      <c r="P62" s="38">
        <f>IF($A62="","",SUMIFS($BN$2:$BN$700,$BI$2:$BI$700,$A62,$BJ$2:$BJ$700,P$49))</f>
        <v/>
      </c>
      <c r="Q62" s="38">
        <f>IF($A62="","",SUMIFS($BN$2:$BN$700,$BI$2:$BI$700,$A62,$BJ$2:$BJ$700,Q$49))</f>
        <v/>
      </c>
      <c r="R62" s="38">
        <f>IF($A62="","",SUMIFS($BN$2:$BN$700,$BI$2:$BI$700,$A62,$BJ$2:$BJ$700,R$49))</f>
        <v/>
      </c>
      <c r="S62" s="38">
        <f>IF($A62="","",SUMIFS($BN$2:$BN$700,$BI$2:$BI$700,$A62,$BJ$2:$BJ$700,S$49))</f>
        <v/>
      </c>
      <c r="T62" s="38">
        <f>IF($A62="","",SUMIFS($BN$2:$BN$700,$BI$2:$BI$700,$A62,$BJ$2:$BJ$700,T$49))</f>
        <v/>
      </c>
      <c r="U62" s="38">
        <f>IF($A62="","",SUMIFS($BN$2:$BN$700,$BI$2:$BI$700,$A62,$BJ$2:$BJ$700,U$49))</f>
        <v/>
      </c>
      <c r="V62" s="38">
        <f>IF($A62="","",SUMIFS($BN$2:$BN$700,$BI$2:$BI$700,$A62,$BJ$2:$BJ$700,V$49))</f>
        <v/>
      </c>
      <c r="W62" s="38">
        <f>IF($A62="","",SUMIFS($BN$2:$BN$700,$BI$2:$BI$700,$A62,$BJ$2:$BJ$700,W$49))</f>
        <v/>
      </c>
      <c r="X62" s="38">
        <f>IF($A62="","",SUMIFS($BN$2:$BN$700,$BI$2:$BI$700,$A62,$BJ$2:$BJ$700,X$49))</f>
        <v/>
      </c>
      <c r="Y62" s="38">
        <f>IF($A62="","",SUMIFS($BN$2:$BN$700,$BI$2:$BI$700,$A62,$BJ$2:$BJ$700,Y$49))</f>
        <v/>
      </c>
      <c r="Z62" s="38">
        <f>IF($A62="","",SUMIFS($BN$2:$BN$700,$BI$2:$BI$700,$A62,$BJ$2:$BJ$700,Z$49))</f>
        <v/>
      </c>
      <c r="AA62" s="38">
        <f>IF($A62="","",SUMIFS($BN$2:$BN$700,$BI$2:$BI$700,$A62,$BJ$2:$BJ$700,AA$49))</f>
        <v/>
      </c>
      <c r="AB62" s="38">
        <f>IF($A62="","",SUMIFS($BN$2:$BN$700,$BI$2:$BI$700,$A62,$BJ$2:$BJ$700,AB$49))</f>
        <v/>
      </c>
      <c r="AC62" s="38">
        <f>IF($A62="","",SUMIFS($BN$2:$BN$700,$BI$2:$BI$700,$A62,$BJ$2:$BJ$700,AC$49))</f>
        <v/>
      </c>
      <c r="AD62" s="38">
        <f>IF($A62="","",SUMIFS($BN$2:$BN$700,$BI$2:$BI$700,$A62,$BJ$2:$BJ$700,AD$49))</f>
        <v/>
      </c>
      <c r="AE62" s="38">
        <f>IF($A62="","",SUMIFS($BN$2:$BN$700,$BI$2:$BI$700,$A62,$BJ$2:$BJ$700,AE$49))</f>
        <v/>
      </c>
      <c r="AF62" s="38">
        <f>IF($A62="","",SUMIFS($BN$2:$BN$700,$BI$2:$BI$700,$A62,$BJ$2:$BJ$700,AF$49))</f>
        <v/>
      </c>
      <c r="AG62" s="38">
        <f>IF($A62="","",SUM(B62:AF62))</f>
        <v/>
      </c>
      <c r="AZ62" s="38">
        <f>INDEX(Translations!$D:$ZZ, MATCH(310,Translations!$A:$A,0), MATCH('Project Information'!$C$4,Translations!$D$1:$ZZ$1,0))</f>
        <v/>
      </c>
      <c r="BA62" s="38">
        <f>INDEX(Translations!$D:$ZZ, MATCH(221,Translations!$A:$A,0), MATCH('Project Information'!$C$4,Translations!$D$1:$ZZ$1,0))</f>
        <v/>
      </c>
      <c r="BB62" s="38">
        <f>INDEX(Translations!$D:$ZZ, MATCH(333,Translations!$A:$A,0), MATCH('Project Information'!$C$4,Translations!$D$1:$ZZ$1,0))</f>
        <v/>
      </c>
      <c r="BC62" s="38">
        <f>INDEX(Translations!$D:$ZZ, MATCH(83,Translations!$A:$A,0), MATCH('Project Information'!$C$4,Translations!$D$1:$ZZ$1,0))</f>
        <v/>
      </c>
      <c r="BD62" s="38">
        <f>IF(OR(TRIM("")="Evet",TRIM("")="Yes"),1,0)</f>
        <v/>
      </c>
      <c r="BE62" s="38" t="n">
        <v>1</v>
      </c>
      <c r="BF62" s="38">
        <f>BD62*BE62</f>
        <v/>
      </c>
      <c r="BH62" s="38">
        <f>INDEX(Translations!$D:$ZZ, MATCH(306,Translations!$A:$A,0), MATCH('Project Information'!$C$4,Translations!$D$1:$ZZ$1,0))</f>
        <v/>
      </c>
      <c r="BI62" s="38">
        <f>INDEX(Translations!$D:$ZZ, MATCH(213,Translations!$A:$A,0), MATCH('Project Information'!$C$4,Translations!$D$1:$ZZ$1,0))</f>
        <v/>
      </c>
      <c r="BJ62" s="38">
        <f>INDEX(Translations!$D:$ZZ, MATCH(337,Translations!$A:$A,0), MATCH('Project Information'!$C$4,Translations!$D$1:$ZZ$1,0))</f>
        <v/>
      </c>
      <c r="BK62" s="38">
        <f>INDEX(Translations!$D:$ZZ, MATCH(79,Translations!$A:$A,0), MATCH('Project Information'!$C$4,Translations!$D$1:$ZZ$1,0))</f>
        <v/>
      </c>
      <c r="BL62" s="38">
        <f>IF(OR(TRIM(Development!$F$20)="Evet",TRIM(Development!$F$20)="Yes"),1,0)</f>
        <v/>
      </c>
      <c r="BM62" s="38" t="n">
        <v>3</v>
      </c>
      <c r="BN62" s="38">
        <f>BL62*BM62</f>
        <v/>
      </c>
    </row>
    <row r="63" ht="15" customHeight="1" s="39">
      <c r="A63" s="38">
        <f>INDEX(Translations!$D:$ZZ, MATCH(233,Translations!$A:$A,0), MATCH('Project Information'!$C$4,Translations!$D$1:$ZZ$1,0))</f>
        <v/>
      </c>
      <c r="B63" s="38">
        <f>IF($A63="","",SUMIFS($BN$2:$BN$700,$BI$2:$BI$700,$A63,$BJ$2:$BJ$700,B$49))</f>
        <v/>
      </c>
      <c r="C63" s="38">
        <f>IF($A63="","",SUMIFS($BN$2:$BN$700,$BI$2:$BI$700,$A63,$BJ$2:$BJ$700,C$49))</f>
        <v/>
      </c>
      <c r="D63" s="38">
        <f>IF($A63="","",SUMIFS($BN$2:$BN$700,$BI$2:$BI$700,$A63,$BJ$2:$BJ$700,D$49))</f>
        <v/>
      </c>
      <c r="E63" s="38">
        <f>IF($A63="","",SUMIFS($BN$2:$BN$700,$BI$2:$BI$700,$A63,$BJ$2:$BJ$700,E$49))</f>
        <v/>
      </c>
      <c r="F63" s="38">
        <f>IF($A63="","",SUMIFS($BN$2:$BN$700,$BI$2:$BI$700,$A63,$BJ$2:$BJ$700,F$49))</f>
        <v/>
      </c>
      <c r="G63" s="38">
        <f>IF($A63="","",SUMIFS($BN$2:$BN$700,$BI$2:$BI$700,$A63,$BJ$2:$BJ$700,G$49))</f>
        <v/>
      </c>
      <c r="H63" s="38">
        <f>IF($A63="","",SUMIFS($BN$2:$BN$700,$BI$2:$BI$700,$A63,$BJ$2:$BJ$700,H$49))</f>
        <v/>
      </c>
      <c r="I63" s="38">
        <f>IF($A63="","",SUMIFS($BN$2:$BN$700,$BI$2:$BI$700,$A63,$BJ$2:$BJ$700,I$49))</f>
        <v/>
      </c>
      <c r="J63" s="38">
        <f>IF($A63="","",SUMIFS($BN$2:$BN$700,$BI$2:$BI$700,$A63,$BJ$2:$BJ$700,J$49))</f>
        <v/>
      </c>
      <c r="K63" s="38">
        <f>IF($A63="","",SUMIFS($BN$2:$BN$700,$BI$2:$BI$700,$A63,$BJ$2:$BJ$700,K$49))</f>
        <v/>
      </c>
      <c r="L63" s="38">
        <f>IF($A63="","",SUMIFS($BN$2:$BN$700,$BI$2:$BI$700,$A63,$BJ$2:$BJ$700,L$49))</f>
        <v/>
      </c>
      <c r="M63" s="38">
        <f>IF($A63="","",SUMIFS($BN$2:$BN$700,$BI$2:$BI$700,$A63,$BJ$2:$BJ$700,M$49))</f>
        <v/>
      </c>
      <c r="N63" s="38">
        <f>IF($A63="","",SUMIFS($BN$2:$BN$700,$BI$2:$BI$700,$A63,$BJ$2:$BJ$700,N$49))</f>
        <v/>
      </c>
      <c r="O63" s="38">
        <f>IF($A63="","",SUMIFS($BN$2:$BN$700,$BI$2:$BI$700,$A63,$BJ$2:$BJ$700,O$49))</f>
        <v/>
      </c>
      <c r="P63" s="38">
        <f>IF($A63="","",SUMIFS($BN$2:$BN$700,$BI$2:$BI$700,$A63,$BJ$2:$BJ$700,P$49))</f>
        <v/>
      </c>
      <c r="Q63" s="38">
        <f>IF($A63="","",SUMIFS($BN$2:$BN$700,$BI$2:$BI$700,$A63,$BJ$2:$BJ$700,Q$49))</f>
        <v/>
      </c>
      <c r="R63" s="38">
        <f>IF($A63="","",SUMIFS($BN$2:$BN$700,$BI$2:$BI$700,$A63,$BJ$2:$BJ$700,R$49))</f>
        <v/>
      </c>
      <c r="S63" s="38">
        <f>IF($A63="","",SUMIFS($BN$2:$BN$700,$BI$2:$BI$700,$A63,$BJ$2:$BJ$700,S$49))</f>
        <v/>
      </c>
      <c r="T63" s="38">
        <f>IF($A63="","",SUMIFS($BN$2:$BN$700,$BI$2:$BI$700,$A63,$BJ$2:$BJ$700,T$49))</f>
        <v/>
      </c>
      <c r="U63" s="38">
        <f>IF($A63="","",SUMIFS($BN$2:$BN$700,$BI$2:$BI$700,$A63,$BJ$2:$BJ$700,U$49))</f>
        <v/>
      </c>
      <c r="V63" s="38">
        <f>IF($A63="","",SUMIFS($BN$2:$BN$700,$BI$2:$BI$700,$A63,$BJ$2:$BJ$700,V$49))</f>
        <v/>
      </c>
      <c r="W63" s="38">
        <f>IF($A63="","",SUMIFS($BN$2:$BN$700,$BI$2:$BI$700,$A63,$BJ$2:$BJ$700,W$49))</f>
        <v/>
      </c>
      <c r="X63" s="38">
        <f>IF($A63="","",SUMIFS($BN$2:$BN$700,$BI$2:$BI$700,$A63,$BJ$2:$BJ$700,X$49))</f>
        <v/>
      </c>
      <c r="Y63" s="38">
        <f>IF($A63="","",SUMIFS($BN$2:$BN$700,$BI$2:$BI$700,$A63,$BJ$2:$BJ$700,Y$49))</f>
        <v/>
      </c>
      <c r="Z63" s="38">
        <f>IF($A63="","",SUMIFS($BN$2:$BN$700,$BI$2:$BI$700,$A63,$BJ$2:$BJ$700,Z$49))</f>
        <v/>
      </c>
      <c r="AA63" s="38">
        <f>IF($A63="","",SUMIFS($BN$2:$BN$700,$BI$2:$BI$700,$A63,$BJ$2:$BJ$700,AA$49))</f>
        <v/>
      </c>
      <c r="AB63" s="38">
        <f>IF($A63="","",SUMIFS($BN$2:$BN$700,$BI$2:$BI$700,$A63,$BJ$2:$BJ$700,AB$49))</f>
        <v/>
      </c>
      <c r="AC63" s="38">
        <f>IF($A63="","",SUMIFS($BN$2:$BN$700,$BI$2:$BI$700,$A63,$BJ$2:$BJ$700,AC$49))</f>
        <v/>
      </c>
      <c r="AD63" s="38">
        <f>IF($A63="","",SUMIFS($BN$2:$BN$700,$BI$2:$BI$700,$A63,$BJ$2:$BJ$700,AD$49))</f>
        <v/>
      </c>
      <c r="AE63" s="38">
        <f>IF($A63="","",SUMIFS($BN$2:$BN$700,$BI$2:$BI$700,$A63,$BJ$2:$BJ$700,AE$49))</f>
        <v/>
      </c>
      <c r="AF63" s="38">
        <f>IF($A63="","",SUMIFS($BN$2:$BN$700,$BI$2:$BI$700,$A63,$BJ$2:$BJ$700,AF$49))</f>
        <v/>
      </c>
      <c r="AG63" s="38">
        <f>IF($A63="","",SUM(B63:AF63))</f>
        <v/>
      </c>
      <c r="AZ63" s="38">
        <f>INDEX(Translations!$D:$ZZ, MATCH(310,Translations!$A:$A,0), MATCH('Project Information'!$C$4,Translations!$D$1:$ZZ$1,0))</f>
        <v/>
      </c>
      <c r="BA63" s="38">
        <f>INDEX(Translations!$D:$ZZ, MATCH(221,Translations!$A:$A,0), MATCH('Project Information'!$C$4,Translations!$D$1:$ZZ$1,0))</f>
        <v/>
      </c>
      <c r="BB63" s="38">
        <f>INDEX(Translations!$D:$ZZ, MATCH(343,Translations!$A:$A,0), MATCH('Project Information'!$C$4,Translations!$D$1:$ZZ$1,0))</f>
        <v/>
      </c>
      <c r="BC63" s="38">
        <f>INDEX(Translations!$D:$ZZ, MATCH(75,Translations!$A:$A,0), MATCH('Project Information'!$C$4,Translations!$D$1:$ZZ$1,0))</f>
        <v/>
      </c>
      <c r="BD63" s="38">
        <f>IF(OR(TRIM("")="Evet",TRIM("")="Yes"),1,0)</f>
        <v/>
      </c>
      <c r="BE63" s="38" t="n">
        <v>1</v>
      </c>
      <c r="BF63" s="38">
        <f>BD63*BE63</f>
        <v/>
      </c>
      <c r="BH63" s="38">
        <f>INDEX(Translations!$D:$ZZ, MATCH(306,Translations!$A:$A,0), MATCH('Project Information'!$C$4,Translations!$D$1:$ZZ$1,0))</f>
        <v/>
      </c>
      <c r="BI63" s="38">
        <f>INDEX(Translations!$D:$ZZ, MATCH(211,Translations!$A:$A,0), MATCH('Project Information'!$C$4,Translations!$D$1:$ZZ$1,0))</f>
        <v/>
      </c>
      <c r="BJ63" s="38">
        <f>INDEX(Translations!$D:$ZZ, MATCH(346,Translations!$A:$A,0), MATCH('Project Information'!$C$4,Translations!$D$1:$ZZ$1,0))</f>
        <v/>
      </c>
      <c r="BK63" s="38">
        <f>INDEX(Translations!$D:$ZZ, MATCH(78,Translations!$A:$A,0), MATCH('Project Information'!$C$4,Translations!$D$1:$ZZ$1,0))</f>
        <v/>
      </c>
      <c r="BL63" s="38">
        <f>IF(OR(TRIM(Development!$F$19)="Evet",TRIM(Development!$F$19)="Yes"),1,0)</f>
        <v/>
      </c>
      <c r="BM63" s="38" t="n">
        <v>12</v>
      </c>
      <c r="BN63" s="38">
        <f>BL63*BM63</f>
        <v/>
      </c>
    </row>
    <row r="64" ht="15" customHeight="1" s="39">
      <c r="A64" s="38">
        <f>INDEX(Translations!$D:$ZZ, MATCH(242,Translations!$A:$A,0), MATCH('Project Information'!$C$4,Translations!$D$1:$ZZ$1,0))</f>
        <v/>
      </c>
      <c r="B64" s="38">
        <f>IF($A64="","",SUMIFS($BN$2:$BN$700,$BI$2:$BI$700,$A64,$BJ$2:$BJ$700,B$49))</f>
        <v/>
      </c>
      <c r="C64" s="38">
        <f>IF($A64="","",SUMIFS($BN$2:$BN$700,$BI$2:$BI$700,$A64,$BJ$2:$BJ$700,C$49))</f>
        <v/>
      </c>
      <c r="D64" s="38">
        <f>IF($A64="","",SUMIFS($BN$2:$BN$700,$BI$2:$BI$700,$A64,$BJ$2:$BJ$700,D$49))</f>
        <v/>
      </c>
      <c r="E64" s="38">
        <f>IF($A64="","",SUMIFS($BN$2:$BN$700,$BI$2:$BI$700,$A64,$BJ$2:$BJ$700,E$49))</f>
        <v/>
      </c>
      <c r="F64" s="38">
        <f>IF($A64="","",SUMIFS($BN$2:$BN$700,$BI$2:$BI$700,$A64,$BJ$2:$BJ$700,F$49))</f>
        <v/>
      </c>
      <c r="G64" s="38">
        <f>IF($A64="","",SUMIFS($BN$2:$BN$700,$BI$2:$BI$700,$A64,$BJ$2:$BJ$700,G$49))</f>
        <v/>
      </c>
      <c r="H64" s="38">
        <f>IF($A64="","",SUMIFS($BN$2:$BN$700,$BI$2:$BI$700,$A64,$BJ$2:$BJ$700,H$49))</f>
        <v/>
      </c>
      <c r="I64" s="38">
        <f>IF($A64="","",SUMIFS($BN$2:$BN$700,$BI$2:$BI$700,$A64,$BJ$2:$BJ$700,I$49))</f>
        <v/>
      </c>
      <c r="J64" s="38">
        <f>IF($A64="","",SUMIFS($BN$2:$BN$700,$BI$2:$BI$700,$A64,$BJ$2:$BJ$700,J$49))</f>
        <v/>
      </c>
      <c r="K64" s="38">
        <f>IF($A64="","",SUMIFS($BN$2:$BN$700,$BI$2:$BI$700,$A64,$BJ$2:$BJ$700,K$49))</f>
        <v/>
      </c>
      <c r="L64" s="38">
        <f>IF($A64="","",SUMIFS($BN$2:$BN$700,$BI$2:$BI$700,$A64,$BJ$2:$BJ$700,L$49))</f>
        <v/>
      </c>
      <c r="M64" s="38">
        <f>IF($A64="","",SUMIFS($BN$2:$BN$700,$BI$2:$BI$700,$A64,$BJ$2:$BJ$700,M$49))</f>
        <v/>
      </c>
      <c r="N64" s="38">
        <f>IF($A64="","",SUMIFS($BN$2:$BN$700,$BI$2:$BI$700,$A64,$BJ$2:$BJ$700,N$49))</f>
        <v/>
      </c>
      <c r="O64" s="38">
        <f>IF($A64="","",SUMIFS($BN$2:$BN$700,$BI$2:$BI$700,$A64,$BJ$2:$BJ$700,O$49))</f>
        <v/>
      </c>
      <c r="P64" s="38">
        <f>IF($A64="","",SUMIFS($BN$2:$BN$700,$BI$2:$BI$700,$A64,$BJ$2:$BJ$700,P$49))</f>
        <v/>
      </c>
      <c r="Q64" s="38">
        <f>IF($A64="","",SUMIFS($BN$2:$BN$700,$BI$2:$BI$700,$A64,$BJ$2:$BJ$700,Q$49))</f>
        <v/>
      </c>
      <c r="R64" s="38">
        <f>IF($A64="","",SUMIFS($BN$2:$BN$700,$BI$2:$BI$700,$A64,$BJ$2:$BJ$700,R$49))</f>
        <v/>
      </c>
      <c r="S64" s="38">
        <f>IF($A64="","",SUMIFS($BN$2:$BN$700,$BI$2:$BI$700,$A64,$BJ$2:$BJ$700,S$49))</f>
        <v/>
      </c>
      <c r="T64" s="38">
        <f>IF($A64="","",SUMIFS($BN$2:$BN$700,$BI$2:$BI$700,$A64,$BJ$2:$BJ$700,T$49))</f>
        <v/>
      </c>
      <c r="U64" s="38">
        <f>IF($A64="","",SUMIFS($BN$2:$BN$700,$BI$2:$BI$700,$A64,$BJ$2:$BJ$700,U$49))</f>
        <v/>
      </c>
      <c r="V64" s="38">
        <f>IF($A64="","",SUMIFS($BN$2:$BN$700,$BI$2:$BI$700,$A64,$BJ$2:$BJ$700,V$49))</f>
        <v/>
      </c>
      <c r="W64" s="38">
        <f>IF($A64="","",SUMIFS($BN$2:$BN$700,$BI$2:$BI$700,$A64,$BJ$2:$BJ$700,W$49))</f>
        <v/>
      </c>
      <c r="X64" s="38">
        <f>IF($A64="","",SUMIFS($BN$2:$BN$700,$BI$2:$BI$700,$A64,$BJ$2:$BJ$700,X$49))</f>
        <v/>
      </c>
      <c r="Y64" s="38">
        <f>IF($A64="","",SUMIFS($BN$2:$BN$700,$BI$2:$BI$700,$A64,$BJ$2:$BJ$700,Y$49))</f>
        <v/>
      </c>
      <c r="Z64" s="38">
        <f>IF($A64="","",SUMIFS($BN$2:$BN$700,$BI$2:$BI$700,$A64,$BJ$2:$BJ$700,Z$49))</f>
        <v/>
      </c>
      <c r="AA64" s="38">
        <f>IF($A64="","",SUMIFS($BN$2:$BN$700,$BI$2:$BI$700,$A64,$BJ$2:$BJ$700,AA$49))</f>
        <v/>
      </c>
      <c r="AB64" s="38">
        <f>IF($A64="","",SUMIFS($BN$2:$BN$700,$BI$2:$BI$700,$A64,$BJ$2:$BJ$700,AB$49))</f>
        <v/>
      </c>
      <c r="AC64" s="38">
        <f>IF($A64="","",SUMIFS($BN$2:$BN$700,$BI$2:$BI$700,$A64,$BJ$2:$BJ$700,AC$49))</f>
        <v/>
      </c>
      <c r="AD64" s="38">
        <f>IF($A64="","",SUMIFS($BN$2:$BN$700,$BI$2:$BI$700,$A64,$BJ$2:$BJ$700,AD$49))</f>
        <v/>
      </c>
      <c r="AE64" s="38">
        <f>IF($A64="","",SUMIFS($BN$2:$BN$700,$BI$2:$BI$700,$A64,$BJ$2:$BJ$700,AE$49))</f>
        <v/>
      </c>
      <c r="AF64" s="38">
        <f>IF($A64="","",SUMIFS($BN$2:$BN$700,$BI$2:$BI$700,$A64,$BJ$2:$BJ$700,AF$49))</f>
        <v/>
      </c>
      <c r="AG64" s="38">
        <f>IF($A64="","",SUM(B64:AF64))</f>
        <v/>
      </c>
      <c r="AZ64" s="38">
        <f>INDEX(Translations!$D:$ZZ, MATCH(310,Translations!$A:$A,0), MATCH('Project Information'!$C$4,Translations!$D$1:$ZZ$1,0))</f>
        <v/>
      </c>
      <c r="BA64" s="38">
        <f>INDEX(Translations!$D:$ZZ, MATCH(221,Translations!$A:$A,0), MATCH('Project Information'!$C$4,Translations!$D$1:$ZZ$1,0))</f>
        <v/>
      </c>
      <c r="BB64" s="38">
        <f>INDEX(Translations!$D:$ZZ, MATCH(343,Translations!$A:$A,0), MATCH('Project Information'!$C$4,Translations!$D$1:$ZZ$1,0))</f>
        <v/>
      </c>
      <c r="BC64" s="38">
        <f>INDEX(Translations!$D:$ZZ, MATCH(76,Translations!$A:$A,0), MATCH('Project Information'!$C$4,Translations!$D$1:$ZZ$1,0))</f>
        <v/>
      </c>
      <c r="BD64" s="38">
        <f>IF(OR(TRIM("")="Evet",TRIM("")="Yes"),1,0)</f>
        <v/>
      </c>
      <c r="BE64" s="38" t="n">
        <v>0.5</v>
      </c>
      <c r="BF64" s="38">
        <f>BD64*BE64</f>
        <v/>
      </c>
      <c r="BH64" s="38">
        <f>INDEX(Translations!$D:$ZZ, MATCH(306,Translations!$A:$A,0), MATCH('Project Information'!$C$4,Translations!$D$1:$ZZ$1,0))</f>
        <v/>
      </c>
      <c r="BI64" s="38">
        <f>INDEX(Translations!$D:$ZZ, MATCH(211,Translations!$A:$A,0), MATCH('Project Information'!$C$4,Translations!$D$1:$ZZ$1,0))</f>
        <v/>
      </c>
      <c r="BJ64" s="38">
        <f>INDEX(Translations!$D:$ZZ, MATCH(337,Translations!$A:$A,0), MATCH('Project Information'!$C$4,Translations!$D$1:$ZZ$1,0))</f>
        <v/>
      </c>
      <c r="BK64" s="38">
        <f>INDEX(Translations!$D:$ZZ, MATCH(75,Translations!$A:$A,0), MATCH('Project Information'!$C$4,Translations!$D$1:$ZZ$1,0))</f>
        <v/>
      </c>
      <c r="BL64" s="38">
        <f>IF(OR(TRIM(Development!$F$19)="Evet",TRIM(Development!$F$19)="Yes"),1,0)</f>
        <v/>
      </c>
      <c r="BM64" s="38" t="n">
        <v>4</v>
      </c>
      <c r="BN64" s="38">
        <f>BL64*BM64</f>
        <v/>
      </c>
    </row>
    <row r="65" ht="15" customHeight="1" s="39">
      <c r="A65" s="38">
        <f>INDEX(Translations!$D:$ZZ, MATCH(175,Translations!$A:$A,0), MATCH('Project Information'!$C$4,Translations!$D$1:$ZZ$1,0))</f>
        <v/>
      </c>
      <c r="B65" s="38">
        <f>IF($A65="","",SUMIFS($BN$2:$BN$700,$BI$2:$BI$700,$A65,$BJ$2:$BJ$700,B$49))</f>
        <v/>
      </c>
      <c r="C65" s="38">
        <f>IF($A65="","",SUMIFS($BN$2:$BN$700,$BI$2:$BI$700,$A65,$BJ$2:$BJ$700,C$49))</f>
        <v/>
      </c>
      <c r="D65" s="38">
        <f>IF($A65="","",SUMIFS($BN$2:$BN$700,$BI$2:$BI$700,$A65,$BJ$2:$BJ$700,D$49))</f>
        <v/>
      </c>
      <c r="E65" s="38">
        <f>IF($A65="","",SUMIFS($BN$2:$BN$700,$BI$2:$BI$700,$A65,$BJ$2:$BJ$700,E$49))</f>
        <v/>
      </c>
      <c r="F65" s="38">
        <f>IF($A65="","",SUMIFS($BN$2:$BN$700,$BI$2:$BI$700,$A65,$BJ$2:$BJ$700,F$49))</f>
        <v/>
      </c>
      <c r="G65" s="38">
        <f>IF($A65="","",SUMIFS($BN$2:$BN$700,$BI$2:$BI$700,$A65,$BJ$2:$BJ$700,G$49))</f>
        <v/>
      </c>
      <c r="H65" s="38">
        <f>IF($A65="","",SUMIFS($BN$2:$BN$700,$BI$2:$BI$700,$A65,$BJ$2:$BJ$700,H$49))</f>
        <v/>
      </c>
      <c r="I65" s="38">
        <f>IF($A65="","",SUMIFS($BN$2:$BN$700,$BI$2:$BI$700,$A65,$BJ$2:$BJ$700,I$49))</f>
        <v/>
      </c>
      <c r="J65" s="38">
        <f>IF($A65="","",SUMIFS($BN$2:$BN$700,$BI$2:$BI$700,$A65,$BJ$2:$BJ$700,J$49))</f>
        <v/>
      </c>
      <c r="K65" s="38">
        <f>IF($A65="","",SUMIFS($BN$2:$BN$700,$BI$2:$BI$700,$A65,$BJ$2:$BJ$700,K$49))</f>
        <v/>
      </c>
      <c r="L65" s="38">
        <f>IF($A65="","",SUMIFS($BN$2:$BN$700,$BI$2:$BI$700,$A65,$BJ$2:$BJ$700,L$49))</f>
        <v/>
      </c>
      <c r="M65" s="38">
        <f>IF($A65="","",SUMIFS($BN$2:$BN$700,$BI$2:$BI$700,$A65,$BJ$2:$BJ$700,M$49))</f>
        <v/>
      </c>
      <c r="N65" s="38">
        <f>IF($A65="","",SUMIFS($BN$2:$BN$700,$BI$2:$BI$700,$A65,$BJ$2:$BJ$700,N$49))</f>
        <v/>
      </c>
      <c r="O65" s="38">
        <f>IF($A65="","",SUMIFS($BN$2:$BN$700,$BI$2:$BI$700,$A65,$BJ$2:$BJ$700,O$49))</f>
        <v/>
      </c>
      <c r="P65" s="38">
        <f>IF($A65="","",SUMIFS($BN$2:$BN$700,$BI$2:$BI$700,$A65,$BJ$2:$BJ$700,P$49))</f>
        <v/>
      </c>
      <c r="Q65" s="38">
        <f>IF($A65="","",SUMIFS($BN$2:$BN$700,$BI$2:$BI$700,$A65,$BJ$2:$BJ$700,Q$49))</f>
        <v/>
      </c>
      <c r="R65" s="38">
        <f>IF($A65="","",SUMIFS($BN$2:$BN$700,$BI$2:$BI$700,$A65,$BJ$2:$BJ$700,R$49))</f>
        <v/>
      </c>
      <c r="S65" s="38">
        <f>IF($A65="","",SUMIFS($BN$2:$BN$700,$BI$2:$BI$700,$A65,$BJ$2:$BJ$700,S$49))</f>
        <v/>
      </c>
      <c r="T65" s="38">
        <f>IF($A65="","",SUMIFS($BN$2:$BN$700,$BI$2:$BI$700,$A65,$BJ$2:$BJ$700,T$49))</f>
        <v/>
      </c>
      <c r="U65" s="38">
        <f>IF($A65="","",SUMIFS($BN$2:$BN$700,$BI$2:$BI$700,$A65,$BJ$2:$BJ$700,U$49))</f>
        <v/>
      </c>
      <c r="V65" s="38">
        <f>IF($A65="","",SUMIFS($BN$2:$BN$700,$BI$2:$BI$700,$A65,$BJ$2:$BJ$700,V$49))</f>
        <v/>
      </c>
      <c r="W65" s="38">
        <f>IF($A65="","",SUMIFS($BN$2:$BN$700,$BI$2:$BI$700,$A65,$BJ$2:$BJ$700,W$49))</f>
        <v/>
      </c>
      <c r="X65" s="38">
        <f>IF($A65="","",SUMIFS($BN$2:$BN$700,$BI$2:$BI$700,$A65,$BJ$2:$BJ$700,X$49))</f>
        <v/>
      </c>
      <c r="Y65" s="38">
        <f>IF($A65="","",SUMIFS($BN$2:$BN$700,$BI$2:$BI$700,$A65,$BJ$2:$BJ$700,Y$49))</f>
        <v/>
      </c>
      <c r="Z65" s="38">
        <f>IF($A65="","",SUMIFS($BN$2:$BN$700,$BI$2:$BI$700,$A65,$BJ$2:$BJ$700,Z$49))</f>
        <v/>
      </c>
      <c r="AA65" s="38">
        <f>IF($A65="","",SUMIFS($BN$2:$BN$700,$BI$2:$BI$700,$A65,$BJ$2:$BJ$700,AA$49))</f>
        <v/>
      </c>
      <c r="AB65" s="38">
        <f>IF($A65="","",SUMIFS($BN$2:$BN$700,$BI$2:$BI$700,$A65,$BJ$2:$BJ$700,AB$49))</f>
        <v/>
      </c>
      <c r="AC65" s="38">
        <f>IF($A65="","",SUMIFS($BN$2:$BN$700,$BI$2:$BI$700,$A65,$BJ$2:$BJ$700,AC$49))</f>
        <v/>
      </c>
      <c r="AD65" s="38">
        <f>IF($A65="","",SUMIFS($BN$2:$BN$700,$BI$2:$BI$700,$A65,$BJ$2:$BJ$700,AD$49))</f>
        <v/>
      </c>
      <c r="AE65" s="38">
        <f>IF($A65="","",SUMIFS($BN$2:$BN$700,$BI$2:$BI$700,$A65,$BJ$2:$BJ$700,AE$49))</f>
        <v/>
      </c>
      <c r="AF65" s="38">
        <f>IF($A65="","",SUMIFS($BN$2:$BN$700,$BI$2:$BI$700,$A65,$BJ$2:$BJ$700,AF$49))</f>
        <v/>
      </c>
      <c r="AG65" s="38">
        <f>IF($A65="","",SUM(B65:AF65))</f>
        <v/>
      </c>
      <c r="AZ65" s="38">
        <f>INDEX(Translations!$D:$ZZ, MATCH(310,Translations!$A:$A,0), MATCH('Project Information'!$C$4,Translations!$D$1:$ZZ$1,0))</f>
        <v/>
      </c>
      <c r="BA65" s="38">
        <f>INDEX(Translations!$D:$ZZ, MATCH(221,Translations!$A:$A,0), MATCH('Project Information'!$C$4,Translations!$D$1:$ZZ$1,0))</f>
        <v/>
      </c>
      <c r="BB65" s="38">
        <f>INDEX(Translations!$D:$ZZ, MATCH(343,Translations!$A:$A,0), MATCH('Project Information'!$C$4,Translations!$D$1:$ZZ$1,0))</f>
        <v/>
      </c>
      <c r="BC65" s="38">
        <f>INDEX(Translations!$D:$ZZ, MATCH(78,Translations!$A:$A,0), MATCH('Project Information'!$C$4,Translations!$D$1:$ZZ$1,0))</f>
        <v/>
      </c>
      <c r="BD65" s="38">
        <f>IF(OR(TRIM("")="Evet",TRIM("")="Yes"),1,0)</f>
        <v/>
      </c>
      <c r="BE65" s="38" t="n">
        <v>0.5</v>
      </c>
      <c r="BF65" s="38">
        <f>BD65*BE65</f>
        <v/>
      </c>
      <c r="BH65" s="38">
        <f>INDEX(Translations!$D:$ZZ, MATCH(306,Translations!$A:$A,0), MATCH('Project Information'!$C$4,Translations!$D$1:$ZZ$1,0))</f>
        <v/>
      </c>
      <c r="BI65" s="38">
        <f>INDEX(Translations!$D:$ZZ, MATCH(211,Translations!$A:$A,0), MATCH('Project Information'!$C$4,Translations!$D$1:$ZZ$1,0))</f>
        <v/>
      </c>
      <c r="BJ65" s="38">
        <f>INDEX(Translations!$D:$ZZ, MATCH(337,Translations!$A:$A,0), MATCH('Project Information'!$C$4,Translations!$D$1:$ZZ$1,0))</f>
        <v/>
      </c>
      <c r="BK65" s="38">
        <f>INDEX(Translations!$D:$ZZ, MATCH(76,Translations!$A:$A,0), MATCH('Project Information'!$C$4,Translations!$D$1:$ZZ$1,0))</f>
        <v/>
      </c>
      <c r="BL65" s="38">
        <f>IF(OR(TRIM(Development!$F$19)="Evet",TRIM(Development!$F$19)="Yes"),1,0)</f>
        <v/>
      </c>
      <c r="BM65" s="38" t="n">
        <v>2</v>
      </c>
      <c r="BN65" s="38">
        <f>BL65*BM65</f>
        <v/>
      </c>
    </row>
    <row r="66" ht="15" customHeight="1" s="39">
      <c r="A66" s="38">
        <f>INDEX(Translations!$D:$ZZ, MATCH(209,Translations!$A:$A,0), MATCH('Project Information'!$C$4,Translations!$D$1:$ZZ$1,0))</f>
        <v/>
      </c>
      <c r="B66" s="38">
        <f>IF($A66="","",SUMIFS($BN$2:$BN$700,$BI$2:$BI$700,$A66,$BJ$2:$BJ$700,B$49))</f>
        <v/>
      </c>
      <c r="C66" s="38">
        <f>IF($A66="","",SUMIFS($BN$2:$BN$700,$BI$2:$BI$700,$A66,$BJ$2:$BJ$700,C$49))</f>
        <v/>
      </c>
      <c r="D66" s="38">
        <f>IF($A66="","",SUMIFS($BN$2:$BN$700,$BI$2:$BI$700,$A66,$BJ$2:$BJ$700,D$49))</f>
        <v/>
      </c>
      <c r="E66" s="38">
        <f>IF($A66="","",SUMIFS($BN$2:$BN$700,$BI$2:$BI$700,$A66,$BJ$2:$BJ$700,E$49))</f>
        <v/>
      </c>
      <c r="F66" s="38">
        <f>IF($A66="","",SUMIFS($BN$2:$BN$700,$BI$2:$BI$700,$A66,$BJ$2:$BJ$700,F$49))</f>
        <v/>
      </c>
      <c r="G66" s="38">
        <f>IF($A66="","",SUMIFS($BN$2:$BN$700,$BI$2:$BI$700,$A66,$BJ$2:$BJ$700,G$49))</f>
        <v/>
      </c>
      <c r="H66" s="38">
        <f>IF($A66="","",SUMIFS($BN$2:$BN$700,$BI$2:$BI$700,$A66,$BJ$2:$BJ$700,H$49))</f>
        <v/>
      </c>
      <c r="I66" s="38">
        <f>IF($A66="","",SUMIFS($BN$2:$BN$700,$BI$2:$BI$700,$A66,$BJ$2:$BJ$700,I$49))</f>
        <v/>
      </c>
      <c r="J66" s="38">
        <f>IF($A66="","",SUMIFS($BN$2:$BN$700,$BI$2:$BI$700,$A66,$BJ$2:$BJ$700,J$49))</f>
        <v/>
      </c>
      <c r="K66" s="38">
        <f>IF($A66="","",SUMIFS($BN$2:$BN$700,$BI$2:$BI$700,$A66,$BJ$2:$BJ$700,K$49))</f>
        <v/>
      </c>
      <c r="L66" s="38">
        <f>IF($A66="","",SUMIFS($BN$2:$BN$700,$BI$2:$BI$700,$A66,$BJ$2:$BJ$700,L$49))</f>
        <v/>
      </c>
      <c r="M66" s="38">
        <f>IF($A66="","",SUMIFS($BN$2:$BN$700,$BI$2:$BI$700,$A66,$BJ$2:$BJ$700,M$49))</f>
        <v/>
      </c>
      <c r="N66" s="38">
        <f>IF($A66="","",SUMIFS($BN$2:$BN$700,$BI$2:$BI$700,$A66,$BJ$2:$BJ$700,N$49))</f>
        <v/>
      </c>
      <c r="O66" s="38">
        <f>IF($A66="","",SUMIFS($BN$2:$BN$700,$BI$2:$BI$700,$A66,$BJ$2:$BJ$700,O$49))</f>
        <v/>
      </c>
      <c r="P66" s="38">
        <f>IF($A66="","",SUMIFS($BN$2:$BN$700,$BI$2:$BI$700,$A66,$BJ$2:$BJ$700,P$49))</f>
        <v/>
      </c>
      <c r="Q66" s="38">
        <f>IF($A66="","",SUMIFS($BN$2:$BN$700,$BI$2:$BI$700,$A66,$BJ$2:$BJ$700,Q$49))</f>
        <v/>
      </c>
      <c r="R66" s="38">
        <f>IF($A66="","",SUMIFS($BN$2:$BN$700,$BI$2:$BI$700,$A66,$BJ$2:$BJ$700,R$49))</f>
        <v/>
      </c>
      <c r="S66" s="38">
        <f>IF($A66="","",SUMIFS($BN$2:$BN$700,$BI$2:$BI$700,$A66,$BJ$2:$BJ$700,S$49))</f>
        <v/>
      </c>
      <c r="T66" s="38">
        <f>IF($A66="","",SUMIFS($BN$2:$BN$700,$BI$2:$BI$700,$A66,$BJ$2:$BJ$700,T$49))</f>
        <v/>
      </c>
      <c r="U66" s="38">
        <f>IF($A66="","",SUMIFS($BN$2:$BN$700,$BI$2:$BI$700,$A66,$BJ$2:$BJ$700,U$49))</f>
        <v/>
      </c>
      <c r="V66" s="38">
        <f>IF($A66="","",SUMIFS($BN$2:$BN$700,$BI$2:$BI$700,$A66,$BJ$2:$BJ$700,V$49))</f>
        <v/>
      </c>
      <c r="W66" s="38">
        <f>IF($A66="","",SUMIFS($BN$2:$BN$700,$BI$2:$BI$700,$A66,$BJ$2:$BJ$700,W$49))</f>
        <v/>
      </c>
      <c r="X66" s="38">
        <f>IF($A66="","",SUMIFS($BN$2:$BN$700,$BI$2:$BI$700,$A66,$BJ$2:$BJ$700,X$49))</f>
        <v/>
      </c>
      <c r="Y66" s="38">
        <f>IF($A66="","",SUMIFS($BN$2:$BN$700,$BI$2:$BI$700,$A66,$BJ$2:$BJ$700,Y$49))</f>
        <v/>
      </c>
      <c r="Z66" s="38">
        <f>IF($A66="","",SUMIFS($BN$2:$BN$700,$BI$2:$BI$700,$A66,$BJ$2:$BJ$700,Z$49))</f>
        <v/>
      </c>
      <c r="AA66" s="38">
        <f>IF($A66="","",SUMIFS($BN$2:$BN$700,$BI$2:$BI$700,$A66,$BJ$2:$BJ$700,AA$49))</f>
        <v/>
      </c>
      <c r="AB66" s="38">
        <f>IF($A66="","",SUMIFS($BN$2:$BN$700,$BI$2:$BI$700,$A66,$BJ$2:$BJ$700,AB$49))</f>
        <v/>
      </c>
      <c r="AC66" s="38">
        <f>IF($A66="","",SUMIFS($BN$2:$BN$700,$BI$2:$BI$700,$A66,$BJ$2:$BJ$700,AC$49))</f>
        <v/>
      </c>
      <c r="AD66" s="38">
        <f>IF($A66="","",SUMIFS($BN$2:$BN$700,$BI$2:$BI$700,$A66,$BJ$2:$BJ$700,AD$49))</f>
        <v/>
      </c>
      <c r="AE66" s="38">
        <f>IF($A66="","",SUMIFS($BN$2:$BN$700,$BI$2:$BI$700,$A66,$BJ$2:$BJ$700,AE$49))</f>
        <v/>
      </c>
      <c r="AF66" s="38">
        <f>IF($A66="","",SUMIFS($BN$2:$BN$700,$BI$2:$BI$700,$A66,$BJ$2:$BJ$700,AF$49))</f>
        <v/>
      </c>
      <c r="AG66" s="38">
        <f>IF($A66="","",SUM(B66:AF66))</f>
        <v/>
      </c>
      <c r="AZ66" s="38">
        <f>INDEX(Translations!$D:$ZZ, MATCH(310,Translations!$A:$A,0), MATCH('Project Information'!$C$4,Translations!$D$1:$ZZ$1,0))</f>
        <v/>
      </c>
      <c r="BA66" s="38">
        <f>INDEX(Translations!$D:$ZZ, MATCH(221,Translations!$A:$A,0), MATCH('Project Information'!$C$4,Translations!$D$1:$ZZ$1,0))</f>
        <v/>
      </c>
      <c r="BB66" s="38">
        <f>INDEX(Translations!$D:$ZZ, MATCH(343,Translations!$A:$A,0), MATCH('Project Information'!$C$4,Translations!$D$1:$ZZ$1,0))</f>
        <v/>
      </c>
      <c r="BC66" s="38">
        <f>INDEX(Translations!$D:$ZZ, MATCH(79,Translations!$A:$A,0), MATCH('Project Information'!$C$4,Translations!$D$1:$ZZ$1,0))</f>
        <v/>
      </c>
      <c r="BD66" s="38">
        <f>IF(OR(TRIM("")="Evet",TRIM("")="Yes"),1,0)</f>
        <v/>
      </c>
      <c r="BE66" s="38" t="n">
        <v>1</v>
      </c>
      <c r="BF66" s="38">
        <f>BD66*BE66</f>
        <v/>
      </c>
      <c r="BH66" s="38">
        <f>INDEX(Translations!$D:$ZZ, MATCH(306,Translations!$A:$A,0), MATCH('Project Information'!$C$4,Translations!$D$1:$ZZ$1,0))</f>
        <v/>
      </c>
      <c r="BI66" s="38">
        <f>INDEX(Translations!$D:$ZZ, MATCH(211,Translations!$A:$A,0), MATCH('Project Information'!$C$4,Translations!$D$1:$ZZ$1,0))</f>
        <v/>
      </c>
      <c r="BJ66" s="38">
        <f>INDEX(Translations!$D:$ZZ, MATCH(337,Translations!$A:$A,0), MATCH('Project Information'!$C$4,Translations!$D$1:$ZZ$1,0))</f>
        <v/>
      </c>
      <c r="BK66" s="38">
        <f>INDEX(Translations!$D:$ZZ, MATCH(79,Translations!$A:$A,0), MATCH('Project Information'!$C$4,Translations!$D$1:$ZZ$1,0))</f>
        <v/>
      </c>
      <c r="BL66" s="38">
        <f>IF(OR(TRIM(Development!$F$19)="Evet",TRIM(Development!$F$19)="Yes"),1,0)</f>
        <v/>
      </c>
      <c r="BM66" s="38" t="n">
        <v>5</v>
      </c>
      <c r="BN66" s="38">
        <f>BL66*BM66</f>
        <v/>
      </c>
    </row>
    <row r="67" ht="15" customHeight="1" s="39">
      <c r="A67" s="38">
        <f>INDEX(Translations!$D:$ZZ, MATCH(169,Translations!$A:$A,0), MATCH('Project Information'!$C$4,Translations!$D$1:$ZZ$1,0))</f>
        <v/>
      </c>
      <c r="B67" s="38">
        <f>IF($A67="","",SUMIFS($BN$2:$BN$700,$BI$2:$BI$700,$A67,$BJ$2:$BJ$700,B$49))</f>
        <v/>
      </c>
      <c r="C67" s="38">
        <f>IF($A67="","",SUMIFS($BN$2:$BN$700,$BI$2:$BI$700,$A67,$BJ$2:$BJ$700,C$49))</f>
        <v/>
      </c>
      <c r="D67" s="38">
        <f>IF($A67="","",SUMIFS($BN$2:$BN$700,$BI$2:$BI$700,$A67,$BJ$2:$BJ$700,D$49))</f>
        <v/>
      </c>
      <c r="E67" s="38">
        <f>IF($A67="","",SUMIFS($BN$2:$BN$700,$BI$2:$BI$700,$A67,$BJ$2:$BJ$700,E$49))</f>
        <v/>
      </c>
      <c r="F67" s="38">
        <f>IF($A67="","",SUMIFS($BN$2:$BN$700,$BI$2:$BI$700,$A67,$BJ$2:$BJ$700,F$49))</f>
        <v/>
      </c>
      <c r="G67" s="38">
        <f>IF($A67="","",SUMIFS($BN$2:$BN$700,$BI$2:$BI$700,$A67,$BJ$2:$BJ$700,G$49))</f>
        <v/>
      </c>
      <c r="H67" s="38">
        <f>IF($A67="","",SUMIFS($BN$2:$BN$700,$BI$2:$BI$700,$A67,$BJ$2:$BJ$700,H$49))</f>
        <v/>
      </c>
      <c r="I67" s="38">
        <f>IF($A67="","",SUMIFS($BN$2:$BN$700,$BI$2:$BI$700,$A67,$BJ$2:$BJ$700,I$49))</f>
        <v/>
      </c>
      <c r="J67" s="38">
        <f>IF($A67="","",SUMIFS($BN$2:$BN$700,$BI$2:$BI$700,$A67,$BJ$2:$BJ$700,J$49))</f>
        <v/>
      </c>
      <c r="K67" s="38">
        <f>IF($A67="","",SUMIFS($BN$2:$BN$700,$BI$2:$BI$700,$A67,$BJ$2:$BJ$700,K$49))</f>
        <v/>
      </c>
      <c r="L67" s="38">
        <f>IF($A67="","",SUMIFS($BN$2:$BN$700,$BI$2:$BI$700,$A67,$BJ$2:$BJ$700,L$49))</f>
        <v/>
      </c>
      <c r="M67" s="38">
        <f>IF($A67="","",SUMIFS($BN$2:$BN$700,$BI$2:$BI$700,$A67,$BJ$2:$BJ$700,M$49))</f>
        <v/>
      </c>
      <c r="N67" s="38">
        <f>IF($A67="","",SUMIFS($BN$2:$BN$700,$BI$2:$BI$700,$A67,$BJ$2:$BJ$700,N$49))</f>
        <v/>
      </c>
      <c r="O67" s="38">
        <f>IF($A67="","",SUMIFS($BN$2:$BN$700,$BI$2:$BI$700,$A67,$BJ$2:$BJ$700,O$49))</f>
        <v/>
      </c>
      <c r="P67" s="38">
        <f>IF($A67="","",SUMIFS($BN$2:$BN$700,$BI$2:$BI$700,$A67,$BJ$2:$BJ$700,P$49))</f>
        <v/>
      </c>
      <c r="Q67" s="38">
        <f>IF($A67="","",SUMIFS($BN$2:$BN$700,$BI$2:$BI$700,$A67,$BJ$2:$BJ$700,Q$49))</f>
        <v/>
      </c>
      <c r="R67" s="38">
        <f>IF($A67="","",SUMIFS($BN$2:$BN$700,$BI$2:$BI$700,$A67,$BJ$2:$BJ$700,R$49))</f>
        <v/>
      </c>
      <c r="S67" s="38">
        <f>IF($A67="","",SUMIFS($BN$2:$BN$700,$BI$2:$BI$700,$A67,$BJ$2:$BJ$700,S$49))</f>
        <v/>
      </c>
      <c r="T67" s="38">
        <f>IF($A67="","",SUMIFS($BN$2:$BN$700,$BI$2:$BI$700,$A67,$BJ$2:$BJ$700,T$49))</f>
        <v/>
      </c>
      <c r="U67" s="38">
        <f>IF($A67="","",SUMIFS($BN$2:$BN$700,$BI$2:$BI$700,$A67,$BJ$2:$BJ$700,U$49))</f>
        <v/>
      </c>
      <c r="V67" s="38">
        <f>IF($A67="","",SUMIFS($BN$2:$BN$700,$BI$2:$BI$700,$A67,$BJ$2:$BJ$700,V$49))</f>
        <v/>
      </c>
      <c r="W67" s="38">
        <f>IF($A67="","",SUMIFS($BN$2:$BN$700,$BI$2:$BI$700,$A67,$BJ$2:$BJ$700,W$49))</f>
        <v/>
      </c>
      <c r="X67" s="38">
        <f>IF($A67="","",SUMIFS($BN$2:$BN$700,$BI$2:$BI$700,$A67,$BJ$2:$BJ$700,X$49))</f>
        <v/>
      </c>
      <c r="Y67" s="38">
        <f>IF($A67="","",SUMIFS($BN$2:$BN$700,$BI$2:$BI$700,$A67,$BJ$2:$BJ$700,Y$49))</f>
        <v/>
      </c>
      <c r="Z67" s="38">
        <f>IF($A67="","",SUMIFS($BN$2:$BN$700,$BI$2:$BI$700,$A67,$BJ$2:$BJ$700,Z$49))</f>
        <v/>
      </c>
      <c r="AA67" s="38">
        <f>IF($A67="","",SUMIFS($BN$2:$BN$700,$BI$2:$BI$700,$A67,$BJ$2:$BJ$700,AA$49))</f>
        <v/>
      </c>
      <c r="AB67" s="38">
        <f>IF($A67="","",SUMIFS($BN$2:$BN$700,$BI$2:$BI$700,$A67,$BJ$2:$BJ$700,AB$49))</f>
        <v/>
      </c>
      <c r="AC67" s="38">
        <f>IF($A67="","",SUMIFS($BN$2:$BN$700,$BI$2:$BI$700,$A67,$BJ$2:$BJ$700,AC$49))</f>
        <v/>
      </c>
      <c r="AD67" s="38">
        <f>IF($A67="","",SUMIFS($BN$2:$BN$700,$BI$2:$BI$700,$A67,$BJ$2:$BJ$700,AD$49))</f>
        <v/>
      </c>
      <c r="AE67" s="38">
        <f>IF($A67="","",SUMIFS($BN$2:$BN$700,$BI$2:$BI$700,$A67,$BJ$2:$BJ$700,AE$49))</f>
        <v/>
      </c>
      <c r="AF67" s="38">
        <f>IF($A67="","",SUMIFS($BN$2:$BN$700,$BI$2:$BI$700,$A67,$BJ$2:$BJ$700,AF$49))</f>
        <v/>
      </c>
      <c r="AG67" s="38">
        <f>IF($A67="","",SUM(B67:AF67))</f>
        <v/>
      </c>
      <c r="AZ67" s="38">
        <f>INDEX(Translations!$D:$ZZ, MATCH(310,Translations!$A:$A,0), MATCH('Project Information'!$C$4,Translations!$D$1:$ZZ$1,0))</f>
        <v/>
      </c>
      <c r="BA67" s="38">
        <f>INDEX(Translations!$D:$ZZ, MATCH(221,Translations!$A:$A,0), MATCH('Project Information'!$C$4,Translations!$D$1:$ZZ$1,0))</f>
        <v/>
      </c>
      <c r="BB67" s="38">
        <f>INDEX(Translations!$D:$ZZ, MATCH(343,Translations!$A:$A,0), MATCH('Project Information'!$C$4,Translations!$D$1:$ZZ$1,0))</f>
        <v/>
      </c>
      <c r="BC67" s="38">
        <f>INDEX(Translations!$D:$ZZ, MATCH(82,Translations!$A:$A,0), MATCH('Project Information'!$C$4,Translations!$D$1:$ZZ$1,0))</f>
        <v/>
      </c>
      <c r="BD67" s="38">
        <f>IF(OR(TRIM("")="Evet",TRIM("")="Yes"),1,0)</f>
        <v/>
      </c>
      <c r="BE67" s="38" t="n">
        <v>1</v>
      </c>
      <c r="BF67" s="38">
        <f>BD67*BE67</f>
        <v/>
      </c>
      <c r="BH67" s="38">
        <f>INDEX(Translations!$D:$ZZ, MATCH(306,Translations!$A:$A,0), MATCH('Project Information'!$C$4,Translations!$D$1:$ZZ$1,0))</f>
        <v/>
      </c>
      <c r="BI67" s="38">
        <f>INDEX(Translations!$D:$ZZ, MATCH(211,Translations!$A:$A,0), MATCH('Project Information'!$C$4,Translations!$D$1:$ZZ$1,0))</f>
        <v/>
      </c>
      <c r="BJ67" s="38">
        <f>INDEX(Translations!$D:$ZZ, MATCH(342,Translations!$A:$A,0), MATCH('Project Information'!$C$4,Translations!$D$1:$ZZ$1,0))</f>
        <v/>
      </c>
      <c r="BK67" s="38">
        <f>INDEX(Translations!$D:$ZZ, MATCH(75,Translations!$A:$A,0), MATCH('Project Information'!$C$4,Translations!$D$1:$ZZ$1,0))</f>
        <v/>
      </c>
      <c r="BL67" s="38">
        <f>IF(OR(TRIM(Development!$F$19)="Evet",TRIM(Development!$F$19)="Yes"),1,0)</f>
        <v/>
      </c>
      <c r="BM67" s="38" t="n">
        <v>2</v>
      </c>
      <c r="BN67" s="38">
        <f>BL67*BM67</f>
        <v/>
      </c>
    </row>
    <row r="68" ht="15" customHeight="1" s="39">
      <c r="A68" s="38">
        <f>INDEX(Translations!$D:$ZZ, MATCH(267,Translations!$A:$A,0), MATCH('Project Information'!$C$4,Translations!$D$1:$ZZ$1,0))</f>
        <v/>
      </c>
      <c r="B68" s="38">
        <f>IF($A68="","",SUMIFS($BN$2:$BN$700,$BI$2:$BI$700,$A68,$BJ$2:$BJ$700,B$49))</f>
        <v/>
      </c>
      <c r="C68" s="38">
        <f>IF($A68="","",SUMIFS($BN$2:$BN$700,$BI$2:$BI$700,$A68,$BJ$2:$BJ$700,C$49))</f>
        <v/>
      </c>
      <c r="D68" s="38">
        <f>IF($A68="","",SUMIFS($BN$2:$BN$700,$BI$2:$BI$700,$A68,$BJ$2:$BJ$700,D$49))</f>
        <v/>
      </c>
      <c r="E68" s="38">
        <f>IF($A68="","",SUMIFS($BN$2:$BN$700,$BI$2:$BI$700,$A68,$BJ$2:$BJ$700,E$49))</f>
        <v/>
      </c>
      <c r="F68" s="38">
        <f>IF($A68="","",SUMIFS($BN$2:$BN$700,$BI$2:$BI$700,$A68,$BJ$2:$BJ$700,F$49))</f>
        <v/>
      </c>
      <c r="G68" s="38">
        <f>IF($A68="","",SUMIFS($BN$2:$BN$700,$BI$2:$BI$700,$A68,$BJ$2:$BJ$700,G$49))</f>
        <v/>
      </c>
      <c r="H68" s="38">
        <f>IF($A68="","",SUMIFS($BN$2:$BN$700,$BI$2:$BI$700,$A68,$BJ$2:$BJ$700,H$49))</f>
        <v/>
      </c>
      <c r="I68" s="38">
        <f>IF($A68="","",SUMIFS($BN$2:$BN$700,$BI$2:$BI$700,$A68,$BJ$2:$BJ$700,I$49))</f>
        <v/>
      </c>
      <c r="J68" s="38">
        <f>IF($A68="","",SUMIFS($BN$2:$BN$700,$BI$2:$BI$700,$A68,$BJ$2:$BJ$700,J$49))</f>
        <v/>
      </c>
      <c r="K68" s="38">
        <f>IF($A68="","",SUMIFS($BN$2:$BN$700,$BI$2:$BI$700,$A68,$BJ$2:$BJ$700,K$49))</f>
        <v/>
      </c>
      <c r="L68" s="38">
        <f>IF($A68="","",SUMIFS($BN$2:$BN$700,$BI$2:$BI$700,$A68,$BJ$2:$BJ$700,L$49))</f>
        <v/>
      </c>
      <c r="M68" s="38">
        <f>IF($A68="","",SUMIFS($BN$2:$BN$700,$BI$2:$BI$700,$A68,$BJ$2:$BJ$700,M$49))</f>
        <v/>
      </c>
      <c r="N68" s="38">
        <f>IF($A68="","",SUMIFS($BN$2:$BN$700,$BI$2:$BI$700,$A68,$BJ$2:$BJ$700,N$49))</f>
        <v/>
      </c>
      <c r="O68" s="38">
        <f>IF($A68="","",SUMIFS($BN$2:$BN$700,$BI$2:$BI$700,$A68,$BJ$2:$BJ$700,O$49))</f>
        <v/>
      </c>
      <c r="P68" s="38">
        <f>IF($A68="","",SUMIFS($BN$2:$BN$700,$BI$2:$BI$700,$A68,$BJ$2:$BJ$700,P$49))</f>
        <v/>
      </c>
      <c r="Q68" s="38">
        <f>IF($A68="","",SUMIFS($BN$2:$BN$700,$BI$2:$BI$700,$A68,$BJ$2:$BJ$700,Q$49))</f>
        <v/>
      </c>
      <c r="R68" s="38">
        <f>IF($A68="","",SUMIFS($BN$2:$BN$700,$BI$2:$BI$700,$A68,$BJ$2:$BJ$700,R$49))</f>
        <v/>
      </c>
      <c r="S68" s="38">
        <f>IF($A68="","",SUMIFS($BN$2:$BN$700,$BI$2:$BI$700,$A68,$BJ$2:$BJ$700,S$49))</f>
        <v/>
      </c>
      <c r="T68" s="38">
        <f>IF($A68="","",SUMIFS($BN$2:$BN$700,$BI$2:$BI$700,$A68,$BJ$2:$BJ$700,T$49))</f>
        <v/>
      </c>
      <c r="U68" s="38">
        <f>IF($A68="","",SUMIFS($BN$2:$BN$700,$BI$2:$BI$700,$A68,$BJ$2:$BJ$700,U$49))</f>
        <v/>
      </c>
      <c r="V68" s="38">
        <f>IF($A68="","",SUMIFS($BN$2:$BN$700,$BI$2:$BI$700,$A68,$BJ$2:$BJ$700,V$49))</f>
        <v/>
      </c>
      <c r="W68" s="38">
        <f>IF($A68="","",SUMIFS($BN$2:$BN$700,$BI$2:$BI$700,$A68,$BJ$2:$BJ$700,W$49))</f>
        <v/>
      </c>
      <c r="X68" s="38">
        <f>IF($A68="","",SUMIFS($BN$2:$BN$700,$BI$2:$BI$700,$A68,$BJ$2:$BJ$700,X$49))</f>
        <v/>
      </c>
      <c r="Y68" s="38">
        <f>IF($A68="","",SUMIFS($BN$2:$BN$700,$BI$2:$BI$700,$A68,$BJ$2:$BJ$700,Y$49))</f>
        <v/>
      </c>
      <c r="Z68" s="38">
        <f>IF($A68="","",SUMIFS($BN$2:$BN$700,$BI$2:$BI$700,$A68,$BJ$2:$BJ$700,Z$49))</f>
        <v/>
      </c>
      <c r="AA68" s="38">
        <f>IF($A68="","",SUMIFS($BN$2:$BN$700,$BI$2:$BI$700,$A68,$BJ$2:$BJ$700,AA$49))</f>
        <v/>
      </c>
      <c r="AB68" s="38">
        <f>IF($A68="","",SUMIFS($BN$2:$BN$700,$BI$2:$BI$700,$A68,$BJ$2:$BJ$700,AB$49))</f>
        <v/>
      </c>
      <c r="AC68" s="38">
        <f>IF($A68="","",SUMIFS($BN$2:$BN$700,$BI$2:$BI$700,$A68,$BJ$2:$BJ$700,AC$49))</f>
        <v/>
      </c>
      <c r="AD68" s="38">
        <f>IF($A68="","",SUMIFS($BN$2:$BN$700,$BI$2:$BI$700,$A68,$BJ$2:$BJ$700,AD$49))</f>
        <v/>
      </c>
      <c r="AE68" s="38">
        <f>IF($A68="","",SUMIFS($BN$2:$BN$700,$BI$2:$BI$700,$A68,$BJ$2:$BJ$700,AE$49))</f>
        <v/>
      </c>
      <c r="AF68" s="38">
        <f>IF($A68="","",SUMIFS($BN$2:$BN$700,$BI$2:$BI$700,$A68,$BJ$2:$BJ$700,AF$49))</f>
        <v/>
      </c>
      <c r="AG68" s="38">
        <f>IF($A68="","",SUM(B68:AF68))</f>
        <v/>
      </c>
      <c r="AZ68" s="38">
        <f>INDEX(Translations!$D:$ZZ, MATCH(310,Translations!$A:$A,0), MATCH('Project Information'!$C$4,Translations!$D$1:$ZZ$1,0))</f>
        <v/>
      </c>
      <c r="BA68" s="38">
        <f>INDEX(Translations!$D:$ZZ, MATCH(221,Translations!$A:$A,0), MATCH('Project Information'!$C$4,Translations!$D$1:$ZZ$1,0))</f>
        <v/>
      </c>
      <c r="BB68" s="38">
        <f>INDEX(Translations!$D:$ZZ, MATCH(343,Translations!$A:$A,0), MATCH('Project Information'!$C$4,Translations!$D$1:$ZZ$1,0))</f>
        <v/>
      </c>
      <c r="BC68" s="38">
        <f>INDEX(Translations!$D:$ZZ, MATCH(83,Translations!$A:$A,0), MATCH('Project Information'!$C$4,Translations!$D$1:$ZZ$1,0))</f>
        <v/>
      </c>
      <c r="BD68" s="38">
        <f>IF(OR(TRIM("")="Evet",TRIM("")="Yes"),1,0)</f>
        <v/>
      </c>
      <c r="BE68" s="38" t="n">
        <v>1</v>
      </c>
      <c r="BF68" s="38">
        <f>BD68*BE68</f>
        <v/>
      </c>
      <c r="BH68" s="38">
        <f>INDEX(Translations!$D:$ZZ, MATCH(306,Translations!$A:$A,0), MATCH('Project Information'!$C$4,Translations!$D$1:$ZZ$1,0))</f>
        <v/>
      </c>
      <c r="BI68" s="38">
        <f>INDEX(Translations!$D:$ZZ, MATCH(211,Translations!$A:$A,0), MATCH('Project Information'!$C$4,Translations!$D$1:$ZZ$1,0))</f>
        <v/>
      </c>
      <c r="BJ68" s="38">
        <f>INDEX(Translations!$D:$ZZ, MATCH(342,Translations!$A:$A,0), MATCH('Project Information'!$C$4,Translations!$D$1:$ZZ$1,0))</f>
        <v/>
      </c>
      <c r="BK68" s="38">
        <f>INDEX(Translations!$D:$ZZ, MATCH(76,Translations!$A:$A,0), MATCH('Project Information'!$C$4,Translations!$D$1:$ZZ$1,0))</f>
        <v/>
      </c>
      <c r="BL68" s="38">
        <f>IF(OR(TRIM(Development!$F$19)="Evet",TRIM(Development!$F$19)="Yes"),1,0)</f>
        <v/>
      </c>
      <c r="BM68" s="38" t="n">
        <v>1</v>
      </c>
      <c r="BN68" s="38">
        <f>BL68*BM68</f>
        <v/>
      </c>
    </row>
    <row r="69" ht="15" customHeight="1" s="39">
      <c r="A69" s="38">
        <f>INDEX(Translations!$D:$ZZ, MATCH(229,Translations!$A:$A,0), MATCH('Project Information'!$C$4,Translations!$D$1:$ZZ$1,0))</f>
        <v/>
      </c>
      <c r="B69" s="38">
        <f>IF($A69="","",SUMIFS($BN$2:$BN$700,$BI$2:$BI$700,$A69,$BJ$2:$BJ$700,B$49))</f>
        <v/>
      </c>
      <c r="C69" s="38">
        <f>IF($A69="","",SUMIFS($BN$2:$BN$700,$BI$2:$BI$700,$A69,$BJ$2:$BJ$700,C$49))</f>
        <v/>
      </c>
      <c r="D69" s="38">
        <f>IF($A69="","",SUMIFS($BN$2:$BN$700,$BI$2:$BI$700,$A69,$BJ$2:$BJ$700,D$49))</f>
        <v/>
      </c>
      <c r="E69" s="38">
        <f>IF($A69="","",SUMIFS($BN$2:$BN$700,$BI$2:$BI$700,$A69,$BJ$2:$BJ$700,E$49))</f>
        <v/>
      </c>
      <c r="F69" s="38">
        <f>IF($A69="","",SUMIFS($BN$2:$BN$700,$BI$2:$BI$700,$A69,$BJ$2:$BJ$700,F$49))</f>
        <v/>
      </c>
      <c r="G69" s="38">
        <f>IF($A69="","",SUMIFS($BN$2:$BN$700,$BI$2:$BI$700,$A69,$BJ$2:$BJ$700,G$49))</f>
        <v/>
      </c>
      <c r="H69" s="38">
        <f>IF($A69="","",SUMIFS($BN$2:$BN$700,$BI$2:$BI$700,$A69,$BJ$2:$BJ$700,H$49))</f>
        <v/>
      </c>
      <c r="I69" s="38">
        <f>IF($A69="","",SUMIFS($BN$2:$BN$700,$BI$2:$BI$700,$A69,$BJ$2:$BJ$700,I$49))</f>
        <v/>
      </c>
      <c r="J69" s="38">
        <f>IF($A69="","",SUMIFS($BN$2:$BN$700,$BI$2:$BI$700,$A69,$BJ$2:$BJ$700,J$49))</f>
        <v/>
      </c>
      <c r="K69" s="38">
        <f>IF($A69="","",SUMIFS($BN$2:$BN$700,$BI$2:$BI$700,$A69,$BJ$2:$BJ$700,K$49))</f>
        <v/>
      </c>
      <c r="L69" s="38">
        <f>IF($A69="","",SUMIFS($BN$2:$BN$700,$BI$2:$BI$700,$A69,$BJ$2:$BJ$700,L$49))</f>
        <v/>
      </c>
      <c r="M69" s="38">
        <f>IF($A69="","",SUMIFS($BN$2:$BN$700,$BI$2:$BI$700,$A69,$BJ$2:$BJ$700,M$49))</f>
        <v/>
      </c>
      <c r="N69" s="38">
        <f>IF($A69="","",SUMIFS($BN$2:$BN$700,$BI$2:$BI$700,$A69,$BJ$2:$BJ$700,N$49))</f>
        <v/>
      </c>
      <c r="O69" s="38">
        <f>IF($A69="","",SUMIFS($BN$2:$BN$700,$BI$2:$BI$700,$A69,$BJ$2:$BJ$700,O$49))</f>
        <v/>
      </c>
      <c r="P69" s="38">
        <f>IF($A69="","",SUMIFS($BN$2:$BN$700,$BI$2:$BI$700,$A69,$BJ$2:$BJ$700,P$49))</f>
        <v/>
      </c>
      <c r="Q69" s="38">
        <f>IF($A69="","",SUMIFS($BN$2:$BN$700,$BI$2:$BI$700,$A69,$BJ$2:$BJ$700,Q$49))</f>
        <v/>
      </c>
      <c r="R69" s="38">
        <f>IF($A69="","",SUMIFS($BN$2:$BN$700,$BI$2:$BI$700,$A69,$BJ$2:$BJ$700,R$49))</f>
        <v/>
      </c>
      <c r="S69" s="38">
        <f>IF($A69="","",SUMIFS($BN$2:$BN$700,$BI$2:$BI$700,$A69,$BJ$2:$BJ$700,S$49))</f>
        <v/>
      </c>
      <c r="T69" s="38">
        <f>IF($A69="","",SUMIFS($BN$2:$BN$700,$BI$2:$BI$700,$A69,$BJ$2:$BJ$700,T$49))</f>
        <v/>
      </c>
      <c r="U69" s="38">
        <f>IF($A69="","",SUMIFS($BN$2:$BN$700,$BI$2:$BI$700,$A69,$BJ$2:$BJ$700,U$49))</f>
        <v/>
      </c>
      <c r="V69" s="38">
        <f>IF($A69="","",SUMIFS($BN$2:$BN$700,$BI$2:$BI$700,$A69,$BJ$2:$BJ$700,V$49))</f>
        <v/>
      </c>
      <c r="W69" s="38">
        <f>IF($A69="","",SUMIFS($BN$2:$BN$700,$BI$2:$BI$700,$A69,$BJ$2:$BJ$700,W$49))</f>
        <v/>
      </c>
      <c r="X69" s="38">
        <f>IF($A69="","",SUMIFS($BN$2:$BN$700,$BI$2:$BI$700,$A69,$BJ$2:$BJ$700,X$49))</f>
        <v/>
      </c>
      <c r="Y69" s="38">
        <f>IF($A69="","",SUMIFS($BN$2:$BN$700,$BI$2:$BI$700,$A69,$BJ$2:$BJ$700,Y$49))</f>
        <v/>
      </c>
      <c r="Z69" s="38">
        <f>IF($A69="","",SUMIFS($BN$2:$BN$700,$BI$2:$BI$700,$A69,$BJ$2:$BJ$700,Z$49))</f>
        <v/>
      </c>
      <c r="AA69" s="38">
        <f>IF($A69="","",SUMIFS($BN$2:$BN$700,$BI$2:$BI$700,$A69,$BJ$2:$BJ$700,AA$49))</f>
        <v/>
      </c>
      <c r="AB69" s="38">
        <f>IF($A69="","",SUMIFS($BN$2:$BN$700,$BI$2:$BI$700,$A69,$BJ$2:$BJ$700,AB$49))</f>
        <v/>
      </c>
      <c r="AC69" s="38">
        <f>IF($A69="","",SUMIFS($BN$2:$BN$700,$BI$2:$BI$700,$A69,$BJ$2:$BJ$700,AC$49))</f>
        <v/>
      </c>
      <c r="AD69" s="38">
        <f>IF($A69="","",SUMIFS($BN$2:$BN$700,$BI$2:$BI$700,$A69,$BJ$2:$BJ$700,AD$49))</f>
        <v/>
      </c>
      <c r="AE69" s="38">
        <f>IF($A69="","",SUMIFS($BN$2:$BN$700,$BI$2:$BI$700,$A69,$BJ$2:$BJ$700,AE$49))</f>
        <v/>
      </c>
      <c r="AF69" s="38">
        <f>IF($A69="","",SUMIFS($BN$2:$BN$700,$BI$2:$BI$700,$A69,$BJ$2:$BJ$700,AF$49))</f>
        <v/>
      </c>
      <c r="AG69" s="38">
        <f>IF($A69="","",SUM(B69:AF69))</f>
        <v/>
      </c>
      <c r="AZ69" s="38">
        <f>INDEX(Translations!$D:$ZZ, MATCH(310,Translations!$A:$A,0), MATCH('Project Information'!$C$4,Translations!$D$1:$ZZ$1,0))</f>
        <v/>
      </c>
      <c r="BA69" s="38">
        <f>INDEX(Translations!$D:$ZZ, MATCH(221,Translations!$A:$A,0), MATCH('Project Information'!$C$4,Translations!$D$1:$ZZ$1,0))</f>
        <v/>
      </c>
      <c r="BB69" s="38">
        <f>INDEX(Translations!$D:$ZZ, MATCH(339,Translations!$A:$A,0), MATCH('Project Information'!$C$4,Translations!$D$1:$ZZ$1,0))</f>
        <v/>
      </c>
      <c r="BC69" s="38">
        <f>INDEX(Translations!$D:$ZZ, MATCH(75,Translations!$A:$A,0), MATCH('Project Information'!$C$4,Translations!$D$1:$ZZ$1,0))</f>
        <v/>
      </c>
      <c r="BD69" s="38">
        <f>IF(OR(TRIM("")="Evet",TRIM("")="Yes"),1,0)</f>
        <v/>
      </c>
      <c r="BE69" s="38" t="n">
        <v>1</v>
      </c>
      <c r="BF69" s="38">
        <f>BD69*BE69</f>
        <v/>
      </c>
      <c r="BH69" s="38">
        <f>INDEX(Translations!$D:$ZZ, MATCH(306,Translations!$A:$A,0), MATCH('Project Information'!$C$4,Translations!$D$1:$ZZ$1,0))</f>
        <v/>
      </c>
      <c r="BI69" s="38">
        <f>INDEX(Translations!$D:$ZZ, MATCH(211,Translations!$A:$A,0), MATCH('Project Information'!$C$4,Translations!$D$1:$ZZ$1,0))</f>
        <v/>
      </c>
      <c r="BJ69" s="38">
        <f>INDEX(Translations!$D:$ZZ, MATCH(342,Translations!$A:$A,0), MATCH('Project Information'!$C$4,Translations!$D$1:$ZZ$1,0))</f>
        <v/>
      </c>
      <c r="BK69" s="38">
        <f>INDEX(Translations!$D:$ZZ, MATCH(79,Translations!$A:$A,0), MATCH('Project Information'!$C$4,Translations!$D$1:$ZZ$1,0))</f>
        <v/>
      </c>
      <c r="BL69" s="38">
        <f>IF(OR(TRIM(Development!$F$19)="Evet",TRIM(Development!$F$19)="Yes"),1,0)</f>
        <v/>
      </c>
      <c r="BM69" s="38" t="n">
        <v>3</v>
      </c>
      <c r="BN69" s="38">
        <f>BL69*BM69</f>
        <v/>
      </c>
    </row>
    <row r="70" ht="15" customHeight="1" s="39">
      <c r="A70" s="38">
        <f>INDEX(Translations!$D:$ZZ, MATCH(275,Translations!$A:$A,0), MATCH('Project Information'!$C$4,Translations!$D$1:$ZZ$1,0))</f>
        <v/>
      </c>
      <c r="B70" s="38">
        <f>IF($A70="","",SUMIFS($BN$2:$BN$700,$BI$2:$BI$700,$A70,$BJ$2:$BJ$700,B$49))</f>
        <v/>
      </c>
      <c r="C70" s="38">
        <f>IF($A70="","",SUMIFS($BN$2:$BN$700,$BI$2:$BI$700,$A70,$BJ$2:$BJ$700,C$49))</f>
        <v/>
      </c>
      <c r="D70" s="38">
        <f>IF($A70="","",SUMIFS($BN$2:$BN$700,$BI$2:$BI$700,$A70,$BJ$2:$BJ$700,D$49))</f>
        <v/>
      </c>
      <c r="E70" s="38">
        <f>IF($A70="","",SUMIFS($BN$2:$BN$700,$BI$2:$BI$700,$A70,$BJ$2:$BJ$700,E$49))</f>
        <v/>
      </c>
      <c r="F70" s="38">
        <f>IF($A70="","",SUMIFS($BN$2:$BN$700,$BI$2:$BI$700,$A70,$BJ$2:$BJ$700,F$49))</f>
        <v/>
      </c>
      <c r="G70" s="38">
        <f>IF($A70="","",SUMIFS($BN$2:$BN$700,$BI$2:$BI$700,$A70,$BJ$2:$BJ$700,G$49))</f>
        <v/>
      </c>
      <c r="H70" s="38">
        <f>IF($A70="","",SUMIFS($BN$2:$BN$700,$BI$2:$BI$700,$A70,$BJ$2:$BJ$700,H$49))</f>
        <v/>
      </c>
      <c r="I70" s="38">
        <f>IF($A70="","",SUMIFS($BN$2:$BN$700,$BI$2:$BI$700,$A70,$BJ$2:$BJ$700,I$49))</f>
        <v/>
      </c>
      <c r="J70" s="38">
        <f>IF($A70="","",SUMIFS($BN$2:$BN$700,$BI$2:$BI$700,$A70,$BJ$2:$BJ$700,J$49))</f>
        <v/>
      </c>
      <c r="K70" s="38">
        <f>IF($A70="","",SUMIFS($BN$2:$BN$700,$BI$2:$BI$700,$A70,$BJ$2:$BJ$700,K$49))</f>
        <v/>
      </c>
      <c r="L70" s="38">
        <f>IF($A70="","",SUMIFS($BN$2:$BN$700,$BI$2:$BI$700,$A70,$BJ$2:$BJ$700,L$49))</f>
        <v/>
      </c>
      <c r="M70" s="38">
        <f>IF($A70="","",SUMIFS($BN$2:$BN$700,$BI$2:$BI$700,$A70,$BJ$2:$BJ$700,M$49))</f>
        <v/>
      </c>
      <c r="N70" s="38">
        <f>IF($A70="","",SUMIFS($BN$2:$BN$700,$BI$2:$BI$700,$A70,$BJ$2:$BJ$700,N$49))</f>
        <v/>
      </c>
      <c r="O70" s="38">
        <f>IF($A70="","",SUMIFS($BN$2:$BN$700,$BI$2:$BI$700,$A70,$BJ$2:$BJ$700,O$49))</f>
        <v/>
      </c>
      <c r="P70" s="38">
        <f>IF($A70="","",SUMIFS($BN$2:$BN$700,$BI$2:$BI$700,$A70,$BJ$2:$BJ$700,P$49))</f>
        <v/>
      </c>
      <c r="Q70" s="38">
        <f>IF($A70="","",SUMIFS($BN$2:$BN$700,$BI$2:$BI$700,$A70,$BJ$2:$BJ$700,Q$49))</f>
        <v/>
      </c>
      <c r="R70" s="38">
        <f>IF($A70="","",SUMIFS($BN$2:$BN$700,$BI$2:$BI$700,$A70,$BJ$2:$BJ$700,R$49))</f>
        <v/>
      </c>
      <c r="S70" s="38">
        <f>IF($A70="","",SUMIFS($BN$2:$BN$700,$BI$2:$BI$700,$A70,$BJ$2:$BJ$700,S$49))</f>
        <v/>
      </c>
      <c r="T70" s="38">
        <f>IF($A70="","",SUMIFS($BN$2:$BN$700,$BI$2:$BI$700,$A70,$BJ$2:$BJ$700,T$49))</f>
        <v/>
      </c>
      <c r="U70" s="38">
        <f>IF($A70="","",SUMIFS($BN$2:$BN$700,$BI$2:$BI$700,$A70,$BJ$2:$BJ$700,U$49))</f>
        <v/>
      </c>
      <c r="V70" s="38">
        <f>IF($A70="","",SUMIFS($BN$2:$BN$700,$BI$2:$BI$700,$A70,$BJ$2:$BJ$700,V$49))</f>
        <v/>
      </c>
      <c r="W70" s="38">
        <f>IF($A70="","",SUMIFS($BN$2:$BN$700,$BI$2:$BI$700,$A70,$BJ$2:$BJ$700,W$49))</f>
        <v/>
      </c>
      <c r="X70" s="38">
        <f>IF($A70="","",SUMIFS($BN$2:$BN$700,$BI$2:$BI$700,$A70,$BJ$2:$BJ$700,X$49))</f>
        <v/>
      </c>
      <c r="Y70" s="38">
        <f>IF($A70="","",SUMIFS($BN$2:$BN$700,$BI$2:$BI$700,$A70,$BJ$2:$BJ$700,Y$49))</f>
        <v/>
      </c>
      <c r="Z70" s="38">
        <f>IF($A70="","",SUMIFS($BN$2:$BN$700,$BI$2:$BI$700,$A70,$BJ$2:$BJ$700,Z$49))</f>
        <v/>
      </c>
      <c r="AA70" s="38">
        <f>IF($A70="","",SUMIFS($BN$2:$BN$700,$BI$2:$BI$700,$A70,$BJ$2:$BJ$700,AA$49))</f>
        <v/>
      </c>
      <c r="AB70" s="38">
        <f>IF($A70="","",SUMIFS($BN$2:$BN$700,$BI$2:$BI$700,$A70,$BJ$2:$BJ$700,AB$49))</f>
        <v/>
      </c>
      <c r="AC70" s="38">
        <f>IF($A70="","",SUMIFS($BN$2:$BN$700,$BI$2:$BI$700,$A70,$BJ$2:$BJ$700,AC$49))</f>
        <v/>
      </c>
      <c r="AD70" s="38">
        <f>IF($A70="","",SUMIFS($BN$2:$BN$700,$BI$2:$BI$700,$A70,$BJ$2:$BJ$700,AD$49))</f>
        <v/>
      </c>
      <c r="AE70" s="38">
        <f>IF($A70="","",SUMIFS($BN$2:$BN$700,$BI$2:$BI$700,$A70,$BJ$2:$BJ$700,AE$49))</f>
        <v/>
      </c>
      <c r="AF70" s="38">
        <f>IF($A70="","",SUMIFS($BN$2:$BN$700,$BI$2:$BI$700,$A70,$BJ$2:$BJ$700,AF$49))</f>
        <v/>
      </c>
      <c r="AG70" s="38">
        <f>IF($A70="","",SUM(B70:AF70))</f>
        <v/>
      </c>
      <c r="AZ70" s="38">
        <f>INDEX(Translations!$D:$ZZ, MATCH(310,Translations!$A:$A,0), MATCH('Project Information'!$C$4,Translations!$D$1:$ZZ$1,0))</f>
        <v/>
      </c>
      <c r="BA70" s="38">
        <f>INDEX(Translations!$D:$ZZ, MATCH(221,Translations!$A:$A,0), MATCH('Project Information'!$C$4,Translations!$D$1:$ZZ$1,0))</f>
        <v/>
      </c>
      <c r="BB70" s="38">
        <f>INDEX(Translations!$D:$ZZ, MATCH(339,Translations!$A:$A,0), MATCH('Project Information'!$C$4,Translations!$D$1:$ZZ$1,0))</f>
        <v/>
      </c>
      <c r="BC70" s="38">
        <f>INDEX(Translations!$D:$ZZ, MATCH(76,Translations!$A:$A,0), MATCH('Project Information'!$C$4,Translations!$D$1:$ZZ$1,0))</f>
        <v/>
      </c>
      <c r="BD70" s="38">
        <f>IF(OR(TRIM("")="Evet",TRIM("")="Yes"),1,0)</f>
        <v/>
      </c>
      <c r="BE70" s="38" t="n">
        <v>0.5</v>
      </c>
      <c r="BF70" s="38">
        <f>BD70*BE70</f>
        <v/>
      </c>
      <c r="BH70" s="38">
        <f>INDEX(Translations!$D:$ZZ, MATCH(306,Translations!$A:$A,0), MATCH('Project Information'!$C$4,Translations!$D$1:$ZZ$1,0))</f>
        <v/>
      </c>
      <c r="BI70" s="38">
        <f>INDEX(Translations!$D:$ZZ, MATCH(241,Translations!$A:$A,0), MATCH('Project Information'!$C$4,Translations!$D$1:$ZZ$1,0))</f>
        <v/>
      </c>
      <c r="BJ70" s="38">
        <f>INDEX(Translations!$D:$ZZ, MATCH(346,Translations!$A:$A,0), MATCH('Project Information'!$C$4,Translations!$D$1:$ZZ$1,0))</f>
        <v/>
      </c>
      <c r="BK70" s="38">
        <f>INDEX(Translations!$D:$ZZ, MATCH(78,Translations!$A:$A,0), MATCH('Project Information'!$C$4,Translations!$D$1:$ZZ$1,0))</f>
        <v/>
      </c>
      <c r="BL70" s="38">
        <f>IF(OR(TRIM(Development!$F$31)="Evet",TRIM(Development!$F$31)="Yes"),1,0)</f>
        <v/>
      </c>
      <c r="BM70" s="38" t="n">
        <v>10</v>
      </c>
      <c r="BN70" s="38">
        <f>BL70*BM70</f>
        <v/>
      </c>
    </row>
    <row r="71" ht="15" customHeight="1" s="39">
      <c r="A71" s="38">
        <f>INDEX(Translations!$D:$ZZ, MATCH(274,Translations!$A:$A,0), MATCH('Project Information'!$C$4,Translations!$D$1:$ZZ$1,0))</f>
        <v/>
      </c>
      <c r="B71" s="38">
        <f>IF($A71="","",SUMIFS($BN$2:$BN$700,$BI$2:$BI$700,$A71,$BJ$2:$BJ$700,B$49))</f>
        <v/>
      </c>
      <c r="C71" s="38">
        <f>IF($A71="","",SUMIFS($BN$2:$BN$700,$BI$2:$BI$700,$A71,$BJ$2:$BJ$700,C$49))</f>
        <v/>
      </c>
      <c r="D71" s="38">
        <f>IF($A71="","",SUMIFS($BN$2:$BN$700,$BI$2:$BI$700,$A71,$BJ$2:$BJ$700,D$49))</f>
        <v/>
      </c>
      <c r="E71" s="38">
        <f>IF($A71="","",SUMIFS($BN$2:$BN$700,$BI$2:$BI$700,$A71,$BJ$2:$BJ$700,E$49))</f>
        <v/>
      </c>
      <c r="F71" s="38">
        <f>IF($A71="","",SUMIFS($BN$2:$BN$700,$BI$2:$BI$700,$A71,$BJ$2:$BJ$700,F$49))</f>
        <v/>
      </c>
      <c r="G71" s="38">
        <f>IF($A71="","",SUMIFS($BN$2:$BN$700,$BI$2:$BI$700,$A71,$BJ$2:$BJ$700,G$49))</f>
        <v/>
      </c>
      <c r="H71" s="38">
        <f>IF($A71="","",SUMIFS($BN$2:$BN$700,$BI$2:$BI$700,$A71,$BJ$2:$BJ$700,H$49))</f>
        <v/>
      </c>
      <c r="I71" s="38">
        <f>IF($A71="","",SUMIFS($BN$2:$BN$700,$BI$2:$BI$700,$A71,$BJ$2:$BJ$700,I$49))</f>
        <v/>
      </c>
      <c r="J71" s="38">
        <f>IF($A71="","",SUMIFS($BN$2:$BN$700,$BI$2:$BI$700,$A71,$BJ$2:$BJ$700,J$49))</f>
        <v/>
      </c>
      <c r="K71" s="38">
        <f>IF($A71="","",SUMIFS($BN$2:$BN$700,$BI$2:$BI$700,$A71,$BJ$2:$BJ$700,K$49))</f>
        <v/>
      </c>
      <c r="L71" s="38">
        <f>IF($A71="","",SUMIFS($BN$2:$BN$700,$BI$2:$BI$700,$A71,$BJ$2:$BJ$700,L$49))</f>
        <v/>
      </c>
      <c r="M71" s="38">
        <f>IF($A71="","",SUMIFS($BN$2:$BN$700,$BI$2:$BI$700,$A71,$BJ$2:$BJ$700,M$49))</f>
        <v/>
      </c>
      <c r="N71" s="38">
        <f>IF($A71="","",SUMIFS($BN$2:$BN$700,$BI$2:$BI$700,$A71,$BJ$2:$BJ$700,N$49))</f>
        <v/>
      </c>
      <c r="O71" s="38">
        <f>IF($A71="","",SUMIFS($BN$2:$BN$700,$BI$2:$BI$700,$A71,$BJ$2:$BJ$700,O$49))</f>
        <v/>
      </c>
      <c r="P71" s="38">
        <f>IF($A71="","",SUMIFS($BN$2:$BN$700,$BI$2:$BI$700,$A71,$BJ$2:$BJ$700,P$49))</f>
        <v/>
      </c>
      <c r="Q71" s="38">
        <f>IF($A71="","",SUMIFS($BN$2:$BN$700,$BI$2:$BI$700,$A71,$BJ$2:$BJ$700,Q$49))</f>
        <v/>
      </c>
      <c r="R71" s="38">
        <f>IF($A71="","",SUMIFS($BN$2:$BN$700,$BI$2:$BI$700,$A71,$BJ$2:$BJ$700,R$49))</f>
        <v/>
      </c>
      <c r="S71" s="38">
        <f>IF($A71="","",SUMIFS($BN$2:$BN$700,$BI$2:$BI$700,$A71,$BJ$2:$BJ$700,S$49))</f>
        <v/>
      </c>
      <c r="T71" s="38">
        <f>IF($A71="","",SUMIFS($BN$2:$BN$700,$BI$2:$BI$700,$A71,$BJ$2:$BJ$700,T$49))</f>
        <v/>
      </c>
      <c r="U71" s="38">
        <f>IF($A71="","",SUMIFS($BN$2:$BN$700,$BI$2:$BI$700,$A71,$BJ$2:$BJ$700,U$49))</f>
        <v/>
      </c>
      <c r="V71" s="38">
        <f>IF($A71="","",SUMIFS($BN$2:$BN$700,$BI$2:$BI$700,$A71,$BJ$2:$BJ$700,V$49))</f>
        <v/>
      </c>
      <c r="W71" s="38">
        <f>IF($A71="","",SUMIFS($BN$2:$BN$700,$BI$2:$BI$700,$A71,$BJ$2:$BJ$700,W$49))</f>
        <v/>
      </c>
      <c r="X71" s="38">
        <f>IF($A71="","",SUMIFS($BN$2:$BN$700,$BI$2:$BI$700,$A71,$BJ$2:$BJ$700,X$49))</f>
        <v/>
      </c>
      <c r="Y71" s="38">
        <f>IF($A71="","",SUMIFS($BN$2:$BN$700,$BI$2:$BI$700,$A71,$BJ$2:$BJ$700,Y$49))</f>
        <v/>
      </c>
      <c r="Z71" s="38">
        <f>IF($A71="","",SUMIFS($BN$2:$BN$700,$BI$2:$BI$700,$A71,$BJ$2:$BJ$700,Z$49))</f>
        <v/>
      </c>
      <c r="AA71" s="38">
        <f>IF($A71="","",SUMIFS($BN$2:$BN$700,$BI$2:$BI$700,$A71,$BJ$2:$BJ$700,AA$49))</f>
        <v/>
      </c>
      <c r="AB71" s="38">
        <f>IF($A71="","",SUMIFS($BN$2:$BN$700,$BI$2:$BI$700,$A71,$BJ$2:$BJ$700,AB$49))</f>
        <v/>
      </c>
      <c r="AC71" s="38">
        <f>IF($A71="","",SUMIFS($BN$2:$BN$700,$BI$2:$BI$700,$A71,$BJ$2:$BJ$700,AC$49))</f>
        <v/>
      </c>
      <c r="AD71" s="38">
        <f>IF($A71="","",SUMIFS($BN$2:$BN$700,$BI$2:$BI$700,$A71,$BJ$2:$BJ$700,AD$49))</f>
        <v/>
      </c>
      <c r="AE71" s="38">
        <f>IF($A71="","",SUMIFS($BN$2:$BN$700,$BI$2:$BI$700,$A71,$BJ$2:$BJ$700,AE$49))</f>
        <v/>
      </c>
      <c r="AF71" s="38">
        <f>IF($A71="","",SUMIFS($BN$2:$BN$700,$BI$2:$BI$700,$A71,$BJ$2:$BJ$700,AF$49))</f>
        <v/>
      </c>
      <c r="AG71" s="38">
        <f>IF($A71="","",SUM(B71:AF71))</f>
        <v/>
      </c>
      <c r="AZ71" s="38">
        <f>INDEX(Translations!$D:$ZZ, MATCH(310,Translations!$A:$A,0), MATCH('Project Information'!$C$4,Translations!$D$1:$ZZ$1,0))</f>
        <v/>
      </c>
      <c r="BA71" s="38">
        <f>INDEX(Translations!$D:$ZZ, MATCH(221,Translations!$A:$A,0), MATCH('Project Information'!$C$4,Translations!$D$1:$ZZ$1,0))</f>
        <v/>
      </c>
      <c r="BB71" s="38">
        <f>INDEX(Translations!$D:$ZZ, MATCH(339,Translations!$A:$A,0), MATCH('Project Information'!$C$4,Translations!$D$1:$ZZ$1,0))</f>
        <v/>
      </c>
      <c r="BC71" s="38">
        <f>INDEX(Translations!$D:$ZZ, MATCH(78,Translations!$A:$A,0), MATCH('Project Information'!$C$4,Translations!$D$1:$ZZ$1,0))</f>
        <v/>
      </c>
      <c r="BD71" s="38">
        <f>IF(OR(TRIM("")="Evet",TRIM("")="Yes"),1,0)</f>
        <v/>
      </c>
      <c r="BE71" s="38" t="n">
        <v>0.5</v>
      </c>
      <c r="BF71" s="38">
        <f>BD71*BE71</f>
        <v/>
      </c>
      <c r="BH71" s="38">
        <f>INDEX(Translations!$D:$ZZ, MATCH(306,Translations!$A:$A,0), MATCH('Project Information'!$C$4,Translations!$D$1:$ZZ$1,0))</f>
        <v/>
      </c>
      <c r="BI71" s="38">
        <f>INDEX(Translations!$D:$ZZ, MATCH(241,Translations!$A:$A,0), MATCH('Project Information'!$C$4,Translations!$D$1:$ZZ$1,0))</f>
        <v/>
      </c>
      <c r="BJ71" s="38">
        <f>INDEX(Translations!$D:$ZZ, MATCH(338,Translations!$A:$A,0), MATCH('Project Information'!$C$4,Translations!$D$1:$ZZ$1,0))</f>
        <v/>
      </c>
      <c r="BK71" s="38">
        <f>INDEX(Translations!$D:$ZZ, MATCH(75,Translations!$A:$A,0), MATCH('Project Information'!$C$4,Translations!$D$1:$ZZ$1,0))</f>
        <v/>
      </c>
      <c r="BL71" s="38">
        <f>IF(OR(TRIM(Development!$F$31)="Evet",TRIM(Development!$F$31)="Yes"),1,0)</f>
        <v/>
      </c>
      <c r="BM71" s="38" t="n">
        <v>5</v>
      </c>
      <c r="BN71" s="38">
        <f>BL71*BM71</f>
        <v/>
      </c>
    </row>
    <row r="72" ht="15" customHeight="1" s="39">
      <c r="A72" s="38">
        <f>INDEX(Translations!$D:$ZZ, MATCH(173,Translations!$A:$A,0), MATCH('Project Information'!$C$4,Translations!$D$1:$ZZ$1,0))</f>
        <v/>
      </c>
      <c r="B72" s="38">
        <f>IF($A72="","",SUMIFS($BN$2:$BN$700,$BI$2:$BI$700,$A72,$BJ$2:$BJ$700,B$49))</f>
        <v/>
      </c>
      <c r="C72" s="38">
        <f>IF($A72="","",SUMIFS($BN$2:$BN$700,$BI$2:$BI$700,$A72,$BJ$2:$BJ$700,C$49))</f>
        <v/>
      </c>
      <c r="D72" s="38">
        <f>IF($A72="","",SUMIFS($BN$2:$BN$700,$BI$2:$BI$700,$A72,$BJ$2:$BJ$700,D$49))</f>
        <v/>
      </c>
      <c r="E72" s="38">
        <f>IF($A72="","",SUMIFS($BN$2:$BN$700,$BI$2:$BI$700,$A72,$BJ$2:$BJ$700,E$49))</f>
        <v/>
      </c>
      <c r="F72" s="38">
        <f>IF($A72="","",SUMIFS($BN$2:$BN$700,$BI$2:$BI$700,$A72,$BJ$2:$BJ$700,F$49))</f>
        <v/>
      </c>
      <c r="G72" s="38">
        <f>IF($A72="","",SUMIFS($BN$2:$BN$700,$BI$2:$BI$700,$A72,$BJ$2:$BJ$700,G$49))</f>
        <v/>
      </c>
      <c r="H72" s="38">
        <f>IF($A72="","",SUMIFS($BN$2:$BN$700,$BI$2:$BI$700,$A72,$BJ$2:$BJ$700,H$49))</f>
        <v/>
      </c>
      <c r="I72" s="38">
        <f>IF($A72="","",SUMIFS($BN$2:$BN$700,$BI$2:$BI$700,$A72,$BJ$2:$BJ$700,I$49))</f>
        <v/>
      </c>
      <c r="J72" s="38">
        <f>IF($A72="","",SUMIFS($BN$2:$BN$700,$BI$2:$BI$700,$A72,$BJ$2:$BJ$700,J$49))</f>
        <v/>
      </c>
      <c r="K72" s="38">
        <f>IF($A72="","",SUMIFS($BN$2:$BN$700,$BI$2:$BI$700,$A72,$BJ$2:$BJ$700,K$49))</f>
        <v/>
      </c>
      <c r="L72" s="38">
        <f>IF($A72="","",SUMIFS($BN$2:$BN$700,$BI$2:$BI$700,$A72,$BJ$2:$BJ$700,L$49))</f>
        <v/>
      </c>
      <c r="M72" s="38">
        <f>IF($A72="","",SUMIFS($BN$2:$BN$700,$BI$2:$BI$700,$A72,$BJ$2:$BJ$700,M$49))</f>
        <v/>
      </c>
      <c r="N72" s="38">
        <f>IF($A72="","",SUMIFS($BN$2:$BN$700,$BI$2:$BI$700,$A72,$BJ$2:$BJ$700,N$49))</f>
        <v/>
      </c>
      <c r="O72" s="38">
        <f>IF($A72="","",SUMIFS($BN$2:$BN$700,$BI$2:$BI$700,$A72,$BJ$2:$BJ$700,O$49))</f>
        <v/>
      </c>
      <c r="P72" s="38">
        <f>IF($A72="","",SUMIFS($BN$2:$BN$700,$BI$2:$BI$700,$A72,$BJ$2:$BJ$700,P$49))</f>
        <v/>
      </c>
      <c r="Q72" s="38">
        <f>IF($A72="","",SUMIFS($BN$2:$BN$700,$BI$2:$BI$700,$A72,$BJ$2:$BJ$700,Q$49))</f>
        <v/>
      </c>
      <c r="R72" s="38">
        <f>IF($A72="","",SUMIFS($BN$2:$BN$700,$BI$2:$BI$700,$A72,$BJ$2:$BJ$700,R$49))</f>
        <v/>
      </c>
      <c r="S72" s="38">
        <f>IF($A72="","",SUMIFS($BN$2:$BN$700,$BI$2:$BI$700,$A72,$BJ$2:$BJ$700,S$49))</f>
        <v/>
      </c>
      <c r="T72" s="38">
        <f>IF($A72="","",SUMIFS($BN$2:$BN$700,$BI$2:$BI$700,$A72,$BJ$2:$BJ$700,T$49))</f>
        <v/>
      </c>
      <c r="U72" s="38">
        <f>IF($A72="","",SUMIFS($BN$2:$BN$700,$BI$2:$BI$700,$A72,$BJ$2:$BJ$700,U$49))</f>
        <v/>
      </c>
      <c r="V72" s="38">
        <f>IF($A72="","",SUMIFS($BN$2:$BN$700,$BI$2:$BI$700,$A72,$BJ$2:$BJ$700,V$49))</f>
        <v/>
      </c>
      <c r="W72" s="38">
        <f>IF($A72="","",SUMIFS($BN$2:$BN$700,$BI$2:$BI$700,$A72,$BJ$2:$BJ$700,W$49))</f>
        <v/>
      </c>
      <c r="X72" s="38">
        <f>IF($A72="","",SUMIFS($BN$2:$BN$700,$BI$2:$BI$700,$A72,$BJ$2:$BJ$700,X$49))</f>
        <v/>
      </c>
      <c r="Y72" s="38">
        <f>IF($A72="","",SUMIFS($BN$2:$BN$700,$BI$2:$BI$700,$A72,$BJ$2:$BJ$700,Y$49))</f>
        <v/>
      </c>
      <c r="Z72" s="38">
        <f>IF($A72="","",SUMIFS($BN$2:$BN$700,$BI$2:$BI$700,$A72,$BJ$2:$BJ$700,Z$49))</f>
        <v/>
      </c>
      <c r="AA72" s="38">
        <f>IF($A72="","",SUMIFS($BN$2:$BN$700,$BI$2:$BI$700,$A72,$BJ$2:$BJ$700,AA$49))</f>
        <v/>
      </c>
      <c r="AB72" s="38">
        <f>IF($A72="","",SUMIFS($BN$2:$BN$700,$BI$2:$BI$700,$A72,$BJ$2:$BJ$700,AB$49))</f>
        <v/>
      </c>
      <c r="AC72" s="38">
        <f>IF($A72="","",SUMIFS($BN$2:$BN$700,$BI$2:$BI$700,$A72,$BJ$2:$BJ$700,AC$49))</f>
        <v/>
      </c>
      <c r="AD72" s="38">
        <f>IF($A72="","",SUMIFS($BN$2:$BN$700,$BI$2:$BI$700,$A72,$BJ$2:$BJ$700,AD$49))</f>
        <v/>
      </c>
      <c r="AE72" s="38">
        <f>IF($A72="","",SUMIFS($BN$2:$BN$700,$BI$2:$BI$700,$A72,$BJ$2:$BJ$700,AE$49))</f>
        <v/>
      </c>
      <c r="AF72" s="38">
        <f>IF($A72="","",SUMIFS($BN$2:$BN$700,$BI$2:$BI$700,$A72,$BJ$2:$BJ$700,AF$49))</f>
        <v/>
      </c>
      <c r="AG72" s="38">
        <f>IF($A72="","",SUM(B72:AF72))</f>
        <v/>
      </c>
      <c r="AZ72" s="38">
        <f>INDEX(Translations!$D:$ZZ, MATCH(310,Translations!$A:$A,0), MATCH('Project Information'!$C$4,Translations!$D$1:$ZZ$1,0))</f>
        <v/>
      </c>
      <c r="BA72" s="38">
        <f>INDEX(Translations!$D:$ZZ, MATCH(221,Translations!$A:$A,0), MATCH('Project Information'!$C$4,Translations!$D$1:$ZZ$1,0))</f>
        <v/>
      </c>
      <c r="BB72" s="38">
        <f>INDEX(Translations!$D:$ZZ, MATCH(339,Translations!$A:$A,0), MATCH('Project Information'!$C$4,Translations!$D$1:$ZZ$1,0))</f>
        <v/>
      </c>
      <c r="BC72" s="38">
        <f>INDEX(Translations!$D:$ZZ, MATCH(79,Translations!$A:$A,0), MATCH('Project Information'!$C$4,Translations!$D$1:$ZZ$1,0))</f>
        <v/>
      </c>
      <c r="BD72" s="38">
        <f>IF(OR(TRIM("")="Evet",TRIM("")="Yes"),1,0)</f>
        <v/>
      </c>
      <c r="BE72" s="38" t="n">
        <v>1</v>
      </c>
      <c r="BF72" s="38">
        <f>BD72*BE72</f>
        <v/>
      </c>
      <c r="BH72" s="38">
        <f>INDEX(Translations!$D:$ZZ, MATCH(306,Translations!$A:$A,0), MATCH('Project Information'!$C$4,Translations!$D$1:$ZZ$1,0))</f>
        <v/>
      </c>
      <c r="BI72" s="38">
        <f>INDEX(Translations!$D:$ZZ, MATCH(241,Translations!$A:$A,0), MATCH('Project Information'!$C$4,Translations!$D$1:$ZZ$1,0))</f>
        <v/>
      </c>
      <c r="BJ72" s="38">
        <f>INDEX(Translations!$D:$ZZ, MATCH(338,Translations!$A:$A,0), MATCH('Project Information'!$C$4,Translations!$D$1:$ZZ$1,0))</f>
        <v/>
      </c>
      <c r="BK72" s="38">
        <f>INDEX(Translations!$D:$ZZ, MATCH(76,Translations!$A:$A,0), MATCH('Project Information'!$C$4,Translations!$D$1:$ZZ$1,0))</f>
        <v/>
      </c>
      <c r="BL72" s="38">
        <f>IF(OR(TRIM(Development!$F$31)="Evet",TRIM(Development!$F$31)="Yes"),1,0)</f>
        <v/>
      </c>
      <c r="BM72" s="38" t="n">
        <v>1</v>
      </c>
      <c r="BN72" s="38">
        <f>BL72*BM72</f>
        <v/>
      </c>
    </row>
    <row r="73" ht="15" customHeight="1" s="39">
      <c r="A73" s="38">
        <f>INDEX(Translations!$D:$ZZ, MATCH(239,Translations!$A:$A,0), MATCH('Project Information'!$C$4,Translations!$D$1:$ZZ$1,0))</f>
        <v/>
      </c>
      <c r="B73" s="38">
        <f>IF($A73="","",SUMIFS($BN$2:$BN$700,$BI$2:$BI$700,$A73,$BJ$2:$BJ$700,B$49))</f>
        <v/>
      </c>
      <c r="C73" s="38">
        <f>IF($A73="","",SUMIFS($BN$2:$BN$700,$BI$2:$BI$700,$A73,$BJ$2:$BJ$700,C$49))</f>
        <v/>
      </c>
      <c r="D73" s="38">
        <f>IF($A73="","",SUMIFS($BN$2:$BN$700,$BI$2:$BI$700,$A73,$BJ$2:$BJ$700,D$49))</f>
        <v/>
      </c>
      <c r="E73" s="38">
        <f>IF($A73="","",SUMIFS($BN$2:$BN$700,$BI$2:$BI$700,$A73,$BJ$2:$BJ$700,E$49))</f>
        <v/>
      </c>
      <c r="F73" s="38">
        <f>IF($A73="","",SUMIFS($BN$2:$BN$700,$BI$2:$BI$700,$A73,$BJ$2:$BJ$700,F$49))</f>
        <v/>
      </c>
      <c r="G73" s="38">
        <f>IF($A73="","",SUMIFS($BN$2:$BN$700,$BI$2:$BI$700,$A73,$BJ$2:$BJ$700,G$49))</f>
        <v/>
      </c>
      <c r="H73" s="38">
        <f>IF($A73="","",SUMIFS($BN$2:$BN$700,$BI$2:$BI$700,$A73,$BJ$2:$BJ$700,H$49))</f>
        <v/>
      </c>
      <c r="I73" s="38">
        <f>IF($A73="","",SUMIFS($BN$2:$BN$700,$BI$2:$BI$700,$A73,$BJ$2:$BJ$700,I$49))</f>
        <v/>
      </c>
      <c r="J73" s="38">
        <f>IF($A73="","",SUMIFS($BN$2:$BN$700,$BI$2:$BI$700,$A73,$BJ$2:$BJ$700,J$49))</f>
        <v/>
      </c>
      <c r="K73" s="38">
        <f>IF($A73="","",SUMIFS($BN$2:$BN$700,$BI$2:$BI$700,$A73,$BJ$2:$BJ$700,K$49))</f>
        <v/>
      </c>
      <c r="L73" s="38">
        <f>IF($A73="","",SUMIFS($BN$2:$BN$700,$BI$2:$BI$700,$A73,$BJ$2:$BJ$700,L$49))</f>
        <v/>
      </c>
      <c r="M73" s="38">
        <f>IF($A73="","",SUMIFS($BN$2:$BN$700,$BI$2:$BI$700,$A73,$BJ$2:$BJ$700,M$49))</f>
        <v/>
      </c>
      <c r="N73" s="38">
        <f>IF($A73="","",SUMIFS($BN$2:$BN$700,$BI$2:$BI$700,$A73,$BJ$2:$BJ$700,N$49))</f>
        <v/>
      </c>
      <c r="O73" s="38">
        <f>IF($A73="","",SUMIFS($BN$2:$BN$700,$BI$2:$BI$700,$A73,$BJ$2:$BJ$700,O$49))</f>
        <v/>
      </c>
      <c r="P73" s="38">
        <f>IF($A73="","",SUMIFS($BN$2:$BN$700,$BI$2:$BI$700,$A73,$BJ$2:$BJ$700,P$49))</f>
        <v/>
      </c>
      <c r="Q73" s="38">
        <f>IF($A73="","",SUMIFS($BN$2:$BN$700,$BI$2:$BI$700,$A73,$BJ$2:$BJ$700,Q$49))</f>
        <v/>
      </c>
      <c r="R73" s="38">
        <f>IF($A73="","",SUMIFS($BN$2:$BN$700,$BI$2:$BI$700,$A73,$BJ$2:$BJ$700,R$49))</f>
        <v/>
      </c>
      <c r="S73" s="38">
        <f>IF($A73="","",SUMIFS($BN$2:$BN$700,$BI$2:$BI$700,$A73,$BJ$2:$BJ$700,S$49))</f>
        <v/>
      </c>
      <c r="T73" s="38">
        <f>IF($A73="","",SUMIFS($BN$2:$BN$700,$BI$2:$BI$700,$A73,$BJ$2:$BJ$700,T$49))</f>
        <v/>
      </c>
      <c r="U73" s="38">
        <f>IF($A73="","",SUMIFS($BN$2:$BN$700,$BI$2:$BI$700,$A73,$BJ$2:$BJ$700,U$49))</f>
        <v/>
      </c>
      <c r="V73" s="38">
        <f>IF($A73="","",SUMIFS($BN$2:$BN$700,$BI$2:$BI$700,$A73,$BJ$2:$BJ$700,V$49))</f>
        <v/>
      </c>
      <c r="W73" s="38">
        <f>IF($A73="","",SUMIFS($BN$2:$BN$700,$BI$2:$BI$700,$A73,$BJ$2:$BJ$700,W$49))</f>
        <v/>
      </c>
      <c r="X73" s="38">
        <f>IF($A73="","",SUMIFS($BN$2:$BN$700,$BI$2:$BI$700,$A73,$BJ$2:$BJ$700,X$49))</f>
        <v/>
      </c>
      <c r="Y73" s="38">
        <f>IF($A73="","",SUMIFS($BN$2:$BN$700,$BI$2:$BI$700,$A73,$BJ$2:$BJ$700,Y$49))</f>
        <v/>
      </c>
      <c r="Z73" s="38">
        <f>IF($A73="","",SUMIFS($BN$2:$BN$700,$BI$2:$BI$700,$A73,$BJ$2:$BJ$700,Z$49))</f>
        <v/>
      </c>
      <c r="AA73" s="38">
        <f>IF($A73="","",SUMIFS($BN$2:$BN$700,$BI$2:$BI$700,$A73,$BJ$2:$BJ$700,AA$49))</f>
        <v/>
      </c>
      <c r="AB73" s="38">
        <f>IF($A73="","",SUMIFS($BN$2:$BN$700,$BI$2:$BI$700,$A73,$BJ$2:$BJ$700,AB$49))</f>
        <v/>
      </c>
      <c r="AC73" s="38">
        <f>IF($A73="","",SUMIFS($BN$2:$BN$700,$BI$2:$BI$700,$A73,$BJ$2:$BJ$700,AC$49))</f>
        <v/>
      </c>
      <c r="AD73" s="38">
        <f>IF($A73="","",SUMIFS($BN$2:$BN$700,$BI$2:$BI$700,$A73,$BJ$2:$BJ$700,AD$49))</f>
        <v/>
      </c>
      <c r="AE73" s="38">
        <f>IF($A73="","",SUMIFS($BN$2:$BN$700,$BI$2:$BI$700,$A73,$BJ$2:$BJ$700,AE$49))</f>
        <v/>
      </c>
      <c r="AF73" s="38">
        <f>IF($A73="","",SUMIFS($BN$2:$BN$700,$BI$2:$BI$700,$A73,$BJ$2:$BJ$700,AF$49))</f>
        <v/>
      </c>
      <c r="AG73" s="38">
        <f>IF($A73="","",SUM(B73:AF73))</f>
        <v/>
      </c>
      <c r="AZ73" s="38">
        <f>INDEX(Translations!$D:$ZZ, MATCH(310,Translations!$A:$A,0), MATCH('Project Information'!$C$4,Translations!$D$1:$ZZ$1,0))</f>
        <v/>
      </c>
      <c r="BA73" s="38">
        <f>INDEX(Translations!$D:$ZZ, MATCH(221,Translations!$A:$A,0), MATCH('Project Information'!$C$4,Translations!$D$1:$ZZ$1,0))</f>
        <v/>
      </c>
      <c r="BB73" s="38">
        <f>INDEX(Translations!$D:$ZZ, MATCH(339,Translations!$A:$A,0), MATCH('Project Information'!$C$4,Translations!$D$1:$ZZ$1,0))</f>
        <v/>
      </c>
      <c r="BC73" s="38">
        <f>INDEX(Translations!$D:$ZZ, MATCH(82,Translations!$A:$A,0), MATCH('Project Information'!$C$4,Translations!$D$1:$ZZ$1,0))</f>
        <v/>
      </c>
      <c r="BD73" s="38">
        <f>IF(OR(TRIM("")="Evet",TRIM("")="Yes"),1,0)</f>
        <v/>
      </c>
      <c r="BE73" s="38" t="n">
        <v>1</v>
      </c>
      <c r="BF73" s="38">
        <f>BD73*BE73</f>
        <v/>
      </c>
      <c r="BH73" s="38">
        <f>INDEX(Translations!$D:$ZZ, MATCH(306,Translations!$A:$A,0), MATCH('Project Information'!$C$4,Translations!$D$1:$ZZ$1,0))</f>
        <v/>
      </c>
      <c r="BI73" s="38">
        <f>INDEX(Translations!$D:$ZZ, MATCH(241,Translations!$A:$A,0), MATCH('Project Information'!$C$4,Translations!$D$1:$ZZ$1,0))</f>
        <v/>
      </c>
      <c r="BJ73" s="38">
        <f>INDEX(Translations!$D:$ZZ, MATCH(338,Translations!$A:$A,0), MATCH('Project Information'!$C$4,Translations!$D$1:$ZZ$1,0))</f>
        <v/>
      </c>
      <c r="BK73" s="38">
        <f>INDEX(Translations!$D:$ZZ, MATCH(79,Translations!$A:$A,0), MATCH('Project Information'!$C$4,Translations!$D$1:$ZZ$1,0))</f>
        <v/>
      </c>
      <c r="BL73" s="38">
        <f>IF(OR(TRIM(Development!$F$31)="Evet",TRIM(Development!$F$31)="Yes"),1,0)</f>
        <v/>
      </c>
      <c r="BM73" s="38" t="n">
        <v>3</v>
      </c>
      <c r="BN73" s="38">
        <f>BL73*BM73</f>
        <v/>
      </c>
    </row>
    <row r="74" ht="15" customHeight="1" s="39">
      <c r="A74" s="38">
        <f>INDEX(Translations!$D:$ZZ, MATCH(240,Translations!$A:$A,0), MATCH('Project Information'!$C$4,Translations!$D$1:$ZZ$1,0))</f>
        <v/>
      </c>
      <c r="B74" s="38">
        <f>IF($A74="","",SUMIFS($BN$2:$BN$700,$BI$2:$BI$700,$A74,$BJ$2:$BJ$700,B$49))</f>
        <v/>
      </c>
      <c r="C74" s="38">
        <f>IF($A74="","",SUMIFS($BN$2:$BN$700,$BI$2:$BI$700,$A74,$BJ$2:$BJ$700,C$49))</f>
        <v/>
      </c>
      <c r="D74" s="38">
        <f>IF($A74="","",SUMIFS($BN$2:$BN$700,$BI$2:$BI$700,$A74,$BJ$2:$BJ$700,D$49))</f>
        <v/>
      </c>
      <c r="E74" s="38">
        <f>IF($A74="","",SUMIFS($BN$2:$BN$700,$BI$2:$BI$700,$A74,$BJ$2:$BJ$700,E$49))</f>
        <v/>
      </c>
      <c r="F74" s="38">
        <f>IF($A74="","",SUMIFS($BN$2:$BN$700,$BI$2:$BI$700,$A74,$BJ$2:$BJ$700,F$49))</f>
        <v/>
      </c>
      <c r="G74" s="38">
        <f>IF($A74="","",SUMIFS($BN$2:$BN$700,$BI$2:$BI$700,$A74,$BJ$2:$BJ$700,G$49))</f>
        <v/>
      </c>
      <c r="H74" s="38">
        <f>IF($A74="","",SUMIFS($BN$2:$BN$700,$BI$2:$BI$700,$A74,$BJ$2:$BJ$700,H$49))</f>
        <v/>
      </c>
      <c r="I74" s="38">
        <f>IF($A74="","",SUMIFS($BN$2:$BN$700,$BI$2:$BI$700,$A74,$BJ$2:$BJ$700,I$49))</f>
        <v/>
      </c>
      <c r="J74" s="38">
        <f>IF($A74="","",SUMIFS($BN$2:$BN$700,$BI$2:$BI$700,$A74,$BJ$2:$BJ$700,J$49))</f>
        <v/>
      </c>
      <c r="K74" s="38">
        <f>IF($A74="","",SUMIFS($BN$2:$BN$700,$BI$2:$BI$700,$A74,$BJ$2:$BJ$700,K$49))</f>
        <v/>
      </c>
      <c r="L74" s="38">
        <f>IF($A74="","",SUMIFS($BN$2:$BN$700,$BI$2:$BI$700,$A74,$BJ$2:$BJ$700,L$49))</f>
        <v/>
      </c>
      <c r="M74" s="38">
        <f>IF($A74="","",SUMIFS($BN$2:$BN$700,$BI$2:$BI$700,$A74,$BJ$2:$BJ$700,M$49))</f>
        <v/>
      </c>
      <c r="N74" s="38">
        <f>IF($A74="","",SUMIFS($BN$2:$BN$700,$BI$2:$BI$700,$A74,$BJ$2:$BJ$700,N$49))</f>
        <v/>
      </c>
      <c r="O74" s="38">
        <f>IF($A74="","",SUMIFS($BN$2:$BN$700,$BI$2:$BI$700,$A74,$BJ$2:$BJ$700,O$49))</f>
        <v/>
      </c>
      <c r="P74" s="38">
        <f>IF($A74="","",SUMIFS($BN$2:$BN$700,$BI$2:$BI$700,$A74,$BJ$2:$BJ$700,P$49))</f>
        <v/>
      </c>
      <c r="Q74" s="38">
        <f>IF($A74="","",SUMIFS($BN$2:$BN$700,$BI$2:$BI$700,$A74,$BJ$2:$BJ$700,Q$49))</f>
        <v/>
      </c>
      <c r="R74" s="38">
        <f>IF($A74="","",SUMIFS($BN$2:$BN$700,$BI$2:$BI$700,$A74,$BJ$2:$BJ$700,R$49))</f>
        <v/>
      </c>
      <c r="S74" s="38">
        <f>IF($A74="","",SUMIFS($BN$2:$BN$700,$BI$2:$BI$700,$A74,$BJ$2:$BJ$700,S$49))</f>
        <v/>
      </c>
      <c r="T74" s="38">
        <f>IF($A74="","",SUMIFS($BN$2:$BN$700,$BI$2:$BI$700,$A74,$BJ$2:$BJ$700,T$49))</f>
        <v/>
      </c>
      <c r="U74" s="38">
        <f>IF($A74="","",SUMIFS($BN$2:$BN$700,$BI$2:$BI$700,$A74,$BJ$2:$BJ$700,U$49))</f>
        <v/>
      </c>
      <c r="V74" s="38">
        <f>IF($A74="","",SUMIFS($BN$2:$BN$700,$BI$2:$BI$700,$A74,$BJ$2:$BJ$700,V$49))</f>
        <v/>
      </c>
      <c r="W74" s="38">
        <f>IF($A74="","",SUMIFS($BN$2:$BN$700,$BI$2:$BI$700,$A74,$BJ$2:$BJ$700,W$49))</f>
        <v/>
      </c>
      <c r="X74" s="38">
        <f>IF($A74="","",SUMIFS($BN$2:$BN$700,$BI$2:$BI$700,$A74,$BJ$2:$BJ$700,X$49))</f>
        <v/>
      </c>
      <c r="Y74" s="38">
        <f>IF($A74="","",SUMIFS($BN$2:$BN$700,$BI$2:$BI$700,$A74,$BJ$2:$BJ$700,Y$49))</f>
        <v/>
      </c>
      <c r="Z74" s="38">
        <f>IF($A74="","",SUMIFS($BN$2:$BN$700,$BI$2:$BI$700,$A74,$BJ$2:$BJ$700,Z$49))</f>
        <v/>
      </c>
      <c r="AA74" s="38">
        <f>IF($A74="","",SUMIFS($BN$2:$BN$700,$BI$2:$BI$700,$A74,$BJ$2:$BJ$700,AA$49))</f>
        <v/>
      </c>
      <c r="AB74" s="38">
        <f>IF($A74="","",SUMIFS($BN$2:$BN$700,$BI$2:$BI$700,$A74,$BJ$2:$BJ$700,AB$49))</f>
        <v/>
      </c>
      <c r="AC74" s="38">
        <f>IF($A74="","",SUMIFS($BN$2:$BN$700,$BI$2:$BI$700,$A74,$BJ$2:$BJ$700,AC$49))</f>
        <v/>
      </c>
      <c r="AD74" s="38">
        <f>IF($A74="","",SUMIFS($BN$2:$BN$700,$BI$2:$BI$700,$A74,$BJ$2:$BJ$700,AD$49))</f>
        <v/>
      </c>
      <c r="AE74" s="38">
        <f>IF($A74="","",SUMIFS($BN$2:$BN$700,$BI$2:$BI$700,$A74,$BJ$2:$BJ$700,AE$49))</f>
        <v/>
      </c>
      <c r="AF74" s="38">
        <f>IF($A74="","",SUMIFS($BN$2:$BN$700,$BI$2:$BI$700,$A74,$BJ$2:$BJ$700,AF$49))</f>
        <v/>
      </c>
      <c r="AG74" s="38">
        <f>IF($A74="","",SUM(B74:AF74))</f>
        <v/>
      </c>
      <c r="AZ74" s="38">
        <f>INDEX(Translations!$D:$ZZ, MATCH(310,Translations!$A:$A,0), MATCH('Project Information'!$C$4,Translations!$D$1:$ZZ$1,0))</f>
        <v/>
      </c>
      <c r="BA74" s="38">
        <f>INDEX(Translations!$D:$ZZ, MATCH(221,Translations!$A:$A,0), MATCH('Project Information'!$C$4,Translations!$D$1:$ZZ$1,0))</f>
        <v/>
      </c>
      <c r="BB74" s="38">
        <f>INDEX(Translations!$D:$ZZ, MATCH(339,Translations!$A:$A,0), MATCH('Project Information'!$C$4,Translations!$D$1:$ZZ$1,0))</f>
        <v/>
      </c>
      <c r="BC74" s="38">
        <f>INDEX(Translations!$D:$ZZ, MATCH(83,Translations!$A:$A,0), MATCH('Project Information'!$C$4,Translations!$D$1:$ZZ$1,0))</f>
        <v/>
      </c>
      <c r="BD74" s="38">
        <f>IF(OR(TRIM("")="Evet",TRIM("")="Yes"),1,0)</f>
        <v/>
      </c>
      <c r="BE74" s="38" t="n">
        <v>1</v>
      </c>
      <c r="BF74" s="38">
        <f>BD74*BE74</f>
        <v/>
      </c>
      <c r="BH74" s="38">
        <f>INDEX(Translations!$D:$ZZ, MATCH(306,Translations!$A:$A,0), MATCH('Project Information'!$C$4,Translations!$D$1:$ZZ$1,0))</f>
        <v/>
      </c>
      <c r="BI74" s="38">
        <f>INDEX(Translations!$D:$ZZ, MATCH(241,Translations!$A:$A,0), MATCH('Project Information'!$C$4,Translations!$D$1:$ZZ$1,0))</f>
        <v/>
      </c>
      <c r="BJ74" s="38">
        <f>INDEX(Translations!$D:$ZZ, MATCH(338,Translations!$A:$A,0), MATCH('Project Information'!$C$4,Translations!$D$1:$ZZ$1,0))</f>
        <v/>
      </c>
      <c r="BK74" s="38">
        <f>INDEX(Translations!$D:$ZZ, MATCH(82,Translations!$A:$A,0), MATCH('Project Information'!$C$4,Translations!$D$1:$ZZ$1,0))</f>
        <v/>
      </c>
      <c r="BL74" s="38">
        <f>IF(OR(TRIM(Development!$F$31)="Evet",TRIM(Development!$F$31)="Yes"),1,0)</f>
        <v/>
      </c>
      <c r="BM74" s="38" t="n">
        <v>1</v>
      </c>
      <c r="BN74" s="38">
        <f>BL74*BM74</f>
        <v/>
      </c>
    </row>
    <row r="75" ht="15" customHeight="1" s="39">
      <c r="A75" s="38">
        <f>INDEX(Translations!$D:$ZZ, MATCH(248,Translations!$A:$A,0), MATCH('Project Information'!$C$4,Translations!$D$1:$ZZ$1,0))</f>
        <v/>
      </c>
      <c r="B75" s="38">
        <f>IF($A75="","",SUMIFS($BN$2:$BN$700,$BI$2:$BI$700,$A75,$BJ$2:$BJ$700,B$49))</f>
        <v/>
      </c>
      <c r="C75" s="38">
        <f>IF($A75="","",SUMIFS($BN$2:$BN$700,$BI$2:$BI$700,$A75,$BJ$2:$BJ$700,C$49))</f>
        <v/>
      </c>
      <c r="D75" s="38">
        <f>IF($A75="","",SUMIFS($BN$2:$BN$700,$BI$2:$BI$700,$A75,$BJ$2:$BJ$700,D$49))</f>
        <v/>
      </c>
      <c r="E75" s="38">
        <f>IF($A75="","",SUMIFS($BN$2:$BN$700,$BI$2:$BI$700,$A75,$BJ$2:$BJ$700,E$49))</f>
        <v/>
      </c>
      <c r="F75" s="38">
        <f>IF($A75="","",SUMIFS($BN$2:$BN$700,$BI$2:$BI$700,$A75,$BJ$2:$BJ$700,F$49))</f>
        <v/>
      </c>
      <c r="G75" s="38">
        <f>IF($A75="","",SUMIFS($BN$2:$BN$700,$BI$2:$BI$700,$A75,$BJ$2:$BJ$700,G$49))</f>
        <v/>
      </c>
      <c r="H75" s="38">
        <f>IF($A75="","",SUMIFS($BN$2:$BN$700,$BI$2:$BI$700,$A75,$BJ$2:$BJ$700,H$49))</f>
        <v/>
      </c>
      <c r="I75" s="38">
        <f>IF($A75="","",SUMIFS($BN$2:$BN$700,$BI$2:$BI$700,$A75,$BJ$2:$BJ$700,I$49))</f>
        <v/>
      </c>
      <c r="J75" s="38">
        <f>IF($A75="","",SUMIFS($BN$2:$BN$700,$BI$2:$BI$700,$A75,$BJ$2:$BJ$700,J$49))</f>
        <v/>
      </c>
      <c r="K75" s="38">
        <f>IF($A75="","",SUMIFS($BN$2:$BN$700,$BI$2:$BI$700,$A75,$BJ$2:$BJ$700,K$49))</f>
        <v/>
      </c>
      <c r="L75" s="38">
        <f>IF($A75="","",SUMIFS($BN$2:$BN$700,$BI$2:$BI$700,$A75,$BJ$2:$BJ$700,L$49))</f>
        <v/>
      </c>
      <c r="M75" s="38">
        <f>IF($A75="","",SUMIFS($BN$2:$BN$700,$BI$2:$BI$700,$A75,$BJ$2:$BJ$700,M$49))</f>
        <v/>
      </c>
      <c r="N75" s="38">
        <f>IF($A75="","",SUMIFS($BN$2:$BN$700,$BI$2:$BI$700,$A75,$BJ$2:$BJ$700,N$49))</f>
        <v/>
      </c>
      <c r="O75" s="38">
        <f>IF($A75="","",SUMIFS($BN$2:$BN$700,$BI$2:$BI$700,$A75,$BJ$2:$BJ$700,O$49))</f>
        <v/>
      </c>
      <c r="P75" s="38">
        <f>IF($A75="","",SUMIFS($BN$2:$BN$700,$BI$2:$BI$700,$A75,$BJ$2:$BJ$700,P$49))</f>
        <v/>
      </c>
      <c r="Q75" s="38">
        <f>IF($A75="","",SUMIFS($BN$2:$BN$700,$BI$2:$BI$700,$A75,$BJ$2:$BJ$700,Q$49))</f>
        <v/>
      </c>
      <c r="R75" s="38">
        <f>IF($A75="","",SUMIFS($BN$2:$BN$700,$BI$2:$BI$700,$A75,$BJ$2:$BJ$700,R$49))</f>
        <v/>
      </c>
      <c r="S75" s="38">
        <f>IF($A75="","",SUMIFS($BN$2:$BN$700,$BI$2:$BI$700,$A75,$BJ$2:$BJ$700,S$49))</f>
        <v/>
      </c>
      <c r="T75" s="38">
        <f>IF($A75="","",SUMIFS($BN$2:$BN$700,$BI$2:$BI$700,$A75,$BJ$2:$BJ$700,T$49))</f>
        <v/>
      </c>
      <c r="U75" s="38">
        <f>IF($A75="","",SUMIFS($BN$2:$BN$700,$BI$2:$BI$700,$A75,$BJ$2:$BJ$700,U$49))</f>
        <v/>
      </c>
      <c r="V75" s="38">
        <f>IF($A75="","",SUMIFS($BN$2:$BN$700,$BI$2:$BI$700,$A75,$BJ$2:$BJ$700,V$49))</f>
        <v/>
      </c>
      <c r="W75" s="38">
        <f>IF($A75="","",SUMIFS($BN$2:$BN$700,$BI$2:$BI$700,$A75,$BJ$2:$BJ$700,W$49))</f>
        <v/>
      </c>
      <c r="X75" s="38">
        <f>IF($A75="","",SUMIFS($BN$2:$BN$700,$BI$2:$BI$700,$A75,$BJ$2:$BJ$700,X$49))</f>
        <v/>
      </c>
      <c r="Y75" s="38">
        <f>IF($A75="","",SUMIFS($BN$2:$BN$700,$BI$2:$BI$700,$A75,$BJ$2:$BJ$700,Y$49))</f>
        <v/>
      </c>
      <c r="Z75" s="38">
        <f>IF($A75="","",SUMIFS($BN$2:$BN$700,$BI$2:$BI$700,$A75,$BJ$2:$BJ$700,Z$49))</f>
        <v/>
      </c>
      <c r="AA75" s="38">
        <f>IF($A75="","",SUMIFS($BN$2:$BN$700,$BI$2:$BI$700,$A75,$BJ$2:$BJ$700,AA$49))</f>
        <v/>
      </c>
      <c r="AB75" s="38">
        <f>IF($A75="","",SUMIFS($BN$2:$BN$700,$BI$2:$BI$700,$A75,$BJ$2:$BJ$700,AB$49))</f>
        <v/>
      </c>
      <c r="AC75" s="38">
        <f>IF($A75="","",SUMIFS($BN$2:$BN$700,$BI$2:$BI$700,$A75,$BJ$2:$BJ$700,AC$49))</f>
        <v/>
      </c>
      <c r="AD75" s="38">
        <f>IF($A75="","",SUMIFS($BN$2:$BN$700,$BI$2:$BI$700,$A75,$BJ$2:$BJ$700,AD$49))</f>
        <v/>
      </c>
      <c r="AE75" s="38">
        <f>IF($A75="","",SUMIFS($BN$2:$BN$700,$BI$2:$BI$700,$A75,$BJ$2:$BJ$700,AE$49))</f>
        <v/>
      </c>
      <c r="AF75" s="38">
        <f>IF($A75="","",SUMIFS($BN$2:$BN$700,$BI$2:$BI$700,$A75,$BJ$2:$BJ$700,AF$49))</f>
        <v/>
      </c>
      <c r="AG75" s="38">
        <f>IF($A75="","",SUM(B75:AF75))</f>
        <v/>
      </c>
      <c r="AZ75" s="38">
        <f>INDEX(Translations!$D:$ZZ, MATCH(310,Translations!$A:$A,0), MATCH('Project Information'!$C$4,Translations!$D$1:$ZZ$1,0))</f>
        <v/>
      </c>
      <c r="BA75" s="38">
        <f>INDEX(Translations!$D:$ZZ, MATCH(263,Translations!$A:$A,0), MATCH('Project Information'!$C$4,Translations!$D$1:$ZZ$1,0))</f>
        <v/>
      </c>
      <c r="BB75" s="38">
        <f>INDEX(Translations!$D:$ZZ, MATCH(343,Translations!$A:$A,0), MATCH('Project Information'!$C$4,Translations!$D$1:$ZZ$1,0))</f>
        <v/>
      </c>
      <c r="BC75" s="38">
        <f>INDEX(Translations!$D:$ZZ, MATCH(75,Translations!$A:$A,0), MATCH('Project Information'!$C$4,Translations!$D$1:$ZZ$1,0))</f>
        <v/>
      </c>
      <c r="BD75" s="38">
        <f>IF(OR(TRIM("")="Evet",TRIM("")="Yes"),1,0)</f>
        <v/>
      </c>
      <c r="BE75" s="38" t="n">
        <v>3</v>
      </c>
      <c r="BF75" s="38">
        <f>BD75*BE75</f>
        <v/>
      </c>
      <c r="BH75" s="38">
        <f>INDEX(Translations!$D:$ZZ, MATCH(306,Translations!$A:$A,0), MATCH('Project Information'!$C$4,Translations!$D$1:$ZZ$1,0))</f>
        <v/>
      </c>
      <c r="BI75" s="38">
        <f>INDEX(Translations!$D:$ZZ, MATCH(241,Translations!$A:$A,0), MATCH('Project Information'!$C$4,Translations!$D$1:$ZZ$1,0))</f>
        <v/>
      </c>
      <c r="BJ75" s="38">
        <f>INDEX(Translations!$D:$ZZ, MATCH(338,Translations!$A:$A,0), MATCH('Project Information'!$C$4,Translations!$D$1:$ZZ$1,0))</f>
        <v/>
      </c>
      <c r="BK75" s="38">
        <f>INDEX(Translations!$D:$ZZ, MATCH(83,Translations!$A:$A,0), MATCH('Project Information'!$C$4,Translations!$D$1:$ZZ$1,0))</f>
        <v/>
      </c>
      <c r="BL75" s="38">
        <f>IF(OR(TRIM(Development!$F$31)="Evet",TRIM(Development!$F$31)="Yes"),1,0)</f>
        <v/>
      </c>
      <c r="BM75" s="38" t="n">
        <v>2</v>
      </c>
      <c r="BN75" s="38">
        <f>BL75*BM75</f>
        <v/>
      </c>
    </row>
    <row r="76" ht="15" customHeight="1" s="39">
      <c r="A76" s="38">
        <f>INDEX(Translations!$D:$ZZ, MATCH(311,Translations!$A:$A,0), MATCH('Project Information'!$C$4,Translations!$D$1:$ZZ$1,0))</f>
        <v/>
      </c>
      <c r="B76" s="38">
        <f>IF($A76="","",SUMIFS($BN$2:$BN$700,$BI$2:$BI$700,$A76,$BJ$2:$BJ$700,B$49))</f>
        <v/>
      </c>
      <c r="C76" s="38">
        <f>IF($A76="","",SUMIFS($BN$2:$BN$700,$BI$2:$BI$700,$A76,$BJ$2:$BJ$700,C$49))</f>
        <v/>
      </c>
      <c r="D76" s="38">
        <f>IF($A76="","",SUMIFS($BN$2:$BN$700,$BI$2:$BI$700,$A76,$BJ$2:$BJ$700,D$49))</f>
        <v/>
      </c>
      <c r="E76" s="38">
        <f>IF($A76="","",SUMIFS($BN$2:$BN$700,$BI$2:$BI$700,$A76,$BJ$2:$BJ$700,E$49))</f>
        <v/>
      </c>
      <c r="F76" s="38">
        <f>IF($A76="","",SUMIFS($BN$2:$BN$700,$BI$2:$BI$700,$A76,$BJ$2:$BJ$700,F$49))</f>
        <v/>
      </c>
      <c r="G76" s="38">
        <f>IF($A76="","",SUMIFS($BN$2:$BN$700,$BI$2:$BI$700,$A76,$BJ$2:$BJ$700,G$49))</f>
        <v/>
      </c>
      <c r="H76" s="38">
        <f>IF($A76="","",SUMIFS($BN$2:$BN$700,$BI$2:$BI$700,$A76,$BJ$2:$BJ$700,H$49))</f>
        <v/>
      </c>
      <c r="I76" s="38">
        <f>IF($A76="","",SUMIFS($BN$2:$BN$700,$BI$2:$BI$700,$A76,$BJ$2:$BJ$700,I$49))</f>
        <v/>
      </c>
      <c r="J76" s="38">
        <f>IF($A76="","",SUMIFS($BN$2:$BN$700,$BI$2:$BI$700,$A76,$BJ$2:$BJ$700,J$49))</f>
        <v/>
      </c>
      <c r="K76" s="38">
        <f>IF($A76="","",SUMIFS($BN$2:$BN$700,$BI$2:$BI$700,$A76,$BJ$2:$BJ$700,K$49))</f>
        <v/>
      </c>
      <c r="L76" s="38">
        <f>IF($A76="","",SUMIFS($BN$2:$BN$700,$BI$2:$BI$700,$A76,$BJ$2:$BJ$700,L$49))</f>
        <v/>
      </c>
      <c r="M76" s="38">
        <f>IF($A76="","",SUMIFS($BN$2:$BN$700,$BI$2:$BI$700,$A76,$BJ$2:$BJ$700,M$49))</f>
        <v/>
      </c>
      <c r="N76" s="38">
        <f>IF($A76="","",SUMIFS($BN$2:$BN$700,$BI$2:$BI$700,$A76,$BJ$2:$BJ$700,N$49))</f>
        <v/>
      </c>
      <c r="O76" s="38">
        <f>IF($A76="","",SUMIFS($BN$2:$BN$700,$BI$2:$BI$700,$A76,$BJ$2:$BJ$700,O$49))</f>
        <v/>
      </c>
      <c r="P76" s="38">
        <f>IF($A76="","",SUMIFS($BN$2:$BN$700,$BI$2:$BI$700,$A76,$BJ$2:$BJ$700,P$49))</f>
        <v/>
      </c>
      <c r="Q76" s="38">
        <f>IF($A76="","",SUMIFS($BN$2:$BN$700,$BI$2:$BI$700,$A76,$BJ$2:$BJ$700,Q$49))</f>
        <v/>
      </c>
      <c r="R76" s="38">
        <f>IF($A76="","",SUMIFS($BN$2:$BN$700,$BI$2:$BI$700,$A76,$BJ$2:$BJ$700,R$49))</f>
        <v/>
      </c>
      <c r="S76" s="38">
        <f>IF($A76="","",SUMIFS($BN$2:$BN$700,$BI$2:$BI$700,$A76,$BJ$2:$BJ$700,S$49))</f>
        <v/>
      </c>
      <c r="T76" s="38">
        <f>IF($A76="","",SUMIFS($BN$2:$BN$700,$BI$2:$BI$700,$A76,$BJ$2:$BJ$700,T$49))</f>
        <v/>
      </c>
      <c r="U76" s="38">
        <f>IF($A76="","",SUMIFS($BN$2:$BN$700,$BI$2:$BI$700,$A76,$BJ$2:$BJ$700,U$49))</f>
        <v/>
      </c>
      <c r="V76" s="38">
        <f>IF($A76="","",SUMIFS($BN$2:$BN$700,$BI$2:$BI$700,$A76,$BJ$2:$BJ$700,V$49))</f>
        <v/>
      </c>
      <c r="W76" s="38">
        <f>IF($A76="","",SUMIFS($BN$2:$BN$700,$BI$2:$BI$700,$A76,$BJ$2:$BJ$700,W$49))</f>
        <v/>
      </c>
      <c r="X76" s="38">
        <f>IF($A76="","",SUMIFS($BN$2:$BN$700,$BI$2:$BI$700,$A76,$BJ$2:$BJ$700,X$49))</f>
        <v/>
      </c>
      <c r="Y76" s="38">
        <f>IF($A76="","",SUMIFS($BN$2:$BN$700,$BI$2:$BI$700,$A76,$BJ$2:$BJ$700,Y$49))</f>
        <v/>
      </c>
      <c r="Z76" s="38">
        <f>IF($A76="","",SUMIFS($BN$2:$BN$700,$BI$2:$BI$700,$A76,$BJ$2:$BJ$700,Z$49))</f>
        <v/>
      </c>
      <c r="AA76" s="38">
        <f>IF($A76="","",SUMIFS($BN$2:$BN$700,$BI$2:$BI$700,$A76,$BJ$2:$BJ$700,AA$49))</f>
        <v/>
      </c>
      <c r="AB76" s="38">
        <f>IF($A76="","",SUMIFS($BN$2:$BN$700,$BI$2:$BI$700,$A76,$BJ$2:$BJ$700,AB$49))</f>
        <v/>
      </c>
      <c r="AC76" s="38">
        <f>IF($A76="","",SUMIFS($BN$2:$BN$700,$BI$2:$BI$700,$A76,$BJ$2:$BJ$700,AC$49))</f>
        <v/>
      </c>
      <c r="AD76" s="38">
        <f>IF($A76="","",SUMIFS($BN$2:$BN$700,$BI$2:$BI$700,$A76,$BJ$2:$BJ$700,AD$49))</f>
        <v/>
      </c>
      <c r="AE76" s="38">
        <f>IF($A76="","",SUMIFS($BN$2:$BN$700,$BI$2:$BI$700,$A76,$BJ$2:$BJ$700,AE$49))</f>
        <v/>
      </c>
      <c r="AF76" s="38">
        <f>IF($A76="","",SUMIFS($BN$2:$BN$700,$BI$2:$BI$700,$A76,$BJ$2:$BJ$700,AF$49))</f>
        <v/>
      </c>
      <c r="AG76" s="38">
        <f>IF($A76="","",SUM(B76:AF76))</f>
        <v/>
      </c>
      <c r="AZ76" s="38">
        <f>INDEX(Translations!$D:$ZZ, MATCH(310,Translations!$A:$A,0), MATCH('Project Information'!$C$4,Translations!$D$1:$ZZ$1,0))</f>
        <v/>
      </c>
      <c r="BA76" s="38">
        <f>INDEX(Translations!$D:$ZZ, MATCH(263,Translations!$A:$A,0), MATCH('Project Information'!$C$4,Translations!$D$1:$ZZ$1,0))</f>
        <v/>
      </c>
      <c r="BB76" s="38">
        <f>INDEX(Translations!$D:$ZZ, MATCH(343,Translations!$A:$A,0), MATCH('Project Information'!$C$4,Translations!$D$1:$ZZ$1,0))</f>
        <v/>
      </c>
      <c r="BC76" s="38">
        <f>INDEX(Translations!$D:$ZZ, MATCH(76,Translations!$A:$A,0), MATCH('Project Information'!$C$4,Translations!$D$1:$ZZ$1,0))</f>
        <v/>
      </c>
      <c r="BD76" s="38">
        <f>IF(OR(TRIM("")="Evet",TRIM("")="Yes"),1,0)</f>
        <v/>
      </c>
      <c r="BE76" s="38" t="n">
        <v>1</v>
      </c>
      <c r="BF76" s="38">
        <f>BD76*BE76</f>
        <v/>
      </c>
      <c r="BH76" s="38">
        <f>INDEX(Translations!$D:$ZZ, MATCH(306,Translations!$A:$A,0), MATCH('Project Information'!$C$4,Translations!$D$1:$ZZ$1,0))</f>
        <v/>
      </c>
      <c r="BI76" s="38">
        <f>INDEX(Translations!$D:$ZZ, MATCH(233,Translations!$A:$A,0), MATCH('Project Information'!$C$4,Translations!$D$1:$ZZ$1,0))</f>
        <v/>
      </c>
      <c r="BJ76" s="38">
        <f>INDEX(Translations!$D:$ZZ, MATCH(346,Translations!$A:$A,0), MATCH('Project Information'!$C$4,Translations!$D$1:$ZZ$1,0))</f>
        <v/>
      </c>
      <c r="BK76" s="38">
        <f>INDEX(Translations!$D:$ZZ, MATCH(78,Translations!$A:$A,0), MATCH('Project Information'!$C$4,Translations!$D$1:$ZZ$1,0))</f>
        <v/>
      </c>
      <c r="BL76" s="38">
        <f>IF(OR(TRIM(Development!$F$26)="Evet",TRIM(Development!$F$26)="Yes"),1,0)</f>
        <v/>
      </c>
      <c r="BM76" s="38" t="n">
        <v>4</v>
      </c>
      <c r="BN76" s="38">
        <f>BL76*BM76</f>
        <v/>
      </c>
    </row>
    <row r="77" ht="15" customHeight="1" s="39">
      <c r="B77" s="38">
        <f>IF($A77="","",SUMIFS($BN$2:$BN$700,$BI$2:$BI$700,$A77,$BJ$2:$BJ$700,B$49))</f>
        <v/>
      </c>
      <c r="C77" s="38">
        <f>IF($A77="","",SUMIFS($BN$2:$BN$700,$BI$2:$BI$700,$A77,$BJ$2:$BJ$700,C$49))</f>
        <v/>
      </c>
      <c r="D77" s="38">
        <f>IF($A77="","",SUMIFS($BN$2:$BN$700,$BI$2:$BI$700,$A77,$BJ$2:$BJ$700,D$49))</f>
        <v/>
      </c>
      <c r="E77" s="38">
        <f>IF($A77="","",SUMIFS($BN$2:$BN$700,$BI$2:$BI$700,$A77,$BJ$2:$BJ$700,E$49))</f>
        <v/>
      </c>
      <c r="F77" s="38">
        <f>IF($A77="","",SUMIFS($BN$2:$BN$700,$BI$2:$BI$700,$A77,$BJ$2:$BJ$700,F$49))</f>
        <v/>
      </c>
      <c r="G77" s="38">
        <f>IF($A77="","",SUMIFS($BN$2:$BN$700,$BI$2:$BI$700,$A77,$BJ$2:$BJ$700,G$49))</f>
        <v/>
      </c>
      <c r="H77" s="38">
        <f>IF($A77="","",SUMIFS($BN$2:$BN$700,$BI$2:$BI$700,$A77,$BJ$2:$BJ$700,H$49))</f>
        <v/>
      </c>
      <c r="I77" s="38">
        <f>IF($A77="","",SUMIFS($BN$2:$BN$700,$BI$2:$BI$700,$A77,$BJ$2:$BJ$700,I$49))</f>
        <v/>
      </c>
      <c r="J77" s="38">
        <f>IF($A77="","",SUMIFS($BN$2:$BN$700,$BI$2:$BI$700,$A77,$BJ$2:$BJ$700,J$49))</f>
        <v/>
      </c>
      <c r="K77" s="38">
        <f>IF($A77="","",SUMIFS($BN$2:$BN$700,$BI$2:$BI$700,$A77,$BJ$2:$BJ$700,K$49))</f>
        <v/>
      </c>
      <c r="L77" s="38">
        <f>IF($A77="","",SUMIFS($BN$2:$BN$700,$BI$2:$BI$700,$A77,$BJ$2:$BJ$700,L$49))</f>
        <v/>
      </c>
      <c r="M77" s="38">
        <f>IF($A77="","",SUMIFS($BN$2:$BN$700,$BI$2:$BI$700,$A77,$BJ$2:$BJ$700,M$49))</f>
        <v/>
      </c>
      <c r="N77" s="38">
        <f>IF($A77="","",SUMIFS($BN$2:$BN$700,$BI$2:$BI$700,$A77,$BJ$2:$BJ$700,N$49))</f>
        <v/>
      </c>
      <c r="O77" s="38">
        <f>IF($A77="","",SUMIFS($BN$2:$BN$700,$BI$2:$BI$700,$A77,$BJ$2:$BJ$700,O$49))</f>
        <v/>
      </c>
      <c r="P77" s="38">
        <f>IF($A77="","",SUMIFS($BN$2:$BN$700,$BI$2:$BI$700,$A77,$BJ$2:$BJ$700,P$49))</f>
        <v/>
      </c>
      <c r="Q77" s="38">
        <f>IF($A77="","",SUMIFS($BN$2:$BN$700,$BI$2:$BI$700,$A77,$BJ$2:$BJ$700,Q$49))</f>
        <v/>
      </c>
      <c r="R77" s="38">
        <f>IF($A77="","",SUMIFS($BN$2:$BN$700,$BI$2:$BI$700,$A77,$BJ$2:$BJ$700,R$49))</f>
        <v/>
      </c>
      <c r="S77" s="38">
        <f>IF($A77="","",SUMIFS($BN$2:$BN$700,$BI$2:$BI$700,$A77,$BJ$2:$BJ$700,S$49))</f>
        <v/>
      </c>
      <c r="T77" s="38">
        <f>IF($A77="","",SUMIFS($BN$2:$BN$700,$BI$2:$BI$700,$A77,$BJ$2:$BJ$700,T$49))</f>
        <v/>
      </c>
      <c r="U77" s="38">
        <f>IF($A77="","",SUMIFS($BN$2:$BN$700,$BI$2:$BI$700,$A77,$BJ$2:$BJ$700,U$49))</f>
        <v/>
      </c>
      <c r="V77" s="38">
        <f>IF($A77="","",SUMIFS($BN$2:$BN$700,$BI$2:$BI$700,$A77,$BJ$2:$BJ$700,V$49))</f>
        <v/>
      </c>
      <c r="W77" s="38">
        <f>IF($A77="","",SUMIFS($BN$2:$BN$700,$BI$2:$BI$700,$A77,$BJ$2:$BJ$700,W$49))</f>
        <v/>
      </c>
      <c r="X77" s="38">
        <f>IF($A77="","",SUMIFS($BN$2:$BN$700,$BI$2:$BI$700,$A77,$BJ$2:$BJ$700,X$49))</f>
        <v/>
      </c>
      <c r="Y77" s="38">
        <f>IF($A77="","",SUMIFS($BN$2:$BN$700,$BI$2:$BI$700,$A77,$BJ$2:$BJ$700,Y$49))</f>
        <v/>
      </c>
      <c r="Z77" s="38">
        <f>IF($A77="","",SUMIFS($BN$2:$BN$700,$BI$2:$BI$700,$A77,$BJ$2:$BJ$700,Z$49))</f>
        <v/>
      </c>
      <c r="AA77" s="38">
        <f>IF($A77="","",SUMIFS($BN$2:$BN$700,$BI$2:$BI$700,$A77,$BJ$2:$BJ$700,AA$49))</f>
        <v/>
      </c>
      <c r="AB77" s="38">
        <f>IF($A77="","",SUMIFS($BN$2:$BN$700,$BI$2:$BI$700,$A77,$BJ$2:$BJ$700,AB$49))</f>
        <v/>
      </c>
      <c r="AC77" s="38">
        <f>IF($A77="","",SUMIFS($BN$2:$BN$700,$BI$2:$BI$700,$A77,$BJ$2:$BJ$700,AC$49))</f>
        <v/>
      </c>
      <c r="AD77" s="38">
        <f>IF($A77="","",SUMIFS($BN$2:$BN$700,$BI$2:$BI$700,$A77,$BJ$2:$BJ$700,AD$49))</f>
        <v/>
      </c>
      <c r="AE77" s="38">
        <f>IF($A77="","",SUMIFS($BN$2:$BN$700,$BI$2:$BI$700,$A77,$BJ$2:$BJ$700,AE$49))</f>
        <v/>
      </c>
      <c r="AF77" s="38">
        <f>IF($A77="","",SUMIFS($BN$2:$BN$700,$BI$2:$BI$700,$A77,$BJ$2:$BJ$700,AF$49))</f>
        <v/>
      </c>
      <c r="AG77" s="38">
        <f>IF($A77="","",SUM(B77:AF77))</f>
        <v/>
      </c>
      <c r="AZ77" s="38">
        <f>INDEX(Translations!$D:$ZZ, MATCH(310,Translations!$A:$A,0), MATCH('Project Information'!$C$4,Translations!$D$1:$ZZ$1,0))</f>
        <v/>
      </c>
      <c r="BA77" s="38">
        <f>INDEX(Translations!$D:$ZZ, MATCH(263,Translations!$A:$A,0), MATCH('Project Information'!$C$4,Translations!$D$1:$ZZ$1,0))</f>
        <v/>
      </c>
      <c r="BB77" s="38">
        <f>INDEX(Translations!$D:$ZZ, MATCH(343,Translations!$A:$A,0), MATCH('Project Information'!$C$4,Translations!$D$1:$ZZ$1,0))</f>
        <v/>
      </c>
      <c r="BC77" s="38">
        <f>INDEX(Translations!$D:$ZZ, MATCH(78,Translations!$A:$A,0), MATCH('Project Information'!$C$4,Translations!$D$1:$ZZ$1,0))</f>
        <v/>
      </c>
      <c r="BD77" s="38">
        <f>IF(OR(TRIM("")="Evet",TRIM("")="Yes"),1,0)</f>
        <v/>
      </c>
      <c r="BE77" s="38" t="n">
        <v>3</v>
      </c>
      <c r="BF77" s="38">
        <f>BD77*BE77</f>
        <v/>
      </c>
      <c r="BH77" s="38">
        <f>INDEX(Translations!$D:$ZZ, MATCH(306,Translations!$A:$A,0), MATCH('Project Information'!$C$4,Translations!$D$1:$ZZ$1,0))</f>
        <v/>
      </c>
      <c r="BI77" s="38">
        <f>INDEX(Translations!$D:$ZZ, MATCH(233,Translations!$A:$A,0), MATCH('Project Information'!$C$4,Translations!$D$1:$ZZ$1,0))</f>
        <v/>
      </c>
      <c r="BJ77" s="38">
        <f>INDEX(Translations!$D:$ZZ, MATCH(337,Translations!$A:$A,0), MATCH('Project Information'!$C$4,Translations!$D$1:$ZZ$1,0))</f>
        <v/>
      </c>
      <c r="BK77" s="38">
        <f>INDEX(Translations!$D:$ZZ, MATCH(75,Translations!$A:$A,0), MATCH('Project Information'!$C$4,Translations!$D$1:$ZZ$1,0))</f>
        <v/>
      </c>
      <c r="BL77" s="38">
        <f>IF(OR(TRIM(Development!$F$26)="Evet",TRIM(Development!$F$26)="Yes"),1,0)</f>
        <v/>
      </c>
      <c r="BM77" s="38" t="n">
        <v>1</v>
      </c>
      <c r="BN77" s="38">
        <f>BL77*BM77</f>
        <v/>
      </c>
    </row>
    <row r="78" ht="15" customHeight="1" s="39">
      <c r="AZ78" s="38">
        <f>INDEX(Translations!$D:$ZZ, MATCH(310,Translations!$A:$A,0), MATCH('Project Information'!$C$4,Translations!$D$1:$ZZ$1,0))</f>
        <v/>
      </c>
      <c r="BA78" s="38">
        <f>INDEX(Translations!$D:$ZZ, MATCH(263,Translations!$A:$A,0), MATCH('Project Information'!$C$4,Translations!$D$1:$ZZ$1,0))</f>
        <v/>
      </c>
      <c r="BB78" s="38">
        <f>INDEX(Translations!$D:$ZZ, MATCH(343,Translations!$A:$A,0), MATCH('Project Information'!$C$4,Translations!$D$1:$ZZ$1,0))</f>
        <v/>
      </c>
      <c r="BC78" s="38">
        <f>INDEX(Translations!$D:$ZZ, MATCH(79,Translations!$A:$A,0), MATCH('Project Information'!$C$4,Translations!$D$1:$ZZ$1,0))</f>
        <v/>
      </c>
      <c r="BD78" s="38">
        <f>IF(OR(TRIM("")="Evet",TRIM("")="Yes"),1,0)</f>
        <v/>
      </c>
      <c r="BE78" s="38" t="n">
        <v>2</v>
      </c>
      <c r="BF78" s="38">
        <f>BD78*BE78</f>
        <v/>
      </c>
      <c r="BH78" s="38">
        <f>INDEX(Translations!$D:$ZZ, MATCH(306,Translations!$A:$A,0), MATCH('Project Information'!$C$4,Translations!$D$1:$ZZ$1,0))</f>
        <v/>
      </c>
      <c r="BI78" s="38">
        <f>INDEX(Translations!$D:$ZZ, MATCH(233,Translations!$A:$A,0), MATCH('Project Information'!$C$4,Translations!$D$1:$ZZ$1,0))</f>
        <v/>
      </c>
      <c r="BJ78" s="38">
        <f>INDEX(Translations!$D:$ZZ, MATCH(337,Translations!$A:$A,0), MATCH('Project Information'!$C$4,Translations!$D$1:$ZZ$1,0))</f>
        <v/>
      </c>
      <c r="BK78" s="38">
        <f>INDEX(Translations!$D:$ZZ, MATCH(76,Translations!$A:$A,0), MATCH('Project Information'!$C$4,Translations!$D$1:$ZZ$1,0))</f>
        <v/>
      </c>
      <c r="BL78" s="38">
        <f>IF(OR(TRIM(Development!$F$26)="Evet",TRIM(Development!$F$26)="Yes"),1,0)</f>
        <v/>
      </c>
      <c r="BM78" s="38" t="n">
        <v>0.5</v>
      </c>
      <c r="BN78" s="38">
        <f>BL78*BM78</f>
        <v/>
      </c>
    </row>
    <row r="79" ht="15" customHeight="1" s="39">
      <c r="AZ79" s="38">
        <f>INDEX(Translations!$D:$ZZ, MATCH(310,Translations!$A:$A,0), MATCH('Project Information'!$C$4,Translations!$D$1:$ZZ$1,0))</f>
        <v/>
      </c>
      <c r="BA79" s="38">
        <f>INDEX(Translations!$D:$ZZ, MATCH(263,Translations!$A:$A,0), MATCH('Project Information'!$C$4,Translations!$D$1:$ZZ$1,0))</f>
        <v/>
      </c>
      <c r="BB79" s="38">
        <f>INDEX(Translations!$D:$ZZ, MATCH(343,Translations!$A:$A,0), MATCH('Project Information'!$C$4,Translations!$D$1:$ZZ$1,0))</f>
        <v/>
      </c>
      <c r="BC79" s="38">
        <f>INDEX(Translations!$D:$ZZ, MATCH(84,Translations!$A:$A,0), MATCH('Project Information'!$C$4,Translations!$D$1:$ZZ$1,0))</f>
        <v/>
      </c>
      <c r="BD79" s="38">
        <f>IF(OR(TRIM("")="Evet",TRIM("")="Yes"),1,0)</f>
        <v/>
      </c>
      <c r="BE79" s="38" t="n">
        <v>1</v>
      </c>
      <c r="BF79" s="38">
        <f>BD79*BE79</f>
        <v/>
      </c>
      <c r="BH79" s="38">
        <f>INDEX(Translations!$D:$ZZ, MATCH(306,Translations!$A:$A,0), MATCH('Project Information'!$C$4,Translations!$D$1:$ZZ$1,0))</f>
        <v/>
      </c>
      <c r="BI79" s="38">
        <f>INDEX(Translations!$D:$ZZ, MATCH(233,Translations!$A:$A,0), MATCH('Project Information'!$C$4,Translations!$D$1:$ZZ$1,0))</f>
        <v/>
      </c>
      <c r="BJ79" s="38">
        <f>INDEX(Translations!$D:$ZZ, MATCH(337,Translations!$A:$A,0), MATCH('Project Information'!$C$4,Translations!$D$1:$ZZ$1,0))</f>
        <v/>
      </c>
      <c r="BK79" s="38">
        <f>INDEX(Translations!$D:$ZZ, MATCH(79,Translations!$A:$A,0), MATCH('Project Information'!$C$4,Translations!$D$1:$ZZ$1,0))</f>
        <v/>
      </c>
      <c r="BL79" s="38">
        <f>IF(OR(TRIM(Development!$F$26)="Evet",TRIM(Development!$F$26)="Yes"),1,0)</f>
        <v/>
      </c>
      <c r="BM79" s="38" t="n">
        <v>2</v>
      </c>
      <c r="BN79" s="38">
        <f>BL79*BM79</f>
        <v/>
      </c>
    </row>
    <row r="80" ht="15" customHeight="1" s="39">
      <c r="AZ80" s="38">
        <f>INDEX(Translations!$D:$ZZ, MATCH(310,Translations!$A:$A,0), MATCH('Project Information'!$C$4,Translations!$D$1:$ZZ$1,0))</f>
        <v/>
      </c>
      <c r="BA80" s="38">
        <f>INDEX(Translations!$D:$ZZ, MATCH(263,Translations!$A:$A,0), MATCH('Project Information'!$C$4,Translations!$D$1:$ZZ$1,0))</f>
        <v/>
      </c>
      <c r="BB80" s="38">
        <f>INDEX(Translations!$D:$ZZ, MATCH(343,Translations!$A:$A,0), MATCH('Project Information'!$C$4,Translations!$D$1:$ZZ$1,0))</f>
        <v/>
      </c>
      <c r="BC80" s="38">
        <f>INDEX(Translations!$D:$ZZ, MATCH(87,Translations!$A:$A,0), MATCH('Project Information'!$C$4,Translations!$D$1:$ZZ$1,0))</f>
        <v/>
      </c>
      <c r="BD80" s="38">
        <f>IF(OR(TRIM("")="Evet",TRIM("")="Yes"),1,0)</f>
        <v/>
      </c>
      <c r="BE80" s="38" t="n">
        <v>0.5</v>
      </c>
      <c r="BF80" s="38">
        <f>BD80*BE80</f>
        <v/>
      </c>
      <c r="BH80" s="38">
        <f>INDEX(Translations!$D:$ZZ, MATCH(306,Translations!$A:$A,0), MATCH('Project Information'!$C$4,Translations!$D$1:$ZZ$1,0))</f>
        <v/>
      </c>
      <c r="BI80" s="38">
        <f>INDEX(Translations!$D:$ZZ, MATCH(242,Translations!$A:$A,0), MATCH('Project Information'!$C$4,Translations!$D$1:$ZZ$1,0))</f>
        <v/>
      </c>
      <c r="BJ80" s="38">
        <f>INDEX(Translations!$D:$ZZ, MATCH(346,Translations!$A:$A,0), MATCH('Project Information'!$C$4,Translations!$D$1:$ZZ$1,0))</f>
        <v/>
      </c>
      <c r="BK80" s="38">
        <f>INDEX(Translations!$D:$ZZ, MATCH(78,Translations!$A:$A,0), MATCH('Project Information'!$C$4,Translations!$D$1:$ZZ$1,0))</f>
        <v/>
      </c>
      <c r="BL80" s="38">
        <f>IF(OR(TRIM(Development!$F$32)="Evet",TRIM(Development!$F$32)="Yes"),1,0)</f>
        <v/>
      </c>
      <c r="BM80" s="38" t="n">
        <v>12</v>
      </c>
      <c r="BN80" s="38">
        <f>BL80*BM80</f>
        <v/>
      </c>
    </row>
    <row r="81" ht="15" customHeight="1" s="39">
      <c r="AZ81" s="38">
        <f>INDEX(Translations!$D:$ZZ, MATCH(310,Translations!$A:$A,0), MATCH('Project Information'!$C$4,Translations!$D$1:$ZZ$1,0))</f>
        <v/>
      </c>
      <c r="BA81" s="38">
        <f>INDEX(Translations!$D:$ZZ, MATCH(185,Translations!$A:$A,0), MATCH('Project Information'!$C$4,Translations!$D$1:$ZZ$1,0))</f>
        <v/>
      </c>
      <c r="BB81" s="38">
        <f>INDEX(Translations!$D:$ZZ, MATCH(332,Translations!$A:$A,0), MATCH('Project Information'!$C$4,Translations!$D$1:$ZZ$1,0))</f>
        <v/>
      </c>
      <c r="BC81" s="38">
        <f>INDEX(Translations!$D:$ZZ, MATCH(76,Translations!$A:$A,0), MATCH('Project Information'!$C$4,Translations!$D$1:$ZZ$1,0))</f>
        <v/>
      </c>
      <c r="BD81" s="38">
        <f>MAX(N(0)-1,0)</f>
        <v/>
      </c>
      <c r="BE81" s="38" t="n">
        <v>2</v>
      </c>
      <c r="BF81" s="38">
        <f>BD81*BE81</f>
        <v/>
      </c>
      <c r="BH81" s="38">
        <f>INDEX(Translations!$D:$ZZ, MATCH(306,Translations!$A:$A,0), MATCH('Project Information'!$C$4,Translations!$D$1:$ZZ$1,0))</f>
        <v/>
      </c>
      <c r="BI81" s="38">
        <f>INDEX(Translations!$D:$ZZ, MATCH(242,Translations!$A:$A,0), MATCH('Project Information'!$C$4,Translations!$D$1:$ZZ$1,0))</f>
        <v/>
      </c>
      <c r="BJ81" s="38">
        <f>INDEX(Translations!$D:$ZZ, MATCH(338,Translations!$A:$A,0), MATCH('Project Information'!$C$4,Translations!$D$1:$ZZ$1,0))</f>
        <v/>
      </c>
      <c r="BK81" s="38">
        <f>INDEX(Translations!$D:$ZZ, MATCH(75,Translations!$A:$A,0), MATCH('Project Information'!$C$4,Translations!$D$1:$ZZ$1,0))</f>
        <v/>
      </c>
      <c r="BL81" s="38">
        <f>IF(OR(TRIM(Development!$F$32)="Evet",TRIM(Development!$F$32)="Yes"),1,0)</f>
        <v/>
      </c>
      <c r="BM81" s="38" t="n">
        <v>5</v>
      </c>
      <c r="BN81" s="38">
        <f>BL81*BM81</f>
        <v/>
      </c>
    </row>
    <row r="82" ht="15" customHeight="1" s="39">
      <c r="AZ82" s="38">
        <f>INDEX(Translations!$D:$ZZ, MATCH(310,Translations!$A:$A,0), MATCH('Project Information'!$C$4,Translations!$D$1:$ZZ$1,0))</f>
        <v/>
      </c>
      <c r="BA82" s="38">
        <f>INDEX(Translations!$D:$ZZ, MATCH(185,Translations!$A:$A,0), MATCH('Project Information'!$C$4,Translations!$D$1:$ZZ$1,0))</f>
        <v/>
      </c>
      <c r="BB82" s="38">
        <f>INDEX(Translations!$D:$ZZ, MATCH(332,Translations!$A:$A,0), MATCH('Project Information'!$C$4,Translations!$D$1:$ZZ$1,0))</f>
        <v/>
      </c>
      <c r="BC82" s="38">
        <f>INDEX(Translations!$D:$ZZ, MATCH(77,Translations!$A:$A,0), MATCH('Project Information'!$C$4,Translations!$D$1:$ZZ$1,0))</f>
        <v/>
      </c>
      <c r="BD82" s="38">
        <f>MAX(N(0)-1,0)</f>
        <v/>
      </c>
      <c r="BE82" s="38" t="n">
        <v>1</v>
      </c>
      <c r="BF82" s="38">
        <f>BD82*BE82</f>
        <v/>
      </c>
      <c r="BH82" s="38">
        <f>INDEX(Translations!$D:$ZZ, MATCH(306,Translations!$A:$A,0), MATCH('Project Information'!$C$4,Translations!$D$1:$ZZ$1,0))</f>
        <v/>
      </c>
      <c r="BI82" s="38">
        <f>INDEX(Translations!$D:$ZZ, MATCH(242,Translations!$A:$A,0), MATCH('Project Information'!$C$4,Translations!$D$1:$ZZ$1,0))</f>
        <v/>
      </c>
      <c r="BJ82" s="38">
        <f>INDEX(Translations!$D:$ZZ, MATCH(338,Translations!$A:$A,0), MATCH('Project Information'!$C$4,Translations!$D$1:$ZZ$1,0))</f>
        <v/>
      </c>
      <c r="BK82" s="38">
        <f>INDEX(Translations!$D:$ZZ, MATCH(76,Translations!$A:$A,0), MATCH('Project Information'!$C$4,Translations!$D$1:$ZZ$1,0))</f>
        <v/>
      </c>
      <c r="BL82" s="38">
        <f>IF(OR(TRIM(Development!$F$32)="Evet",TRIM(Development!$F$32)="Yes"),1,0)</f>
        <v/>
      </c>
      <c r="BM82" s="38" t="n">
        <v>2</v>
      </c>
      <c r="BN82" s="38">
        <f>BL82*BM82</f>
        <v/>
      </c>
    </row>
    <row r="83" ht="15" customHeight="1" s="39">
      <c r="AZ83" s="38">
        <f>INDEX(Translations!$D:$ZZ, MATCH(310,Translations!$A:$A,0), MATCH('Project Information'!$C$4,Translations!$D$1:$ZZ$1,0))</f>
        <v/>
      </c>
      <c r="BA83" s="38">
        <f>INDEX(Translations!$D:$ZZ, MATCH(185,Translations!$A:$A,0), MATCH('Project Information'!$C$4,Translations!$D$1:$ZZ$1,0))</f>
        <v/>
      </c>
      <c r="BB83" s="38">
        <f>INDEX(Translations!$D:$ZZ, MATCH(333,Translations!$A:$A,0), MATCH('Project Information'!$C$4,Translations!$D$1:$ZZ$1,0))</f>
        <v/>
      </c>
      <c r="BC83" s="38">
        <f>INDEX(Translations!$D:$ZZ, MATCH(76,Translations!$A:$A,0), MATCH('Project Information'!$C$4,Translations!$D$1:$ZZ$1,0))</f>
        <v/>
      </c>
      <c r="BD83" s="38">
        <f>MAX(N(0)-1,0)</f>
        <v/>
      </c>
      <c r="BE83" s="38" t="n">
        <v>2</v>
      </c>
      <c r="BF83" s="38">
        <f>BD83*BE83</f>
        <v/>
      </c>
      <c r="BH83" s="38">
        <f>INDEX(Translations!$D:$ZZ, MATCH(306,Translations!$A:$A,0), MATCH('Project Information'!$C$4,Translations!$D$1:$ZZ$1,0))</f>
        <v/>
      </c>
      <c r="BI83" s="38">
        <f>INDEX(Translations!$D:$ZZ, MATCH(242,Translations!$A:$A,0), MATCH('Project Information'!$C$4,Translations!$D$1:$ZZ$1,0))</f>
        <v/>
      </c>
      <c r="BJ83" s="38">
        <f>INDEX(Translations!$D:$ZZ, MATCH(338,Translations!$A:$A,0), MATCH('Project Information'!$C$4,Translations!$D$1:$ZZ$1,0))</f>
        <v/>
      </c>
      <c r="BK83" s="38">
        <f>INDEX(Translations!$D:$ZZ, MATCH(79,Translations!$A:$A,0), MATCH('Project Information'!$C$4,Translations!$D$1:$ZZ$1,0))</f>
        <v/>
      </c>
      <c r="BL83" s="38">
        <f>IF(OR(TRIM(Development!$F$32)="Evet",TRIM(Development!$F$32)="Yes"),1,0)</f>
        <v/>
      </c>
      <c r="BM83" s="38" t="n">
        <v>4</v>
      </c>
      <c r="BN83" s="38">
        <f>BL83*BM83</f>
        <v/>
      </c>
    </row>
    <row r="84" ht="15" customHeight="1" s="39">
      <c r="AZ84" s="38">
        <f>INDEX(Translations!$D:$ZZ, MATCH(310,Translations!$A:$A,0), MATCH('Project Information'!$C$4,Translations!$D$1:$ZZ$1,0))</f>
        <v/>
      </c>
      <c r="BA84" s="38">
        <f>INDEX(Translations!$D:$ZZ, MATCH(185,Translations!$A:$A,0), MATCH('Project Information'!$C$4,Translations!$D$1:$ZZ$1,0))</f>
        <v/>
      </c>
      <c r="BB84" s="38">
        <f>INDEX(Translations!$D:$ZZ, MATCH(333,Translations!$A:$A,0), MATCH('Project Information'!$C$4,Translations!$D$1:$ZZ$1,0))</f>
        <v/>
      </c>
      <c r="BC84" s="38">
        <f>INDEX(Translations!$D:$ZZ, MATCH(77,Translations!$A:$A,0), MATCH('Project Information'!$C$4,Translations!$D$1:$ZZ$1,0))</f>
        <v/>
      </c>
      <c r="BD84" s="38">
        <f>MAX(N(0)-1,0)</f>
        <v/>
      </c>
      <c r="BE84" s="38" t="n">
        <v>1</v>
      </c>
      <c r="BF84" s="38">
        <f>BD84*BE84</f>
        <v/>
      </c>
      <c r="BH84" s="38">
        <f>INDEX(Translations!$D:$ZZ, MATCH(306,Translations!$A:$A,0), MATCH('Project Information'!$C$4,Translations!$D$1:$ZZ$1,0))</f>
        <v/>
      </c>
      <c r="BI84" s="38">
        <f>INDEX(Translations!$D:$ZZ, MATCH(175,Translations!$A:$A,0), MATCH('Project Information'!$C$4,Translations!$D$1:$ZZ$1,0))</f>
        <v/>
      </c>
      <c r="BJ84" s="38">
        <f>INDEX(Translations!$D:$ZZ, MATCH(346,Translations!$A:$A,0), MATCH('Project Information'!$C$4,Translations!$D$1:$ZZ$1,0))</f>
        <v/>
      </c>
      <c r="BK84" s="38">
        <f>INDEX(Translations!$D:$ZZ, MATCH(78,Translations!$A:$A,0), MATCH('Project Information'!$C$4,Translations!$D$1:$ZZ$1,0))</f>
        <v/>
      </c>
      <c r="BL84" s="38">
        <f>IF(OR(TRIM(Development!$F$15)="Evet",TRIM(Development!$F$15)="Yes"),1,0)</f>
        <v/>
      </c>
      <c r="BM84" s="38" t="n">
        <v>12</v>
      </c>
      <c r="BN84" s="38">
        <f>BL84*BM84</f>
        <v/>
      </c>
    </row>
    <row r="85" ht="15" customHeight="1" s="39">
      <c r="AZ85" s="38">
        <f>INDEX(Translations!$D:$ZZ, MATCH(310,Translations!$A:$A,0), MATCH('Project Information'!$C$4,Translations!$D$1:$ZZ$1,0))</f>
        <v/>
      </c>
      <c r="BA85" s="38">
        <f>INDEX(Translations!$D:$ZZ, MATCH(185,Translations!$A:$A,0), MATCH('Project Information'!$C$4,Translations!$D$1:$ZZ$1,0))</f>
        <v/>
      </c>
      <c r="BB85" s="38">
        <f>INDEX(Translations!$D:$ZZ, MATCH(334,Translations!$A:$A,0), MATCH('Project Information'!$C$4,Translations!$D$1:$ZZ$1,0))</f>
        <v/>
      </c>
      <c r="BC85" s="38">
        <f>INDEX(Translations!$D:$ZZ, MATCH(76,Translations!$A:$A,0), MATCH('Project Information'!$C$4,Translations!$D$1:$ZZ$1,0))</f>
        <v/>
      </c>
      <c r="BD85" s="38">
        <f>MAX(N(0)-1,0)</f>
        <v/>
      </c>
      <c r="BE85" s="38" t="n">
        <v>2</v>
      </c>
      <c r="BF85" s="38">
        <f>BD85*BE85</f>
        <v/>
      </c>
      <c r="BH85" s="38">
        <f>INDEX(Translations!$D:$ZZ, MATCH(306,Translations!$A:$A,0), MATCH('Project Information'!$C$4,Translations!$D$1:$ZZ$1,0))</f>
        <v/>
      </c>
      <c r="BI85" s="38">
        <f>INDEX(Translations!$D:$ZZ, MATCH(175,Translations!$A:$A,0), MATCH('Project Information'!$C$4,Translations!$D$1:$ZZ$1,0))</f>
        <v/>
      </c>
      <c r="BJ85" s="38">
        <f>INDEX(Translations!$D:$ZZ, MATCH(341,Translations!$A:$A,0), MATCH('Project Information'!$C$4,Translations!$D$1:$ZZ$1,0))</f>
        <v/>
      </c>
      <c r="BK85" s="38">
        <f>INDEX(Translations!$D:$ZZ, MATCH(75,Translations!$A:$A,0), MATCH('Project Information'!$C$4,Translations!$D$1:$ZZ$1,0))</f>
        <v/>
      </c>
      <c r="BL85" s="38">
        <f>IF(OR(TRIM(Development!$F$15)="Evet",TRIM(Development!$F$15)="Yes"),1,0)</f>
        <v/>
      </c>
      <c r="BM85" s="38" t="n">
        <v>2</v>
      </c>
      <c r="BN85" s="38">
        <f>BL85*BM85</f>
        <v/>
      </c>
    </row>
    <row r="86" ht="15" customHeight="1" s="39">
      <c r="AZ86" s="38">
        <f>INDEX(Translations!$D:$ZZ, MATCH(310,Translations!$A:$A,0), MATCH('Project Information'!$C$4,Translations!$D$1:$ZZ$1,0))</f>
        <v/>
      </c>
      <c r="BA86" s="38">
        <f>INDEX(Translations!$D:$ZZ, MATCH(185,Translations!$A:$A,0), MATCH('Project Information'!$C$4,Translations!$D$1:$ZZ$1,0))</f>
        <v/>
      </c>
      <c r="BB86" s="38">
        <f>INDEX(Translations!$D:$ZZ, MATCH(334,Translations!$A:$A,0), MATCH('Project Information'!$C$4,Translations!$D$1:$ZZ$1,0))</f>
        <v/>
      </c>
      <c r="BC86" s="38">
        <f>INDEX(Translations!$D:$ZZ, MATCH(77,Translations!$A:$A,0), MATCH('Project Information'!$C$4,Translations!$D$1:$ZZ$1,0))</f>
        <v/>
      </c>
      <c r="BD86" s="38">
        <f>MAX(N(0)-1,0)</f>
        <v/>
      </c>
      <c r="BE86" s="38" t="n">
        <v>1</v>
      </c>
      <c r="BF86" s="38">
        <f>BD86*BE86</f>
        <v/>
      </c>
      <c r="BH86" s="38">
        <f>INDEX(Translations!$D:$ZZ, MATCH(306,Translations!$A:$A,0), MATCH('Project Information'!$C$4,Translations!$D$1:$ZZ$1,0))</f>
        <v/>
      </c>
      <c r="BI86" s="38">
        <f>INDEX(Translations!$D:$ZZ, MATCH(175,Translations!$A:$A,0), MATCH('Project Information'!$C$4,Translations!$D$1:$ZZ$1,0))</f>
        <v/>
      </c>
      <c r="BJ86" s="38">
        <f>INDEX(Translations!$D:$ZZ, MATCH(341,Translations!$A:$A,0), MATCH('Project Information'!$C$4,Translations!$D$1:$ZZ$1,0))</f>
        <v/>
      </c>
      <c r="BK86" s="38">
        <f>INDEX(Translations!$D:$ZZ, MATCH(76,Translations!$A:$A,0), MATCH('Project Information'!$C$4,Translations!$D$1:$ZZ$1,0))</f>
        <v/>
      </c>
      <c r="BL86" s="38">
        <f>IF(OR(TRIM(Development!$F$15)="Evet",TRIM(Development!$F$15)="Yes"),1,0)</f>
        <v/>
      </c>
      <c r="BM86" s="38" t="n">
        <v>1</v>
      </c>
      <c r="BN86" s="38">
        <f>BL86*BM86</f>
        <v/>
      </c>
    </row>
    <row r="87" ht="15" customHeight="1" s="39">
      <c r="AZ87" s="38">
        <f>INDEX(Translations!$D:$ZZ, MATCH(310,Translations!$A:$A,0), MATCH('Project Information'!$C$4,Translations!$D$1:$ZZ$1,0))</f>
        <v/>
      </c>
      <c r="BA87" s="38">
        <f>INDEX(Translations!$D:$ZZ, MATCH(185,Translations!$A:$A,0), MATCH('Project Information'!$C$4,Translations!$D$1:$ZZ$1,0))</f>
        <v/>
      </c>
      <c r="BB87" s="38">
        <f>INDEX(Translations!$D:$ZZ, MATCH(335,Translations!$A:$A,0), MATCH('Project Information'!$C$4,Translations!$D$1:$ZZ$1,0))</f>
        <v/>
      </c>
      <c r="BC87" s="38">
        <f>INDEX(Translations!$D:$ZZ, MATCH(76,Translations!$A:$A,0), MATCH('Project Information'!$C$4,Translations!$D$1:$ZZ$1,0))</f>
        <v/>
      </c>
      <c r="BD87" s="38">
        <f>MAX(N(0)-1,0)</f>
        <v/>
      </c>
      <c r="BE87" s="38" t="n">
        <v>2</v>
      </c>
      <c r="BF87" s="38">
        <f>BD87*BE87</f>
        <v/>
      </c>
      <c r="BH87" s="38">
        <f>INDEX(Translations!$D:$ZZ, MATCH(306,Translations!$A:$A,0), MATCH('Project Information'!$C$4,Translations!$D$1:$ZZ$1,0))</f>
        <v/>
      </c>
      <c r="BI87" s="38">
        <f>INDEX(Translations!$D:$ZZ, MATCH(175,Translations!$A:$A,0), MATCH('Project Information'!$C$4,Translations!$D$1:$ZZ$1,0))</f>
        <v/>
      </c>
      <c r="BJ87" s="38">
        <f>INDEX(Translations!$D:$ZZ, MATCH(341,Translations!$A:$A,0), MATCH('Project Information'!$C$4,Translations!$D$1:$ZZ$1,0))</f>
        <v/>
      </c>
      <c r="BK87" s="38">
        <f>INDEX(Translations!$D:$ZZ, MATCH(79,Translations!$A:$A,0), MATCH('Project Information'!$C$4,Translations!$D$1:$ZZ$1,0))</f>
        <v/>
      </c>
      <c r="BL87" s="38">
        <f>IF(OR(TRIM(Development!$F$15)="Evet",TRIM(Development!$F$15)="Yes"),1,0)</f>
        <v/>
      </c>
      <c r="BM87" s="38" t="n">
        <v>2</v>
      </c>
      <c r="BN87" s="38">
        <f>BL87*BM87</f>
        <v/>
      </c>
    </row>
    <row r="88" ht="15" customHeight="1" s="39">
      <c r="AZ88" s="38">
        <f>INDEX(Translations!$D:$ZZ, MATCH(310,Translations!$A:$A,0), MATCH('Project Information'!$C$4,Translations!$D$1:$ZZ$1,0))</f>
        <v/>
      </c>
      <c r="BA88" s="38">
        <f>INDEX(Translations!$D:$ZZ, MATCH(185,Translations!$A:$A,0), MATCH('Project Information'!$C$4,Translations!$D$1:$ZZ$1,0))</f>
        <v/>
      </c>
      <c r="BB88" s="38">
        <f>INDEX(Translations!$D:$ZZ, MATCH(335,Translations!$A:$A,0), MATCH('Project Information'!$C$4,Translations!$D$1:$ZZ$1,0))</f>
        <v/>
      </c>
      <c r="BC88" s="38">
        <f>INDEX(Translations!$D:$ZZ, MATCH(77,Translations!$A:$A,0), MATCH('Project Information'!$C$4,Translations!$D$1:$ZZ$1,0))</f>
        <v/>
      </c>
      <c r="BD88" s="38">
        <f>MAX(N(0)-1,0)</f>
        <v/>
      </c>
      <c r="BE88" s="38" t="n">
        <v>1</v>
      </c>
      <c r="BF88" s="38">
        <f>BD88*BE88</f>
        <v/>
      </c>
      <c r="BH88" s="38">
        <f>INDEX(Translations!$D:$ZZ, MATCH(306,Translations!$A:$A,0), MATCH('Project Information'!$C$4,Translations!$D$1:$ZZ$1,0))</f>
        <v/>
      </c>
      <c r="BI88" s="38">
        <f>INDEX(Translations!$D:$ZZ, MATCH(175,Translations!$A:$A,0), MATCH('Project Information'!$C$4,Translations!$D$1:$ZZ$1,0))</f>
        <v/>
      </c>
      <c r="BJ88" s="38">
        <f>INDEX(Translations!$D:$ZZ, MATCH(338,Translations!$A:$A,0), MATCH('Project Information'!$C$4,Translations!$D$1:$ZZ$1,0))</f>
        <v/>
      </c>
      <c r="BK88" s="38">
        <f>INDEX(Translations!$D:$ZZ, MATCH(75,Translations!$A:$A,0), MATCH('Project Information'!$C$4,Translations!$D$1:$ZZ$1,0))</f>
        <v/>
      </c>
      <c r="BL88" s="38">
        <f>IF(OR(TRIM(Development!$F$15)="Evet",TRIM(Development!$F$15)="Yes"),1,0)</f>
        <v/>
      </c>
      <c r="BM88" s="38" t="n">
        <v>3</v>
      </c>
      <c r="BN88" s="38">
        <f>BL88*BM88</f>
        <v/>
      </c>
    </row>
    <row r="89" ht="15" customHeight="1" s="39">
      <c r="AZ89" s="38">
        <f>INDEX(Translations!$D:$ZZ, MATCH(310,Translations!$A:$A,0), MATCH('Project Information'!$C$4,Translations!$D$1:$ZZ$1,0))</f>
        <v/>
      </c>
      <c r="BA89" s="38">
        <f>INDEX(Translations!$D:$ZZ, MATCH(185,Translations!$A:$A,0), MATCH('Project Information'!$C$4,Translations!$D$1:$ZZ$1,0))</f>
        <v/>
      </c>
      <c r="BB89" s="38">
        <f>INDEX(Translations!$D:$ZZ, MATCH(336,Translations!$A:$A,0), MATCH('Project Information'!$C$4,Translations!$D$1:$ZZ$1,0))</f>
        <v/>
      </c>
      <c r="BC89" s="38">
        <f>INDEX(Translations!$D:$ZZ, MATCH(76,Translations!$A:$A,0), MATCH('Project Information'!$C$4,Translations!$D$1:$ZZ$1,0))</f>
        <v/>
      </c>
      <c r="BD89" s="38">
        <f>MAX(N(0)-1,0)</f>
        <v/>
      </c>
      <c r="BE89" s="38" t="n">
        <v>2</v>
      </c>
      <c r="BF89" s="38">
        <f>BD89*BE89</f>
        <v/>
      </c>
      <c r="BH89" s="38">
        <f>INDEX(Translations!$D:$ZZ, MATCH(306,Translations!$A:$A,0), MATCH('Project Information'!$C$4,Translations!$D$1:$ZZ$1,0))</f>
        <v/>
      </c>
      <c r="BI89" s="38">
        <f>INDEX(Translations!$D:$ZZ, MATCH(175,Translations!$A:$A,0), MATCH('Project Information'!$C$4,Translations!$D$1:$ZZ$1,0))</f>
        <v/>
      </c>
      <c r="BJ89" s="38">
        <f>INDEX(Translations!$D:$ZZ, MATCH(338,Translations!$A:$A,0), MATCH('Project Information'!$C$4,Translations!$D$1:$ZZ$1,0))</f>
        <v/>
      </c>
      <c r="BK89" s="38">
        <f>INDEX(Translations!$D:$ZZ, MATCH(76,Translations!$A:$A,0), MATCH('Project Information'!$C$4,Translations!$D$1:$ZZ$1,0))</f>
        <v/>
      </c>
      <c r="BL89" s="38">
        <f>IF(OR(TRIM(Development!$F$15)="Evet",TRIM(Development!$F$15)="Yes"),1,0)</f>
        <v/>
      </c>
      <c r="BM89" s="38" t="n">
        <v>2</v>
      </c>
      <c r="BN89" s="38">
        <f>BL89*BM89</f>
        <v/>
      </c>
    </row>
    <row r="90" ht="15" customHeight="1" s="39">
      <c r="AZ90" s="38">
        <f>INDEX(Translations!$D:$ZZ, MATCH(310,Translations!$A:$A,0), MATCH('Project Information'!$C$4,Translations!$D$1:$ZZ$1,0))</f>
        <v/>
      </c>
      <c r="BA90" s="38">
        <f>INDEX(Translations!$D:$ZZ, MATCH(185,Translations!$A:$A,0), MATCH('Project Information'!$C$4,Translations!$D$1:$ZZ$1,0))</f>
        <v/>
      </c>
      <c r="BB90" s="38">
        <f>INDEX(Translations!$D:$ZZ, MATCH(336,Translations!$A:$A,0), MATCH('Project Information'!$C$4,Translations!$D$1:$ZZ$1,0))</f>
        <v/>
      </c>
      <c r="BC90" s="38">
        <f>INDEX(Translations!$D:$ZZ, MATCH(77,Translations!$A:$A,0), MATCH('Project Information'!$C$4,Translations!$D$1:$ZZ$1,0))</f>
        <v/>
      </c>
      <c r="BD90" s="38">
        <f>MAX(N(0)-1,0)</f>
        <v/>
      </c>
      <c r="BE90" s="38" t="n">
        <v>1</v>
      </c>
      <c r="BF90" s="38">
        <f>BD90*BE90</f>
        <v/>
      </c>
      <c r="BH90" s="38">
        <f>INDEX(Translations!$D:$ZZ, MATCH(306,Translations!$A:$A,0), MATCH('Project Information'!$C$4,Translations!$D$1:$ZZ$1,0))</f>
        <v/>
      </c>
      <c r="BI90" s="38">
        <f>INDEX(Translations!$D:$ZZ, MATCH(175,Translations!$A:$A,0), MATCH('Project Information'!$C$4,Translations!$D$1:$ZZ$1,0))</f>
        <v/>
      </c>
      <c r="BJ90" s="38">
        <f>INDEX(Translations!$D:$ZZ, MATCH(338,Translations!$A:$A,0), MATCH('Project Information'!$C$4,Translations!$D$1:$ZZ$1,0))</f>
        <v/>
      </c>
      <c r="BK90" s="38">
        <f>INDEX(Translations!$D:$ZZ, MATCH(79,Translations!$A:$A,0), MATCH('Project Information'!$C$4,Translations!$D$1:$ZZ$1,0))</f>
        <v/>
      </c>
      <c r="BL90" s="38">
        <f>IF(OR(TRIM(Development!$F$15)="Evet",TRIM(Development!$F$15)="Yes"),1,0)</f>
        <v/>
      </c>
      <c r="BM90" s="38" t="n">
        <v>4</v>
      </c>
      <c r="BN90" s="38">
        <f>BL90*BM90</f>
        <v/>
      </c>
    </row>
    <row r="91" ht="15" customHeight="1" s="39">
      <c r="AZ91" s="38">
        <f>INDEX(Translations!$D:$ZZ, MATCH(310,Translations!$A:$A,0), MATCH('Project Information'!$C$4,Translations!$D$1:$ZZ$1,0))</f>
        <v/>
      </c>
      <c r="BA91" s="38">
        <f>INDEX(Translations!$D:$ZZ, MATCH(185,Translations!$A:$A,0), MATCH('Project Information'!$C$4,Translations!$D$1:$ZZ$1,0))</f>
        <v/>
      </c>
      <c r="BB91" s="38">
        <f>INDEX(Translations!$D:$ZZ, MATCH(337,Translations!$A:$A,0), MATCH('Project Information'!$C$4,Translations!$D$1:$ZZ$1,0))</f>
        <v/>
      </c>
      <c r="BC91" s="38">
        <f>INDEX(Translations!$D:$ZZ, MATCH(76,Translations!$A:$A,0), MATCH('Project Information'!$C$4,Translations!$D$1:$ZZ$1,0))</f>
        <v/>
      </c>
      <c r="BD91" s="38">
        <f>MAX(N(0)-1,0)</f>
        <v/>
      </c>
      <c r="BE91" s="38" t="n">
        <v>2</v>
      </c>
      <c r="BF91" s="38">
        <f>BD91*BE91</f>
        <v/>
      </c>
      <c r="BH91" s="38">
        <f>INDEX(Translations!$D:$ZZ, MATCH(306,Translations!$A:$A,0), MATCH('Project Information'!$C$4,Translations!$D$1:$ZZ$1,0))</f>
        <v/>
      </c>
      <c r="BI91" s="38">
        <f>INDEX(Translations!$D:$ZZ, MATCH(175,Translations!$A:$A,0), MATCH('Project Information'!$C$4,Translations!$D$1:$ZZ$1,0))</f>
        <v/>
      </c>
      <c r="BJ91" s="38">
        <f>INDEX(Translations!$D:$ZZ, MATCH(340,Translations!$A:$A,0), MATCH('Project Information'!$C$4,Translations!$D$1:$ZZ$1,0))</f>
        <v/>
      </c>
      <c r="BK91" s="38">
        <f>INDEX(Translations!$D:$ZZ, MATCH(75,Translations!$A:$A,0), MATCH('Project Information'!$C$4,Translations!$D$1:$ZZ$1,0))</f>
        <v/>
      </c>
      <c r="BL91" s="38">
        <f>IF(OR(TRIM(Development!$F$15)="Evet",TRIM(Development!$F$15)="Yes"),1,0)</f>
        <v/>
      </c>
      <c r="BM91" s="38" t="n">
        <v>2</v>
      </c>
      <c r="BN91" s="38">
        <f>BL91*BM91</f>
        <v/>
      </c>
    </row>
    <row r="92" ht="15" customHeight="1" s="39">
      <c r="AZ92" s="38">
        <f>INDEX(Translations!$D:$ZZ, MATCH(310,Translations!$A:$A,0), MATCH('Project Information'!$C$4,Translations!$D$1:$ZZ$1,0))</f>
        <v/>
      </c>
      <c r="BA92" s="38">
        <f>INDEX(Translations!$D:$ZZ, MATCH(185,Translations!$A:$A,0), MATCH('Project Information'!$C$4,Translations!$D$1:$ZZ$1,0))</f>
        <v/>
      </c>
      <c r="BB92" s="38">
        <f>INDEX(Translations!$D:$ZZ, MATCH(337,Translations!$A:$A,0), MATCH('Project Information'!$C$4,Translations!$D$1:$ZZ$1,0))</f>
        <v/>
      </c>
      <c r="BC92" s="38">
        <f>INDEX(Translations!$D:$ZZ, MATCH(77,Translations!$A:$A,0), MATCH('Project Information'!$C$4,Translations!$D$1:$ZZ$1,0))</f>
        <v/>
      </c>
      <c r="BD92" s="38">
        <f>MAX(N(0)-1,0)</f>
        <v/>
      </c>
      <c r="BE92" s="38" t="n">
        <v>1</v>
      </c>
      <c r="BF92" s="38">
        <f>BD92*BE92</f>
        <v/>
      </c>
      <c r="BH92" s="38">
        <f>INDEX(Translations!$D:$ZZ, MATCH(306,Translations!$A:$A,0), MATCH('Project Information'!$C$4,Translations!$D$1:$ZZ$1,0))</f>
        <v/>
      </c>
      <c r="BI92" s="38">
        <f>INDEX(Translations!$D:$ZZ, MATCH(175,Translations!$A:$A,0), MATCH('Project Information'!$C$4,Translations!$D$1:$ZZ$1,0))</f>
        <v/>
      </c>
      <c r="BJ92" s="38">
        <f>INDEX(Translations!$D:$ZZ, MATCH(340,Translations!$A:$A,0), MATCH('Project Information'!$C$4,Translations!$D$1:$ZZ$1,0))</f>
        <v/>
      </c>
      <c r="BK92" s="38">
        <f>INDEX(Translations!$D:$ZZ, MATCH(76,Translations!$A:$A,0), MATCH('Project Information'!$C$4,Translations!$D$1:$ZZ$1,0))</f>
        <v/>
      </c>
      <c r="BL92" s="38">
        <f>IF(OR(TRIM(Development!$F$15)="Evet",TRIM(Development!$F$15)="Yes"),1,0)</f>
        <v/>
      </c>
      <c r="BM92" s="38" t="n">
        <v>1</v>
      </c>
      <c r="BN92" s="38">
        <f>BL92*BM92</f>
        <v/>
      </c>
    </row>
    <row r="93" ht="15" customHeight="1" s="39">
      <c r="AZ93" s="38">
        <f>INDEX(Translations!$D:$ZZ, MATCH(310,Translations!$A:$A,0), MATCH('Project Information'!$C$4,Translations!$D$1:$ZZ$1,0))</f>
        <v/>
      </c>
      <c r="BA93" s="38">
        <f>INDEX(Translations!$D:$ZZ, MATCH(185,Translations!$A:$A,0), MATCH('Project Information'!$C$4,Translations!$D$1:$ZZ$1,0))</f>
        <v/>
      </c>
      <c r="BB93" s="38">
        <f>INDEX(Translations!$D:$ZZ, MATCH(338,Translations!$A:$A,0), MATCH('Project Information'!$C$4,Translations!$D$1:$ZZ$1,0))</f>
        <v/>
      </c>
      <c r="BC93" s="38">
        <f>INDEX(Translations!$D:$ZZ, MATCH(76,Translations!$A:$A,0), MATCH('Project Information'!$C$4,Translations!$D$1:$ZZ$1,0))</f>
        <v/>
      </c>
      <c r="BD93" s="38">
        <f>MAX(N(0)-1,0)</f>
        <v/>
      </c>
      <c r="BE93" s="38" t="n">
        <v>2</v>
      </c>
      <c r="BF93" s="38">
        <f>BD93*BE93</f>
        <v/>
      </c>
      <c r="BH93" s="38">
        <f>INDEX(Translations!$D:$ZZ, MATCH(306,Translations!$A:$A,0), MATCH('Project Information'!$C$4,Translations!$D$1:$ZZ$1,0))</f>
        <v/>
      </c>
      <c r="BI93" s="38">
        <f>INDEX(Translations!$D:$ZZ, MATCH(175,Translations!$A:$A,0), MATCH('Project Information'!$C$4,Translations!$D$1:$ZZ$1,0))</f>
        <v/>
      </c>
      <c r="BJ93" s="38">
        <f>INDEX(Translations!$D:$ZZ, MATCH(340,Translations!$A:$A,0), MATCH('Project Information'!$C$4,Translations!$D$1:$ZZ$1,0))</f>
        <v/>
      </c>
      <c r="BK93" s="38">
        <f>INDEX(Translations!$D:$ZZ, MATCH(79,Translations!$A:$A,0), MATCH('Project Information'!$C$4,Translations!$D$1:$ZZ$1,0))</f>
        <v/>
      </c>
      <c r="BL93" s="38">
        <f>IF(OR(TRIM(Development!$F$15)="Evet",TRIM(Development!$F$15)="Yes"),1,0)</f>
        <v/>
      </c>
      <c r="BM93" s="38" t="n">
        <v>2</v>
      </c>
      <c r="BN93" s="38">
        <f>BL93*BM93</f>
        <v/>
      </c>
    </row>
    <row r="94" ht="15" customHeight="1" s="39">
      <c r="AZ94" s="38">
        <f>INDEX(Translations!$D:$ZZ, MATCH(310,Translations!$A:$A,0), MATCH('Project Information'!$C$4,Translations!$D$1:$ZZ$1,0))</f>
        <v/>
      </c>
      <c r="BA94" s="38">
        <f>INDEX(Translations!$D:$ZZ, MATCH(185,Translations!$A:$A,0), MATCH('Project Information'!$C$4,Translations!$D$1:$ZZ$1,0))</f>
        <v/>
      </c>
      <c r="BB94" s="38">
        <f>INDEX(Translations!$D:$ZZ, MATCH(338,Translations!$A:$A,0), MATCH('Project Information'!$C$4,Translations!$D$1:$ZZ$1,0))</f>
        <v/>
      </c>
      <c r="BC94" s="38">
        <f>INDEX(Translations!$D:$ZZ, MATCH(77,Translations!$A:$A,0), MATCH('Project Information'!$C$4,Translations!$D$1:$ZZ$1,0))</f>
        <v/>
      </c>
      <c r="BD94" s="38">
        <f>MAX(N(0)-1,0)</f>
        <v/>
      </c>
      <c r="BE94" s="38" t="n">
        <v>1</v>
      </c>
      <c r="BF94" s="38">
        <f>BD94*BE94</f>
        <v/>
      </c>
      <c r="BH94" s="38">
        <f>INDEX(Translations!$D:$ZZ, MATCH(306,Translations!$A:$A,0), MATCH('Project Information'!$C$4,Translations!$D$1:$ZZ$1,0))</f>
        <v/>
      </c>
      <c r="BI94" s="38">
        <f>INDEX(Translations!$D:$ZZ, MATCH(209,Translations!$A:$A,0), MATCH('Project Information'!$C$4,Translations!$D$1:$ZZ$1,0))</f>
        <v/>
      </c>
      <c r="BJ94" s="38">
        <f>INDEX(Translations!$D:$ZZ, MATCH(346,Translations!$A:$A,0), MATCH('Project Information'!$C$4,Translations!$D$1:$ZZ$1,0))</f>
        <v/>
      </c>
      <c r="BK94" s="38">
        <f>INDEX(Translations!$D:$ZZ, MATCH(78,Translations!$A:$A,0), MATCH('Project Information'!$C$4,Translations!$D$1:$ZZ$1,0))</f>
        <v/>
      </c>
      <c r="BL94" s="38">
        <f>IF(OR(TRIM(Development!$F$18)="Evet",TRIM(Development!$F$18)="Yes"),1,0)</f>
        <v/>
      </c>
      <c r="BM94" s="38" t="n">
        <v>20</v>
      </c>
      <c r="BN94" s="38">
        <f>BL94*BM94</f>
        <v/>
      </c>
    </row>
    <row r="95" ht="15" customHeight="1" s="39">
      <c r="AZ95" s="38">
        <f>INDEX(Translations!$D:$ZZ, MATCH(310,Translations!$A:$A,0), MATCH('Project Information'!$C$4,Translations!$D$1:$ZZ$1,0))</f>
        <v/>
      </c>
      <c r="BA95" s="38">
        <f>INDEX(Translations!$D:$ZZ, MATCH(185,Translations!$A:$A,0), MATCH('Project Information'!$C$4,Translations!$D$1:$ZZ$1,0))</f>
        <v/>
      </c>
      <c r="BB95" s="38">
        <f>INDEX(Translations!$D:$ZZ, MATCH(339,Translations!$A:$A,0), MATCH('Project Information'!$C$4,Translations!$D$1:$ZZ$1,0))</f>
        <v/>
      </c>
      <c r="BC95" s="38">
        <f>INDEX(Translations!$D:$ZZ, MATCH(76,Translations!$A:$A,0), MATCH('Project Information'!$C$4,Translations!$D$1:$ZZ$1,0))</f>
        <v/>
      </c>
      <c r="BD95" s="38">
        <f>MAX(N(0)-1,0)</f>
        <v/>
      </c>
      <c r="BE95" s="38" t="n">
        <v>2</v>
      </c>
      <c r="BF95" s="38">
        <f>BD95*BE95</f>
        <v/>
      </c>
      <c r="BH95" s="38">
        <f>INDEX(Translations!$D:$ZZ, MATCH(306,Translations!$A:$A,0), MATCH('Project Information'!$C$4,Translations!$D$1:$ZZ$1,0))</f>
        <v/>
      </c>
      <c r="BI95" s="38">
        <f>INDEX(Translations!$D:$ZZ, MATCH(209,Translations!$A:$A,0), MATCH('Project Information'!$C$4,Translations!$D$1:$ZZ$1,0))</f>
        <v/>
      </c>
      <c r="BJ95" s="38">
        <f>INDEX(Translations!$D:$ZZ, MATCH(341,Translations!$A:$A,0), MATCH('Project Information'!$C$4,Translations!$D$1:$ZZ$1,0))</f>
        <v/>
      </c>
      <c r="BK95" s="38">
        <f>INDEX(Translations!$D:$ZZ, MATCH(75,Translations!$A:$A,0), MATCH('Project Information'!$C$4,Translations!$D$1:$ZZ$1,0))</f>
        <v/>
      </c>
      <c r="BL95" s="38">
        <f>IF(OR(TRIM(Development!$F$18)="Evet",TRIM(Development!$F$18)="Yes"),1,0)</f>
        <v/>
      </c>
      <c r="BM95" s="38" t="n">
        <v>4</v>
      </c>
      <c r="BN95" s="38">
        <f>BL95*BM95</f>
        <v/>
      </c>
    </row>
    <row r="96" ht="15" customHeight="1" s="39">
      <c r="AZ96" s="38">
        <f>INDEX(Translations!$D:$ZZ, MATCH(310,Translations!$A:$A,0), MATCH('Project Information'!$C$4,Translations!$D$1:$ZZ$1,0))</f>
        <v/>
      </c>
      <c r="BA96" s="38">
        <f>INDEX(Translations!$D:$ZZ, MATCH(185,Translations!$A:$A,0), MATCH('Project Information'!$C$4,Translations!$D$1:$ZZ$1,0))</f>
        <v/>
      </c>
      <c r="BB96" s="38">
        <f>INDEX(Translations!$D:$ZZ, MATCH(339,Translations!$A:$A,0), MATCH('Project Information'!$C$4,Translations!$D$1:$ZZ$1,0))</f>
        <v/>
      </c>
      <c r="BC96" s="38">
        <f>INDEX(Translations!$D:$ZZ, MATCH(77,Translations!$A:$A,0), MATCH('Project Information'!$C$4,Translations!$D$1:$ZZ$1,0))</f>
        <v/>
      </c>
      <c r="BD96" s="38">
        <f>MAX(N(0)-1,0)</f>
        <v/>
      </c>
      <c r="BE96" s="38" t="n">
        <v>1</v>
      </c>
      <c r="BF96" s="38">
        <f>BD96*BE96</f>
        <v/>
      </c>
      <c r="BH96" s="38">
        <f>INDEX(Translations!$D:$ZZ, MATCH(306,Translations!$A:$A,0), MATCH('Project Information'!$C$4,Translations!$D$1:$ZZ$1,0))</f>
        <v/>
      </c>
      <c r="BI96" s="38">
        <f>INDEX(Translations!$D:$ZZ, MATCH(209,Translations!$A:$A,0), MATCH('Project Information'!$C$4,Translations!$D$1:$ZZ$1,0))</f>
        <v/>
      </c>
      <c r="BJ96" s="38">
        <f>INDEX(Translations!$D:$ZZ, MATCH(341,Translations!$A:$A,0), MATCH('Project Information'!$C$4,Translations!$D$1:$ZZ$1,0))</f>
        <v/>
      </c>
      <c r="BK96" s="38">
        <f>INDEX(Translations!$D:$ZZ, MATCH(76,Translations!$A:$A,0), MATCH('Project Information'!$C$4,Translations!$D$1:$ZZ$1,0))</f>
        <v/>
      </c>
      <c r="BL96" s="38">
        <f>IF(OR(TRIM(Development!$F$18)="Evet",TRIM(Development!$F$18)="Yes"),1,0)</f>
        <v/>
      </c>
      <c r="BM96" s="38" t="n">
        <v>2</v>
      </c>
      <c r="BN96" s="38">
        <f>BL96*BM96</f>
        <v/>
      </c>
    </row>
    <row r="97" ht="15" customHeight="1" s="39">
      <c r="AZ97" s="38">
        <f>INDEX(Translations!$D:$ZZ, MATCH(310,Translations!$A:$A,0), MATCH('Project Information'!$C$4,Translations!$D$1:$ZZ$1,0))</f>
        <v/>
      </c>
      <c r="BA97" s="38">
        <f>INDEX(Translations!$D:$ZZ, MATCH(185,Translations!$A:$A,0), MATCH('Project Information'!$C$4,Translations!$D$1:$ZZ$1,0))</f>
        <v/>
      </c>
      <c r="BB97" s="38">
        <f>INDEX(Translations!$D:$ZZ, MATCH(340,Translations!$A:$A,0), MATCH('Project Information'!$C$4,Translations!$D$1:$ZZ$1,0))</f>
        <v/>
      </c>
      <c r="BC97" s="38">
        <f>INDEX(Translations!$D:$ZZ, MATCH(76,Translations!$A:$A,0), MATCH('Project Information'!$C$4,Translations!$D$1:$ZZ$1,0))</f>
        <v/>
      </c>
      <c r="BD97" s="38">
        <f>MAX(N(0)-1,0)</f>
        <v/>
      </c>
      <c r="BE97" s="38" t="n">
        <v>2</v>
      </c>
      <c r="BF97" s="38">
        <f>BD97*BE97</f>
        <v/>
      </c>
      <c r="BH97" s="38">
        <f>INDEX(Translations!$D:$ZZ, MATCH(306,Translations!$A:$A,0), MATCH('Project Information'!$C$4,Translations!$D$1:$ZZ$1,0))</f>
        <v/>
      </c>
      <c r="BI97" s="38">
        <f>INDEX(Translations!$D:$ZZ, MATCH(209,Translations!$A:$A,0), MATCH('Project Information'!$C$4,Translations!$D$1:$ZZ$1,0))</f>
        <v/>
      </c>
      <c r="BJ97" s="38">
        <f>INDEX(Translations!$D:$ZZ, MATCH(341,Translations!$A:$A,0), MATCH('Project Information'!$C$4,Translations!$D$1:$ZZ$1,0))</f>
        <v/>
      </c>
      <c r="BK97" s="38">
        <f>INDEX(Translations!$D:$ZZ, MATCH(79,Translations!$A:$A,0), MATCH('Project Information'!$C$4,Translations!$D$1:$ZZ$1,0))</f>
        <v/>
      </c>
      <c r="BL97" s="38">
        <f>IF(OR(TRIM(Development!$F$18)="Evet",TRIM(Development!$F$18)="Yes"),1,0)</f>
        <v/>
      </c>
      <c r="BM97" s="38" t="n">
        <v>8</v>
      </c>
      <c r="BN97" s="38">
        <f>BL97*BM97</f>
        <v/>
      </c>
    </row>
    <row r="98" ht="15" customHeight="1" s="39">
      <c r="AZ98" s="38">
        <f>INDEX(Translations!$D:$ZZ, MATCH(310,Translations!$A:$A,0), MATCH('Project Information'!$C$4,Translations!$D$1:$ZZ$1,0))</f>
        <v/>
      </c>
      <c r="BA98" s="38">
        <f>INDEX(Translations!$D:$ZZ, MATCH(185,Translations!$A:$A,0), MATCH('Project Information'!$C$4,Translations!$D$1:$ZZ$1,0))</f>
        <v/>
      </c>
      <c r="BB98" s="38">
        <f>INDEX(Translations!$D:$ZZ, MATCH(340,Translations!$A:$A,0), MATCH('Project Information'!$C$4,Translations!$D$1:$ZZ$1,0))</f>
        <v/>
      </c>
      <c r="BC98" s="38">
        <f>INDEX(Translations!$D:$ZZ, MATCH(77,Translations!$A:$A,0), MATCH('Project Information'!$C$4,Translations!$D$1:$ZZ$1,0))</f>
        <v/>
      </c>
      <c r="BD98" s="38">
        <f>MAX(N(0)-1,0)</f>
        <v/>
      </c>
      <c r="BE98" s="38" t="n">
        <v>1</v>
      </c>
      <c r="BF98" s="38">
        <f>BD98*BE98</f>
        <v/>
      </c>
      <c r="BH98" s="38">
        <f>INDEX(Translations!$D:$ZZ, MATCH(306,Translations!$A:$A,0), MATCH('Project Information'!$C$4,Translations!$D$1:$ZZ$1,0))</f>
        <v/>
      </c>
      <c r="BI98" s="38">
        <f>INDEX(Translations!$D:$ZZ, MATCH(169,Translations!$A:$A,0), MATCH('Project Information'!$C$4,Translations!$D$1:$ZZ$1,0))</f>
        <v/>
      </c>
      <c r="BJ98" s="38">
        <f>INDEX(Translations!$D:$ZZ, MATCH(346,Translations!$A:$A,0), MATCH('Project Information'!$C$4,Translations!$D$1:$ZZ$1,0))</f>
        <v/>
      </c>
      <c r="BK98" s="38">
        <f>INDEX(Translations!$D:$ZZ, MATCH(78,Translations!$A:$A,0), MATCH('Project Information'!$C$4,Translations!$D$1:$ZZ$1,0))</f>
        <v/>
      </c>
      <c r="BL98" s="38">
        <f>IF(OR(TRIM(Development!$F$13)="Evet",TRIM(Development!$F$13)="Yes"),1,0)</f>
        <v/>
      </c>
      <c r="BM98" s="38" t="n">
        <v>14</v>
      </c>
      <c r="BN98" s="38">
        <f>BL98*BM98</f>
        <v/>
      </c>
    </row>
    <row r="99" ht="15" customHeight="1" s="39">
      <c r="AZ99" s="38">
        <f>INDEX(Translations!$D:$ZZ, MATCH(310,Translations!$A:$A,0), MATCH('Project Information'!$C$4,Translations!$D$1:$ZZ$1,0))</f>
        <v/>
      </c>
      <c r="BA99" s="38">
        <f>INDEX(Translations!$D:$ZZ, MATCH(185,Translations!$A:$A,0), MATCH('Project Information'!$C$4,Translations!$D$1:$ZZ$1,0))</f>
        <v/>
      </c>
      <c r="BB99" s="38">
        <f>INDEX(Translations!$D:$ZZ, MATCH(341,Translations!$A:$A,0), MATCH('Project Information'!$C$4,Translations!$D$1:$ZZ$1,0))</f>
        <v/>
      </c>
      <c r="BC99" s="38">
        <f>INDEX(Translations!$D:$ZZ, MATCH(76,Translations!$A:$A,0), MATCH('Project Information'!$C$4,Translations!$D$1:$ZZ$1,0))</f>
        <v/>
      </c>
      <c r="BD99" s="38">
        <f>MAX(N(0)-1,0)</f>
        <v/>
      </c>
      <c r="BE99" s="38" t="n">
        <v>2</v>
      </c>
      <c r="BF99" s="38">
        <f>BD99*BE99</f>
        <v/>
      </c>
      <c r="BH99" s="38">
        <f>INDEX(Translations!$D:$ZZ, MATCH(306,Translations!$A:$A,0), MATCH('Project Information'!$C$4,Translations!$D$1:$ZZ$1,0))</f>
        <v/>
      </c>
      <c r="BI99" s="38">
        <f>INDEX(Translations!$D:$ZZ, MATCH(288,Translations!$A:$A,0), MATCH('Project Information'!$C$4,Translations!$D$1:$ZZ$1,0))</f>
        <v/>
      </c>
      <c r="BJ99" s="38">
        <f>INDEX(Translations!$D:$ZZ, MATCH(338,Translations!$A:$A,0), MATCH('Project Information'!$C$4,Translations!$D$1:$ZZ$1,0))</f>
        <v/>
      </c>
      <c r="BK99" s="38">
        <f>INDEX(Translations!$D:$ZZ, MATCH(75,Translations!$A:$A,0), MATCH('Project Information'!$C$4,Translations!$D$1:$ZZ$1,0))</f>
        <v/>
      </c>
      <c r="BL99" s="38">
        <f>IF(OR(TRIM(Development!$F$13)="Evet",TRIM(Development!$F$13)="Yes"),1,0)</f>
        <v/>
      </c>
      <c r="BM99" s="38" t="n">
        <v>3</v>
      </c>
      <c r="BN99" s="38">
        <f>BL99*BM99</f>
        <v/>
      </c>
    </row>
    <row r="100" ht="15" customHeight="1" s="39">
      <c r="AZ100" s="38">
        <f>INDEX(Translations!$D:$ZZ, MATCH(310,Translations!$A:$A,0), MATCH('Project Information'!$C$4,Translations!$D$1:$ZZ$1,0))</f>
        <v/>
      </c>
      <c r="BA100" s="38">
        <f>INDEX(Translations!$D:$ZZ, MATCH(185,Translations!$A:$A,0), MATCH('Project Information'!$C$4,Translations!$D$1:$ZZ$1,0))</f>
        <v/>
      </c>
      <c r="BB100" s="38">
        <f>INDEX(Translations!$D:$ZZ, MATCH(341,Translations!$A:$A,0), MATCH('Project Information'!$C$4,Translations!$D$1:$ZZ$1,0))</f>
        <v/>
      </c>
      <c r="BC100" s="38">
        <f>INDEX(Translations!$D:$ZZ, MATCH(77,Translations!$A:$A,0), MATCH('Project Information'!$C$4,Translations!$D$1:$ZZ$1,0))</f>
        <v/>
      </c>
      <c r="BD100" s="38">
        <f>MAX(N(0)-1,0)</f>
        <v/>
      </c>
      <c r="BE100" s="38" t="n">
        <v>1</v>
      </c>
      <c r="BF100" s="38">
        <f>BD100*BE100</f>
        <v/>
      </c>
      <c r="BH100" s="38">
        <f>INDEX(Translations!$D:$ZZ, MATCH(306,Translations!$A:$A,0), MATCH('Project Information'!$C$4,Translations!$D$1:$ZZ$1,0))</f>
        <v/>
      </c>
      <c r="BI100" s="38">
        <f>INDEX(Translations!$D:$ZZ, MATCH(288,Translations!$A:$A,0), MATCH('Project Information'!$C$4,Translations!$D$1:$ZZ$1,0))</f>
        <v/>
      </c>
      <c r="BJ100" s="38">
        <f>INDEX(Translations!$D:$ZZ, MATCH(338,Translations!$A:$A,0), MATCH('Project Information'!$C$4,Translations!$D$1:$ZZ$1,0))</f>
        <v/>
      </c>
      <c r="BK100" s="38">
        <f>INDEX(Translations!$D:$ZZ, MATCH(76,Translations!$A:$A,0), MATCH('Project Information'!$C$4,Translations!$D$1:$ZZ$1,0))</f>
        <v/>
      </c>
      <c r="BL100" s="38">
        <f>IF(OR(TRIM(Development!$F$13)="Evet",TRIM(Development!$F$13)="Yes"),1,0)</f>
        <v/>
      </c>
      <c r="BM100" s="38" t="n">
        <v>2</v>
      </c>
      <c r="BN100" s="38">
        <f>BL100*BM100</f>
        <v/>
      </c>
    </row>
    <row r="101" ht="15" customHeight="1" s="39">
      <c r="AZ101" s="38">
        <f>INDEX(Translations!$D:$ZZ, MATCH(310,Translations!$A:$A,0), MATCH('Project Information'!$C$4,Translations!$D$1:$ZZ$1,0))</f>
        <v/>
      </c>
      <c r="BA101" s="38">
        <f>INDEX(Translations!$D:$ZZ, MATCH(185,Translations!$A:$A,0), MATCH('Project Information'!$C$4,Translations!$D$1:$ZZ$1,0))</f>
        <v/>
      </c>
      <c r="BB101" s="38">
        <f>INDEX(Translations!$D:$ZZ, MATCH(342,Translations!$A:$A,0), MATCH('Project Information'!$C$4,Translations!$D$1:$ZZ$1,0))</f>
        <v/>
      </c>
      <c r="BC101" s="38">
        <f>INDEX(Translations!$D:$ZZ, MATCH(76,Translations!$A:$A,0), MATCH('Project Information'!$C$4,Translations!$D$1:$ZZ$1,0))</f>
        <v/>
      </c>
      <c r="BD101" s="38">
        <f>MAX(N(0)-1,0)</f>
        <v/>
      </c>
      <c r="BE101" s="38" t="n">
        <v>2</v>
      </c>
      <c r="BF101" s="38">
        <f>BD101*BE101</f>
        <v/>
      </c>
      <c r="BH101" s="38">
        <f>INDEX(Translations!$D:$ZZ, MATCH(306,Translations!$A:$A,0), MATCH('Project Information'!$C$4,Translations!$D$1:$ZZ$1,0))</f>
        <v/>
      </c>
      <c r="BI101" s="38">
        <f>INDEX(Translations!$D:$ZZ, MATCH(288,Translations!$A:$A,0), MATCH('Project Information'!$C$4,Translations!$D$1:$ZZ$1,0))</f>
        <v/>
      </c>
      <c r="BJ101" s="38">
        <f>INDEX(Translations!$D:$ZZ, MATCH(338,Translations!$A:$A,0), MATCH('Project Information'!$C$4,Translations!$D$1:$ZZ$1,0))</f>
        <v/>
      </c>
      <c r="BK101" s="38">
        <f>INDEX(Translations!$D:$ZZ, MATCH(79,Translations!$A:$A,0), MATCH('Project Information'!$C$4,Translations!$D$1:$ZZ$1,0))</f>
        <v/>
      </c>
      <c r="BL101" s="38">
        <f>IF(OR(TRIM(Development!$F$13)="Evet",TRIM(Development!$F$13)="Yes"),1,0)</f>
        <v/>
      </c>
      <c r="BM101" s="38" t="n">
        <v>4</v>
      </c>
      <c r="BN101" s="38">
        <f>BL101*BM101</f>
        <v/>
      </c>
    </row>
    <row r="102" ht="15" customHeight="1" s="39">
      <c r="AZ102" s="38">
        <f>INDEX(Translations!$D:$ZZ, MATCH(310,Translations!$A:$A,0), MATCH('Project Information'!$C$4,Translations!$D$1:$ZZ$1,0))</f>
        <v/>
      </c>
      <c r="BA102" s="38">
        <f>INDEX(Translations!$D:$ZZ, MATCH(185,Translations!$A:$A,0), MATCH('Project Information'!$C$4,Translations!$D$1:$ZZ$1,0))</f>
        <v/>
      </c>
      <c r="BB102" s="38">
        <f>INDEX(Translations!$D:$ZZ, MATCH(342,Translations!$A:$A,0), MATCH('Project Information'!$C$4,Translations!$D$1:$ZZ$1,0))</f>
        <v/>
      </c>
      <c r="BC102" s="38">
        <f>INDEX(Translations!$D:$ZZ, MATCH(77,Translations!$A:$A,0), MATCH('Project Information'!$C$4,Translations!$D$1:$ZZ$1,0))</f>
        <v/>
      </c>
      <c r="BD102" s="38">
        <f>MAX(N(0)-1,0)</f>
        <v/>
      </c>
      <c r="BE102" s="38" t="n">
        <v>1</v>
      </c>
      <c r="BF102" s="38">
        <f>BD102*BE102</f>
        <v/>
      </c>
      <c r="BH102" s="38">
        <f>INDEX(Translations!$D:$ZZ, MATCH(306,Translations!$A:$A,0), MATCH('Project Information'!$C$4,Translations!$D$1:$ZZ$1,0))</f>
        <v/>
      </c>
      <c r="BI102" s="38">
        <f>INDEX(Translations!$D:$ZZ, MATCH(267,Translations!$A:$A,0), MATCH('Project Information'!$C$4,Translations!$D$1:$ZZ$1,0))</f>
        <v/>
      </c>
      <c r="BJ102" s="38">
        <f>INDEX(Translations!$D:$ZZ, MATCH(346,Translations!$A:$A,0), MATCH('Project Information'!$C$4,Translations!$D$1:$ZZ$1,0))</f>
        <v/>
      </c>
      <c r="BK102" s="38">
        <f>INDEX(Translations!$D:$ZZ, MATCH(78,Translations!$A:$A,0), MATCH('Project Information'!$C$4,Translations!$D$1:$ZZ$1,0))</f>
        <v/>
      </c>
      <c r="BL102" s="38">
        <f>IF(OR(TRIM("")="Evet",TRIM("")="Yes"),1,0)</f>
        <v/>
      </c>
      <c r="BM102" s="38" t="n">
        <v>8</v>
      </c>
      <c r="BN102" s="38">
        <f>BL102*BM102</f>
        <v/>
      </c>
    </row>
    <row r="103" ht="15" customHeight="1" s="39">
      <c r="AZ103" s="38">
        <f>INDEX(Translations!$D:$ZZ, MATCH(310,Translations!$A:$A,0), MATCH('Project Information'!$C$4,Translations!$D$1:$ZZ$1,0))</f>
        <v/>
      </c>
      <c r="BA103" s="38">
        <f>INDEX(Translations!$D:$ZZ, MATCH(185,Translations!$A:$A,0), MATCH('Project Information'!$C$4,Translations!$D$1:$ZZ$1,0))</f>
        <v/>
      </c>
      <c r="BB103" s="38">
        <f>INDEX(Translations!$D:$ZZ, MATCH(343,Translations!$A:$A,0), MATCH('Project Information'!$C$4,Translations!$D$1:$ZZ$1,0))</f>
        <v/>
      </c>
      <c r="BC103" s="38">
        <f>INDEX(Translations!$D:$ZZ, MATCH(76,Translations!$A:$A,0), MATCH('Project Information'!$C$4,Translations!$D$1:$ZZ$1,0))</f>
        <v/>
      </c>
      <c r="BD103" s="38">
        <f>MAX(N(0)-1,0)</f>
        <v/>
      </c>
      <c r="BE103" s="38" t="n">
        <v>2</v>
      </c>
      <c r="BF103" s="38">
        <f>BD103*BE103</f>
        <v/>
      </c>
      <c r="BH103" s="38">
        <f>INDEX(Translations!$D:$ZZ, MATCH(306,Translations!$A:$A,0), MATCH('Project Information'!$C$4,Translations!$D$1:$ZZ$1,0))</f>
        <v/>
      </c>
      <c r="BI103" s="38">
        <f>INDEX(Translations!$D:$ZZ, MATCH(267,Translations!$A:$A,0), MATCH('Project Information'!$C$4,Translations!$D$1:$ZZ$1,0))</f>
        <v/>
      </c>
      <c r="BJ103" s="38">
        <f>INDEX(Translations!$D:$ZZ, MATCH(338,Translations!$A:$A,0), MATCH('Project Information'!$C$4,Translations!$D$1:$ZZ$1,0))</f>
        <v/>
      </c>
      <c r="BK103" s="38">
        <f>INDEX(Translations!$D:$ZZ, MATCH(75,Translations!$A:$A,0), MATCH('Project Information'!$C$4,Translations!$D$1:$ZZ$1,0))</f>
        <v/>
      </c>
      <c r="BL103" s="38">
        <f>IF(OR(TRIM("")="Evet",TRIM("")="Yes"),1,0)</f>
        <v/>
      </c>
      <c r="BM103" s="38" t="n">
        <v>2</v>
      </c>
      <c r="BN103" s="38">
        <f>BL103*BM103</f>
        <v/>
      </c>
    </row>
    <row r="104" ht="15" customHeight="1" s="39">
      <c r="AZ104" s="38">
        <f>INDEX(Translations!$D:$ZZ, MATCH(310,Translations!$A:$A,0), MATCH('Project Information'!$C$4,Translations!$D$1:$ZZ$1,0))</f>
        <v/>
      </c>
      <c r="BA104" s="38">
        <f>INDEX(Translations!$D:$ZZ, MATCH(185,Translations!$A:$A,0), MATCH('Project Information'!$C$4,Translations!$D$1:$ZZ$1,0))</f>
        <v/>
      </c>
      <c r="BB104" s="38">
        <f>INDEX(Translations!$D:$ZZ, MATCH(343,Translations!$A:$A,0), MATCH('Project Information'!$C$4,Translations!$D$1:$ZZ$1,0))</f>
        <v/>
      </c>
      <c r="BC104" s="38">
        <f>INDEX(Translations!$D:$ZZ, MATCH(77,Translations!$A:$A,0), MATCH('Project Information'!$C$4,Translations!$D$1:$ZZ$1,0))</f>
        <v/>
      </c>
      <c r="BD104" s="38">
        <f>MAX(N(0)-1,0)</f>
        <v/>
      </c>
      <c r="BE104" s="38" t="n">
        <v>1</v>
      </c>
      <c r="BF104" s="38">
        <f>BD104*BE104</f>
        <v/>
      </c>
      <c r="BH104" s="38">
        <f>INDEX(Translations!$D:$ZZ, MATCH(306,Translations!$A:$A,0), MATCH('Project Information'!$C$4,Translations!$D$1:$ZZ$1,0))</f>
        <v/>
      </c>
      <c r="BI104" s="38">
        <f>INDEX(Translations!$D:$ZZ, MATCH(267,Translations!$A:$A,0), MATCH('Project Information'!$C$4,Translations!$D$1:$ZZ$1,0))</f>
        <v/>
      </c>
      <c r="BJ104" s="38">
        <f>INDEX(Translations!$D:$ZZ, MATCH(338,Translations!$A:$A,0), MATCH('Project Information'!$C$4,Translations!$D$1:$ZZ$1,0))</f>
        <v/>
      </c>
      <c r="BK104" s="38">
        <f>INDEX(Translations!$D:$ZZ, MATCH(76,Translations!$A:$A,0), MATCH('Project Information'!$C$4,Translations!$D$1:$ZZ$1,0))</f>
        <v/>
      </c>
      <c r="BL104" s="38">
        <f>IF(OR(TRIM("")="Evet",TRIM("")="Yes"),1,0)</f>
        <v/>
      </c>
      <c r="BM104" s="38" t="n">
        <v>1</v>
      </c>
      <c r="BN104" s="38">
        <f>BL104*BM104</f>
        <v/>
      </c>
    </row>
    <row r="105" ht="15" customHeight="1" s="39">
      <c r="AZ105" s="38">
        <f>INDEX(Translations!$D:$ZZ, MATCH(310,Translations!$A:$A,0), MATCH('Project Information'!$C$4,Translations!$D$1:$ZZ$1,0))</f>
        <v/>
      </c>
      <c r="BA105" s="38">
        <f>INDEX(Translations!$D:$ZZ, MATCH(185,Translations!$A:$A,0), MATCH('Project Information'!$C$4,Translations!$D$1:$ZZ$1,0))</f>
        <v/>
      </c>
      <c r="BB105" s="38">
        <f>INDEX(Translations!$D:$ZZ, MATCH(344,Translations!$A:$A,0), MATCH('Project Information'!$C$4,Translations!$D$1:$ZZ$1,0))</f>
        <v/>
      </c>
      <c r="BC105" s="38">
        <f>INDEX(Translations!$D:$ZZ, MATCH(76,Translations!$A:$A,0), MATCH('Project Information'!$C$4,Translations!$D$1:$ZZ$1,0))</f>
        <v/>
      </c>
      <c r="BD105" s="38">
        <f>MAX(N(0)-1,0)</f>
        <v/>
      </c>
      <c r="BE105" s="38" t="n">
        <v>2</v>
      </c>
      <c r="BF105" s="38">
        <f>BD105*BE105</f>
        <v/>
      </c>
      <c r="BH105" s="38">
        <f>INDEX(Translations!$D:$ZZ, MATCH(306,Translations!$A:$A,0), MATCH('Project Information'!$C$4,Translations!$D$1:$ZZ$1,0))</f>
        <v/>
      </c>
      <c r="BI105" s="38">
        <f>INDEX(Translations!$D:$ZZ, MATCH(267,Translations!$A:$A,0), MATCH('Project Information'!$C$4,Translations!$D$1:$ZZ$1,0))</f>
        <v/>
      </c>
      <c r="BJ105" s="38">
        <f>INDEX(Translations!$D:$ZZ, MATCH(338,Translations!$A:$A,0), MATCH('Project Information'!$C$4,Translations!$D$1:$ZZ$1,0))</f>
        <v/>
      </c>
      <c r="BK105" s="38">
        <f>INDEX(Translations!$D:$ZZ, MATCH(79,Translations!$A:$A,0), MATCH('Project Information'!$C$4,Translations!$D$1:$ZZ$1,0))</f>
        <v/>
      </c>
      <c r="BL105" s="38">
        <f>IF(OR(TRIM("")="Evet",TRIM("")="Yes"),1,0)</f>
        <v/>
      </c>
      <c r="BM105" s="38" t="n">
        <v>3</v>
      </c>
      <c r="BN105" s="38">
        <f>BL105*BM105</f>
        <v/>
      </c>
    </row>
    <row r="106" ht="15" customHeight="1" s="39">
      <c r="AZ106" s="38">
        <f>INDEX(Translations!$D:$ZZ, MATCH(310,Translations!$A:$A,0), MATCH('Project Information'!$C$4,Translations!$D$1:$ZZ$1,0))</f>
        <v/>
      </c>
      <c r="BA106" s="38">
        <f>INDEX(Translations!$D:$ZZ, MATCH(185,Translations!$A:$A,0), MATCH('Project Information'!$C$4,Translations!$D$1:$ZZ$1,0))</f>
        <v/>
      </c>
      <c r="BB106" s="38">
        <f>INDEX(Translations!$D:$ZZ, MATCH(344,Translations!$A:$A,0), MATCH('Project Information'!$C$4,Translations!$D$1:$ZZ$1,0))</f>
        <v/>
      </c>
      <c r="BC106" s="38">
        <f>INDEX(Translations!$D:$ZZ, MATCH(77,Translations!$A:$A,0), MATCH('Project Information'!$C$4,Translations!$D$1:$ZZ$1,0))</f>
        <v/>
      </c>
      <c r="BD106" s="38">
        <f>MAX(N(0)-1,0)</f>
        <v/>
      </c>
      <c r="BE106" s="38" t="n">
        <v>1</v>
      </c>
      <c r="BF106" s="38">
        <f>BD106*BE106</f>
        <v/>
      </c>
      <c r="BH106" s="38">
        <f>INDEX(Translations!$D:$ZZ, MATCH(306,Translations!$A:$A,0), MATCH('Project Information'!$C$4,Translations!$D$1:$ZZ$1,0))</f>
        <v/>
      </c>
      <c r="BI106" s="38">
        <f>INDEX(Translations!$D:$ZZ, MATCH(229,Translations!$A:$A,0), MATCH('Project Information'!$C$4,Translations!$D$1:$ZZ$1,0))</f>
        <v/>
      </c>
      <c r="BJ106" s="38">
        <f>INDEX(Translations!$D:$ZZ, MATCH(346,Translations!$A:$A,0), MATCH('Project Information'!$C$4,Translations!$D$1:$ZZ$1,0))</f>
        <v/>
      </c>
      <c r="BK106" s="38">
        <f>INDEX(Translations!$D:$ZZ, MATCH(78,Translations!$A:$A,0), MATCH('Project Information'!$C$4,Translations!$D$1:$ZZ$1,0))</f>
        <v/>
      </c>
      <c r="BL106" s="38">
        <f>IF(OR(TRIM(Development!$F$25)="Evet",TRIM(Development!$F$25)="Yes"),1,0)</f>
        <v/>
      </c>
      <c r="BM106" s="38" t="n">
        <v>20</v>
      </c>
      <c r="BN106" s="38">
        <f>BL106*BM106</f>
        <v/>
      </c>
    </row>
    <row r="107" ht="15" customHeight="1" s="39">
      <c r="AZ107" s="38">
        <f>INDEX(Translations!$D:$ZZ, MATCH(310,Translations!$A:$A,0), MATCH('Project Information'!$C$4,Translations!$D$1:$ZZ$1,0))</f>
        <v/>
      </c>
      <c r="BA107" s="38">
        <f>INDEX(Translations!$D:$ZZ, MATCH(185,Translations!$A:$A,0), MATCH('Project Information'!$C$4,Translations!$D$1:$ZZ$1,0))</f>
        <v/>
      </c>
      <c r="BB107" s="38">
        <f>INDEX(Translations!$D:$ZZ, MATCH(345,Translations!$A:$A,0), MATCH('Project Information'!$C$4,Translations!$D$1:$ZZ$1,0))</f>
        <v/>
      </c>
      <c r="BC107" s="38">
        <f>INDEX(Translations!$D:$ZZ, MATCH(76,Translations!$A:$A,0), MATCH('Project Information'!$C$4,Translations!$D$1:$ZZ$1,0))</f>
        <v/>
      </c>
      <c r="BD107" s="38">
        <f>MAX(N(0)-1,0)</f>
        <v/>
      </c>
      <c r="BE107" s="38" t="n">
        <v>2</v>
      </c>
      <c r="BF107" s="38">
        <f>BD107*BE107</f>
        <v/>
      </c>
      <c r="BH107" s="38">
        <f>INDEX(Translations!$D:$ZZ, MATCH(306,Translations!$A:$A,0), MATCH('Project Information'!$C$4,Translations!$D$1:$ZZ$1,0))</f>
        <v/>
      </c>
      <c r="BI107" s="38">
        <f>INDEX(Translations!$D:$ZZ, MATCH(229,Translations!$A:$A,0), MATCH('Project Information'!$C$4,Translations!$D$1:$ZZ$1,0))</f>
        <v/>
      </c>
      <c r="BJ107" s="38">
        <f>INDEX(Translations!$D:$ZZ, MATCH(338,Translations!$A:$A,0), MATCH('Project Information'!$C$4,Translations!$D$1:$ZZ$1,0))</f>
        <v/>
      </c>
      <c r="BK107" s="38">
        <f>INDEX(Translations!$D:$ZZ, MATCH(75,Translations!$A:$A,0), MATCH('Project Information'!$C$4,Translations!$D$1:$ZZ$1,0))</f>
        <v/>
      </c>
      <c r="BL107" s="38">
        <f>IF(OR(TRIM(Development!$F$25)="Evet",TRIM(Development!$F$25)="Yes"),1,0)</f>
        <v/>
      </c>
      <c r="BM107" s="38" t="n">
        <v>2</v>
      </c>
      <c r="BN107" s="38">
        <f>BL107*BM107</f>
        <v/>
      </c>
    </row>
    <row r="108" ht="15" customHeight="1" s="39">
      <c r="AZ108" s="38">
        <f>INDEX(Translations!$D:$ZZ, MATCH(310,Translations!$A:$A,0), MATCH('Project Information'!$C$4,Translations!$D$1:$ZZ$1,0))</f>
        <v/>
      </c>
      <c r="BA108" s="38">
        <f>INDEX(Translations!$D:$ZZ, MATCH(185,Translations!$A:$A,0), MATCH('Project Information'!$C$4,Translations!$D$1:$ZZ$1,0))</f>
        <v/>
      </c>
      <c r="BB108" s="38">
        <f>INDEX(Translations!$D:$ZZ, MATCH(345,Translations!$A:$A,0), MATCH('Project Information'!$C$4,Translations!$D$1:$ZZ$1,0))</f>
        <v/>
      </c>
      <c r="BC108" s="38">
        <f>INDEX(Translations!$D:$ZZ, MATCH(77,Translations!$A:$A,0), MATCH('Project Information'!$C$4,Translations!$D$1:$ZZ$1,0))</f>
        <v/>
      </c>
      <c r="BD108" s="38">
        <f>MAX(N(0)-1,0)</f>
        <v/>
      </c>
      <c r="BE108" s="38" t="n">
        <v>1</v>
      </c>
      <c r="BF108" s="38">
        <f>BD108*BE108</f>
        <v/>
      </c>
      <c r="BH108" s="38">
        <f>INDEX(Translations!$D:$ZZ, MATCH(306,Translations!$A:$A,0), MATCH('Project Information'!$C$4,Translations!$D$1:$ZZ$1,0))</f>
        <v/>
      </c>
      <c r="BI108" s="38">
        <f>INDEX(Translations!$D:$ZZ, MATCH(229,Translations!$A:$A,0), MATCH('Project Information'!$C$4,Translations!$D$1:$ZZ$1,0))</f>
        <v/>
      </c>
      <c r="BJ108" s="38">
        <f>INDEX(Translations!$D:$ZZ, MATCH(338,Translations!$A:$A,0), MATCH('Project Information'!$C$4,Translations!$D$1:$ZZ$1,0))</f>
        <v/>
      </c>
      <c r="BK108" s="38">
        <f>INDEX(Translations!$D:$ZZ, MATCH(76,Translations!$A:$A,0), MATCH('Project Information'!$C$4,Translations!$D$1:$ZZ$1,0))</f>
        <v/>
      </c>
      <c r="BL108" s="38">
        <f>IF(OR(TRIM(Development!$F$25)="Evet",TRIM(Development!$F$25)="Yes"),1,0)</f>
        <v/>
      </c>
      <c r="BM108" s="38" t="n">
        <v>1</v>
      </c>
      <c r="BN108" s="38">
        <f>BL108*BM108</f>
        <v/>
      </c>
    </row>
    <row r="109" ht="15" customHeight="1" s="39">
      <c r="AZ109" s="38">
        <f>INDEX(Translations!$D:$ZZ, MATCH(310,Translations!$A:$A,0), MATCH('Project Information'!$C$4,Translations!$D$1:$ZZ$1,0))</f>
        <v/>
      </c>
      <c r="BA109" s="38">
        <f>INDEX(Translations!$D:$ZZ, MATCH(265,Translations!$A:$A,0), MATCH('Project Information'!$C$4,Translations!$D$1:$ZZ$1,0))</f>
        <v/>
      </c>
      <c r="BB109" s="38">
        <f>INDEX(Translations!$D:$ZZ, MATCH(344,Translations!$A:$A,0), MATCH('Project Information'!$C$4,Translations!$D$1:$ZZ$1,0))</f>
        <v/>
      </c>
      <c r="BC109" s="38">
        <f>INDEX(Translations!$D:$ZZ, MATCH(75,Translations!$A:$A,0), MATCH('Project Information'!$C$4,Translations!$D$1:$ZZ$1,0))</f>
        <v/>
      </c>
      <c r="BD109" s="38">
        <f>IF(OR(TRIM("")="Evet",TRIM("")="Yes"),1,0)</f>
        <v/>
      </c>
      <c r="BE109" s="38" t="n">
        <v>2</v>
      </c>
      <c r="BF109" s="38">
        <f>BD109*BE109</f>
        <v/>
      </c>
      <c r="BH109" s="38">
        <f>INDEX(Translations!$D:$ZZ, MATCH(306,Translations!$A:$A,0), MATCH('Project Information'!$C$4,Translations!$D$1:$ZZ$1,0))</f>
        <v/>
      </c>
      <c r="BI109" s="38">
        <f>INDEX(Translations!$D:$ZZ, MATCH(229,Translations!$A:$A,0), MATCH('Project Information'!$C$4,Translations!$D$1:$ZZ$1,0))</f>
        <v/>
      </c>
      <c r="BJ109" s="38">
        <f>INDEX(Translations!$D:$ZZ, MATCH(338,Translations!$A:$A,0), MATCH('Project Information'!$C$4,Translations!$D$1:$ZZ$1,0))</f>
        <v/>
      </c>
      <c r="BK109" s="38">
        <f>INDEX(Translations!$D:$ZZ, MATCH(79,Translations!$A:$A,0), MATCH('Project Information'!$C$4,Translations!$D$1:$ZZ$1,0))</f>
        <v/>
      </c>
      <c r="BL109" s="38">
        <f>IF(OR(TRIM(Development!$F$25)="Evet",TRIM(Development!$F$25)="Yes"),1,0)</f>
        <v/>
      </c>
      <c r="BM109" s="38" t="n">
        <v>2</v>
      </c>
      <c r="BN109" s="38">
        <f>BL109*BM109</f>
        <v/>
      </c>
    </row>
    <row r="110" ht="15" customHeight="1" s="39">
      <c r="AZ110" s="38">
        <f>INDEX(Translations!$D:$ZZ, MATCH(310,Translations!$A:$A,0), MATCH('Project Information'!$C$4,Translations!$D$1:$ZZ$1,0))</f>
        <v/>
      </c>
      <c r="BA110" s="38">
        <f>INDEX(Translations!$D:$ZZ, MATCH(265,Translations!$A:$A,0), MATCH('Project Information'!$C$4,Translations!$D$1:$ZZ$1,0))</f>
        <v/>
      </c>
      <c r="BB110" s="38">
        <f>INDEX(Translations!$D:$ZZ, MATCH(344,Translations!$A:$A,0), MATCH('Project Information'!$C$4,Translations!$D$1:$ZZ$1,0))</f>
        <v/>
      </c>
      <c r="BC110" s="38">
        <f>INDEX(Translations!$D:$ZZ, MATCH(76,Translations!$A:$A,0), MATCH('Project Information'!$C$4,Translations!$D$1:$ZZ$1,0))</f>
        <v/>
      </c>
      <c r="BD110" s="38">
        <f>IF(OR(TRIM("")="Evet",TRIM("")="Yes"),1,0)</f>
        <v/>
      </c>
      <c r="BE110" s="38" t="n">
        <v>1</v>
      </c>
      <c r="BF110" s="38">
        <f>BD110*BE110</f>
        <v/>
      </c>
      <c r="BH110" s="38">
        <f>INDEX(Translations!$D:$ZZ, MATCH(306,Translations!$A:$A,0), MATCH('Project Information'!$C$4,Translations!$D$1:$ZZ$1,0))</f>
        <v/>
      </c>
      <c r="BI110" s="38">
        <f>INDEX(Translations!$D:$ZZ, MATCH(229,Translations!$A:$A,0), MATCH('Project Information'!$C$4,Translations!$D$1:$ZZ$1,0))</f>
        <v/>
      </c>
      <c r="BJ110" s="38">
        <f>INDEX(Translations!$D:$ZZ, MATCH(339,Translations!$A:$A,0), MATCH('Project Information'!$C$4,Translations!$D$1:$ZZ$1,0))</f>
        <v/>
      </c>
      <c r="BK110" s="38">
        <f>INDEX(Translations!$D:$ZZ, MATCH(75,Translations!$A:$A,0), MATCH('Project Information'!$C$4,Translations!$D$1:$ZZ$1,0))</f>
        <v/>
      </c>
      <c r="BL110" s="38">
        <f>IF(OR(TRIM(Development!$F$25)="Evet",TRIM(Development!$F$25)="Yes"),1,0)</f>
        <v/>
      </c>
      <c r="BM110" s="38" t="n">
        <v>4</v>
      </c>
      <c r="BN110" s="38">
        <f>BL110*BM110</f>
        <v/>
      </c>
    </row>
    <row r="111" ht="15" customHeight="1" s="39">
      <c r="AZ111" s="38">
        <f>INDEX(Translations!$D:$ZZ, MATCH(310,Translations!$A:$A,0), MATCH('Project Information'!$C$4,Translations!$D$1:$ZZ$1,0))</f>
        <v/>
      </c>
      <c r="BA111" s="38">
        <f>INDEX(Translations!$D:$ZZ, MATCH(265,Translations!$A:$A,0), MATCH('Project Information'!$C$4,Translations!$D$1:$ZZ$1,0))</f>
        <v/>
      </c>
      <c r="BB111" s="38">
        <f>INDEX(Translations!$D:$ZZ, MATCH(344,Translations!$A:$A,0), MATCH('Project Information'!$C$4,Translations!$D$1:$ZZ$1,0))</f>
        <v/>
      </c>
      <c r="BC111" s="38">
        <f>INDEX(Translations!$D:$ZZ, MATCH(77,Translations!$A:$A,0), MATCH('Project Information'!$C$4,Translations!$D$1:$ZZ$1,0))</f>
        <v/>
      </c>
      <c r="BD111" s="38">
        <f>IF(OR(TRIM("")="Evet",TRIM("")="Yes"),1,0)</f>
        <v/>
      </c>
      <c r="BE111" s="38" t="n">
        <v>1</v>
      </c>
      <c r="BF111" s="38">
        <f>BD111*BE111</f>
        <v/>
      </c>
      <c r="BH111" s="38">
        <f>INDEX(Translations!$D:$ZZ, MATCH(306,Translations!$A:$A,0), MATCH('Project Information'!$C$4,Translations!$D$1:$ZZ$1,0))</f>
        <v/>
      </c>
      <c r="BI111" s="38">
        <f>INDEX(Translations!$D:$ZZ, MATCH(229,Translations!$A:$A,0), MATCH('Project Information'!$C$4,Translations!$D$1:$ZZ$1,0))</f>
        <v/>
      </c>
      <c r="BJ111" s="38">
        <f>INDEX(Translations!$D:$ZZ, MATCH(339,Translations!$A:$A,0), MATCH('Project Information'!$C$4,Translations!$D$1:$ZZ$1,0))</f>
        <v/>
      </c>
      <c r="BK111" s="38">
        <f>INDEX(Translations!$D:$ZZ, MATCH(76,Translations!$A:$A,0), MATCH('Project Information'!$C$4,Translations!$D$1:$ZZ$1,0))</f>
        <v/>
      </c>
      <c r="BL111" s="38">
        <f>IF(OR(TRIM(Development!$F$25)="Evet",TRIM(Development!$F$25)="Yes"),1,0)</f>
        <v/>
      </c>
      <c r="BM111" s="38" t="n">
        <v>2</v>
      </c>
      <c r="BN111" s="38">
        <f>BL111*BM111</f>
        <v/>
      </c>
    </row>
    <row r="112" ht="15" customHeight="1" s="39">
      <c r="AZ112" s="38">
        <f>INDEX(Translations!$D:$ZZ, MATCH(310,Translations!$A:$A,0), MATCH('Project Information'!$C$4,Translations!$D$1:$ZZ$1,0))</f>
        <v/>
      </c>
      <c r="BA112" s="38">
        <f>INDEX(Translations!$D:$ZZ, MATCH(265,Translations!$A:$A,0), MATCH('Project Information'!$C$4,Translations!$D$1:$ZZ$1,0))</f>
        <v/>
      </c>
      <c r="BB112" s="38">
        <f>INDEX(Translations!$D:$ZZ, MATCH(344,Translations!$A:$A,0), MATCH('Project Information'!$C$4,Translations!$D$1:$ZZ$1,0))</f>
        <v/>
      </c>
      <c r="BC112" s="38">
        <f>INDEX(Translations!$D:$ZZ, MATCH(78,Translations!$A:$A,0), MATCH('Project Information'!$C$4,Translations!$D$1:$ZZ$1,0))</f>
        <v/>
      </c>
      <c r="BD112" s="38">
        <f>IF(OR(TRIM("")="Evet",TRIM("")="Yes"),1,0)</f>
        <v/>
      </c>
      <c r="BE112" s="38" t="n">
        <v>2</v>
      </c>
      <c r="BF112" s="38">
        <f>BD112*BE112</f>
        <v/>
      </c>
      <c r="BH112" s="38">
        <f>INDEX(Translations!$D:$ZZ, MATCH(306,Translations!$A:$A,0), MATCH('Project Information'!$C$4,Translations!$D$1:$ZZ$1,0))</f>
        <v/>
      </c>
      <c r="BI112" s="38">
        <f>INDEX(Translations!$D:$ZZ, MATCH(229,Translations!$A:$A,0), MATCH('Project Information'!$C$4,Translations!$D$1:$ZZ$1,0))</f>
        <v/>
      </c>
      <c r="BJ112" s="38">
        <f>INDEX(Translations!$D:$ZZ, MATCH(339,Translations!$A:$A,0), MATCH('Project Information'!$C$4,Translations!$D$1:$ZZ$1,0))</f>
        <v/>
      </c>
      <c r="BK112" s="38">
        <f>INDEX(Translations!$D:$ZZ, MATCH(79,Translations!$A:$A,0), MATCH('Project Information'!$C$4,Translations!$D$1:$ZZ$1,0))</f>
        <v/>
      </c>
      <c r="BL112" s="38">
        <f>IF(OR(TRIM(Development!$F$25)="Evet",TRIM(Development!$F$25)="Yes"),1,0)</f>
        <v/>
      </c>
      <c r="BM112" s="38" t="n">
        <v>4</v>
      </c>
      <c r="BN112" s="38">
        <f>BL112*BM112</f>
        <v/>
      </c>
    </row>
    <row r="113" ht="15" customHeight="1" s="39">
      <c r="AZ113" s="38">
        <f>INDEX(Translations!$D:$ZZ, MATCH(310,Translations!$A:$A,0), MATCH('Project Information'!$C$4,Translations!$D$1:$ZZ$1,0))</f>
        <v/>
      </c>
      <c r="BA113" s="38">
        <f>INDEX(Translations!$D:$ZZ, MATCH(265,Translations!$A:$A,0), MATCH('Project Information'!$C$4,Translations!$D$1:$ZZ$1,0))</f>
        <v/>
      </c>
      <c r="BB113" s="38">
        <f>INDEX(Translations!$D:$ZZ, MATCH(344,Translations!$A:$A,0), MATCH('Project Information'!$C$4,Translations!$D$1:$ZZ$1,0))</f>
        <v/>
      </c>
      <c r="BC113" s="38">
        <f>INDEX(Translations!$D:$ZZ, MATCH(79,Translations!$A:$A,0), MATCH('Project Information'!$C$4,Translations!$D$1:$ZZ$1,0))</f>
        <v/>
      </c>
      <c r="BD113" s="38">
        <f>IF(OR(TRIM("")="Evet",TRIM("")="Yes"),1,0)</f>
        <v/>
      </c>
      <c r="BE113" s="38" t="n">
        <v>2</v>
      </c>
      <c r="BF113" s="38">
        <f>BD113*BE113</f>
        <v/>
      </c>
      <c r="BH113" s="38">
        <f>INDEX(Translations!$D:$ZZ, MATCH(312,Translations!$A:$A,0), MATCH('Project Information'!$C$4,Translations!$D$1:$ZZ$1,0))</f>
        <v/>
      </c>
      <c r="BI113" s="38">
        <f>INDEX(Translations!$D:$ZZ, MATCH(275,Translations!$A:$A,0), MATCH('Project Information'!$C$4,Translations!$D$1:$ZZ$1,0))</f>
        <v/>
      </c>
      <c r="BJ113" s="38">
        <f>INDEX(Translations!$D:$ZZ, MATCH(346,Translations!$A:$A,0), MATCH('Project Information'!$C$4,Translations!$D$1:$ZZ$1,0))</f>
        <v/>
      </c>
      <c r="BK113" s="38">
        <f>INDEX(Translations!$D:$ZZ, MATCH(78,Translations!$A:$A,0), MATCH('Project Information'!$C$4,Translations!$D$1:$ZZ$1,0))</f>
        <v/>
      </c>
      <c r="BL113" s="38">
        <f>IF(OR(TRIM("")="Evet",TRIM("")="Yes"),1,0)</f>
        <v/>
      </c>
      <c r="BM113" s="38" t="n">
        <v>15</v>
      </c>
      <c r="BN113" s="38">
        <f>BL113*BM113</f>
        <v/>
      </c>
    </row>
    <row r="114" ht="15" customHeight="1" s="39">
      <c r="AZ114" s="38">
        <f>INDEX(Translations!$D:$ZZ, MATCH(310,Translations!$A:$A,0), MATCH('Project Information'!$C$4,Translations!$D$1:$ZZ$1,0))</f>
        <v/>
      </c>
      <c r="BA114" s="38">
        <f>INDEX(Translations!$D:$ZZ, MATCH(265,Translations!$A:$A,0), MATCH('Project Information'!$C$4,Translations!$D$1:$ZZ$1,0))</f>
        <v/>
      </c>
      <c r="BB114" s="38">
        <f>INDEX(Translations!$D:$ZZ, MATCH(344,Translations!$A:$A,0), MATCH('Project Information'!$C$4,Translations!$D$1:$ZZ$1,0))</f>
        <v/>
      </c>
      <c r="BC114" s="38">
        <f>INDEX(Translations!$D:$ZZ, MATCH(80,Translations!$A:$A,0), MATCH('Project Information'!$C$4,Translations!$D$1:$ZZ$1,0))</f>
        <v/>
      </c>
      <c r="BD114" s="38">
        <f>IF(OR(TRIM("")="Evet",TRIM("")="Yes"),1,0)</f>
        <v/>
      </c>
      <c r="BE114" s="38" t="n">
        <v>1</v>
      </c>
      <c r="BF114" s="38">
        <f>BD114*BE114</f>
        <v/>
      </c>
      <c r="BH114" s="38">
        <f>INDEX(Translations!$D:$ZZ, MATCH(312,Translations!$A:$A,0), MATCH('Project Information'!$C$4,Translations!$D$1:$ZZ$1,0))</f>
        <v/>
      </c>
      <c r="BI114" s="38">
        <f>INDEX(Translations!$D:$ZZ, MATCH(275,Translations!$A:$A,0), MATCH('Project Information'!$C$4,Translations!$D$1:$ZZ$1,0))</f>
        <v/>
      </c>
      <c r="BJ114" s="38">
        <f>INDEX(Translations!$D:$ZZ, MATCH(337,Translations!$A:$A,0), MATCH('Project Information'!$C$4,Translations!$D$1:$ZZ$1,0))</f>
        <v/>
      </c>
      <c r="BK114" s="38">
        <f>INDEX(Translations!$D:$ZZ, MATCH(75,Translations!$A:$A,0), MATCH('Project Information'!$C$4,Translations!$D$1:$ZZ$1,0))</f>
        <v/>
      </c>
      <c r="BL114" s="38">
        <f>IF(OR(TRIM("")="Evet",TRIM("")="Yes"),1,0)</f>
        <v/>
      </c>
      <c r="BM114" s="38" t="n">
        <v>4</v>
      </c>
      <c r="BN114" s="38">
        <f>BL114*BM114</f>
        <v/>
      </c>
    </row>
    <row r="115" ht="15" customHeight="1" s="39">
      <c r="AZ115" s="38">
        <f>INDEX(Translations!$D:$ZZ, MATCH(310,Translations!$A:$A,0), MATCH('Project Information'!$C$4,Translations!$D$1:$ZZ$1,0))</f>
        <v/>
      </c>
      <c r="BA115" s="38">
        <f>INDEX(Translations!$D:$ZZ, MATCH(265,Translations!$A:$A,0), MATCH('Project Information'!$C$4,Translations!$D$1:$ZZ$1,0))</f>
        <v/>
      </c>
      <c r="BB115" s="38">
        <f>INDEX(Translations!$D:$ZZ, MATCH(344,Translations!$A:$A,0), MATCH('Project Information'!$C$4,Translations!$D$1:$ZZ$1,0))</f>
        <v/>
      </c>
      <c r="BC115" s="38">
        <f>INDEX(Translations!$D:$ZZ, MATCH(81,Translations!$A:$A,0), MATCH('Project Information'!$C$4,Translations!$D$1:$ZZ$1,0))</f>
        <v/>
      </c>
      <c r="BD115" s="38">
        <f>IF(OR(TRIM("")="Evet",TRIM("")="Yes"),1,0)</f>
        <v/>
      </c>
      <c r="BE115" s="38" t="n">
        <v>1</v>
      </c>
      <c r="BF115" s="38">
        <f>BD115*BE115</f>
        <v/>
      </c>
      <c r="BH115" s="38">
        <f>INDEX(Translations!$D:$ZZ, MATCH(312,Translations!$A:$A,0), MATCH('Project Information'!$C$4,Translations!$D$1:$ZZ$1,0))</f>
        <v/>
      </c>
      <c r="BI115" s="38">
        <f>INDEX(Translations!$D:$ZZ, MATCH(275,Translations!$A:$A,0), MATCH('Project Information'!$C$4,Translations!$D$1:$ZZ$1,0))</f>
        <v/>
      </c>
      <c r="BJ115" s="38">
        <f>INDEX(Translations!$D:$ZZ, MATCH(337,Translations!$A:$A,0), MATCH('Project Information'!$C$4,Translations!$D$1:$ZZ$1,0))</f>
        <v/>
      </c>
      <c r="BK115" s="38">
        <f>INDEX(Translations!$D:$ZZ, MATCH(76,Translations!$A:$A,0), MATCH('Project Information'!$C$4,Translations!$D$1:$ZZ$1,0))</f>
        <v/>
      </c>
      <c r="BL115" s="38">
        <f>IF(OR(TRIM("")="Evet",TRIM("")="Yes"),1,0)</f>
        <v/>
      </c>
      <c r="BM115" s="38" t="n">
        <v>2</v>
      </c>
      <c r="BN115" s="38">
        <f>BL115*BM115</f>
        <v/>
      </c>
    </row>
    <row r="116" ht="15" customHeight="1" s="39">
      <c r="AZ116" s="38">
        <f>INDEX(Translations!$D:$ZZ, MATCH(310,Translations!$A:$A,0), MATCH('Project Information'!$C$4,Translations!$D$1:$ZZ$1,0))</f>
        <v/>
      </c>
      <c r="BA116" s="38">
        <f>INDEX(Translations!$D:$ZZ, MATCH(265,Translations!$A:$A,0), MATCH('Project Information'!$C$4,Translations!$D$1:$ZZ$1,0))</f>
        <v/>
      </c>
      <c r="BB116" s="38">
        <f>INDEX(Translations!$D:$ZZ, MATCH(344,Translations!$A:$A,0), MATCH('Project Information'!$C$4,Translations!$D$1:$ZZ$1,0))</f>
        <v/>
      </c>
      <c r="BC116" s="38">
        <f>INDEX(Translations!$D:$ZZ, MATCH(82,Translations!$A:$A,0), MATCH('Project Information'!$C$4,Translations!$D$1:$ZZ$1,0))</f>
        <v/>
      </c>
      <c r="BD116" s="38">
        <f>IF(OR(TRIM("")="Evet",TRIM("")="Yes"),1,0)</f>
        <v/>
      </c>
      <c r="BE116" s="38" t="n">
        <v>1</v>
      </c>
      <c r="BF116" s="38">
        <f>BD116*BE116</f>
        <v/>
      </c>
      <c r="BH116" s="38">
        <f>INDEX(Translations!$D:$ZZ, MATCH(312,Translations!$A:$A,0), MATCH('Project Information'!$C$4,Translations!$D$1:$ZZ$1,0))</f>
        <v/>
      </c>
      <c r="BI116" s="38">
        <f>INDEX(Translations!$D:$ZZ, MATCH(275,Translations!$A:$A,0), MATCH('Project Information'!$C$4,Translations!$D$1:$ZZ$1,0))</f>
        <v/>
      </c>
      <c r="BJ116" s="38">
        <f>INDEX(Translations!$D:$ZZ, MATCH(337,Translations!$A:$A,0), MATCH('Project Information'!$C$4,Translations!$D$1:$ZZ$1,0))</f>
        <v/>
      </c>
      <c r="BK116" s="38">
        <f>INDEX(Translations!$D:$ZZ, MATCH(79,Translations!$A:$A,0), MATCH('Project Information'!$C$4,Translations!$D$1:$ZZ$1,0))</f>
        <v/>
      </c>
      <c r="BL116" s="38">
        <f>IF(OR(TRIM("")="Evet",TRIM("")="Yes"),1,0)</f>
        <v/>
      </c>
      <c r="BM116" s="38" t="n">
        <v>3</v>
      </c>
      <c r="BN116" s="38">
        <f>BL116*BM116</f>
        <v/>
      </c>
    </row>
    <row r="117" ht="15" customHeight="1" s="39">
      <c r="AZ117" s="38">
        <f>INDEX(Translations!$D:$ZZ, MATCH(310,Translations!$A:$A,0), MATCH('Project Information'!$C$4,Translations!$D$1:$ZZ$1,0))</f>
        <v/>
      </c>
      <c r="BA117" s="38">
        <f>INDEX(Translations!$D:$ZZ, MATCH(265,Translations!$A:$A,0), MATCH('Project Information'!$C$4,Translations!$D$1:$ZZ$1,0))</f>
        <v/>
      </c>
      <c r="BB117" s="38">
        <f>INDEX(Translations!$D:$ZZ, MATCH(344,Translations!$A:$A,0), MATCH('Project Information'!$C$4,Translations!$D$1:$ZZ$1,0))</f>
        <v/>
      </c>
      <c r="BC117" s="38">
        <f>INDEX(Translations!$D:$ZZ, MATCH(83,Translations!$A:$A,0), MATCH('Project Information'!$C$4,Translations!$D$1:$ZZ$1,0))</f>
        <v/>
      </c>
      <c r="BD117" s="38">
        <f>IF(OR(TRIM("")="Evet",TRIM("")="Yes"),1,0)</f>
        <v/>
      </c>
      <c r="BE117" s="38" t="n">
        <v>1</v>
      </c>
      <c r="BF117" s="38">
        <f>BD117*BE117</f>
        <v/>
      </c>
      <c r="BH117" s="38">
        <f>INDEX(Translations!$D:$ZZ, MATCH(312,Translations!$A:$A,0), MATCH('Project Information'!$C$4,Translations!$D$1:$ZZ$1,0))</f>
        <v/>
      </c>
      <c r="BI117" s="38">
        <f>INDEX(Translations!$D:$ZZ, MATCH(275,Translations!$A:$A,0), MATCH('Project Information'!$C$4,Translations!$D$1:$ZZ$1,0))</f>
        <v/>
      </c>
      <c r="BJ117" s="38">
        <f>INDEX(Translations!$D:$ZZ, MATCH(338,Translations!$A:$A,0), MATCH('Project Information'!$C$4,Translations!$D$1:$ZZ$1,0))</f>
        <v/>
      </c>
      <c r="BK117" s="38">
        <f>INDEX(Translations!$D:$ZZ, MATCH(75,Translations!$A:$A,0), MATCH('Project Information'!$C$4,Translations!$D$1:$ZZ$1,0))</f>
        <v/>
      </c>
      <c r="BL117" s="38">
        <f>IF(OR(TRIM("")="Evet",TRIM("")="Yes"),1,0)</f>
        <v/>
      </c>
      <c r="BM117" s="38" t="n">
        <v>4</v>
      </c>
      <c r="BN117" s="38">
        <f>BL117*BM117</f>
        <v/>
      </c>
    </row>
    <row r="118" ht="15" customHeight="1" s="39">
      <c r="AZ118" s="38">
        <f>INDEX(Translations!$D:$ZZ, MATCH(310,Translations!$A:$A,0), MATCH('Project Information'!$C$4,Translations!$D$1:$ZZ$1,0))</f>
        <v/>
      </c>
      <c r="BA118" s="38">
        <f>INDEX(Translations!$D:$ZZ, MATCH(265,Translations!$A:$A,0), MATCH('Project Information'!$C$4,Translations!$D$1:$ZZ$1,0))</f>
        <v/>
      </c>
      <c r="BB118" s="38">
        <f>INDEX(Translations!$D:$ZZ, MATCH(344,Translations!$A:$A,0), MATCH('Project Information'!$C$4,Translations!$D$1:$ZZ$1,0))</f>
        <v/>
      </c>
      <c r="BC118" s="38">
        <f>INDEX(Translations!$D:$ZZ, MATCH(85,Translations!$A:$A,0), MATCH('Project Information'!$C$4,Translations!$D$1:$ZZ$1,0))</f>
        <v/>
      </c>
      <c r="BD118" s="38">
        <f>IF(OR(TRIM("")="Evet",TRIM("")="Yes"),1,0)</f>
        <v/>
      </c>
      <c r="BE118" s="38" t="n">
        <v>1</v>
      </c>
      <c r="BF118" s="38">
        <f>BD118*BE118</f>
        <v/>
      </c>
      <c r="BH118" s="38">
        <f>INDEX(Translations!$D:$ZZ, MATCH(312,Translations!$A:$A,0), MATCH('Project Information'!$C$4,Translations!$D$1:$ZZ$1,0))</f>
        <v/>
      </c>
      <c r="BI118" s="38">
        <f>INDEX(Translations!$D:$ZZ, MATCH(275,Translations!$A:$A,0), MATCH('Project Information'!$C$4,Translations!$D$1:$ZZ$1,0))</f>
        <v/>
      </c>
      <c r="BJ118" s="38">
        <f>INDEX(Translations!$D:$ZZ, MATCH(338,Translations!$A:$A,0), MATCH('Project Information'!$C$4,Translations!$D$1:$ZZ$1,0))</f>
        <v/>
      </c>
      <c r="BK118" s="38">
        <f>INDEX(Translations!$D:$ZZ, MATCH(76,Translations!$A:$A,0), MATCH('Project Information'!$C$4,Translations!$D$1:$ZZ$1,0))</f>
        <v/>
      </c>
      <c r="BL118" s="38">
        <f>IF(OR(TRIM("")="Evet",TRIM("")="Yes"),1,0)</f>
        <v/>
      </c>
      <c r="BM118" s="38" t="n">
        <v>2</v>
      </c>
      <c r="BN118" s="38">
        <f>BL118*BM118</f>
        <v/>
      </c>
    </row>
    <row r="119" ht="15" customHeight="1" s="39">
      <c r="AZ119" s="38">
        <f>INDEX(Translations!$D:$ZZ, MATCH(310,Translations!$A:$A,0), MATCH('Project Information'!$C$4,Translations!$D$1:$ZZ$1,0))</f>
        <v/>
      </c>
      <c r="BA119" s="38">
        <f>INDEX(Translations!$D:$ZZ, MATCH(265,Translations!$A:$A,0), MATCH('Project Information'!$C$4,Translations!$D$1:$ZZ$1,0))</f>
        <v/>
      </c>
      <c r="BB119" s="38">
        <f>INDEX(Translations!$D:$ZZ, MATCH(344,Translations!$A:$A,0), MATCH('Project Information'!$C$4,Translations!$D$1:$ZZ$1,0))</f>
        <v/>
      </c>
      <c r="BC119" s="38">
        <f>INDEX(Translations!$D:$ZZ, MATCH(86,Translations!$A:$A,0), MATCH('Project Information'!$C$4,Translations!$D$1:$ZZ$1,0))</f>
        <v/>
      </c>
      <c r="BD119" s="38">
        <f>IF(OR(TRIM("")="Evet",TRIM("")="Yes"),1,0)</f>
        <v/>
      </c>
      <c r="BE119" s="38" t="n">
        <v>0.5</v>
      </c>
      <c r="BF119" s="38">
        <f>BD119*BE119</f>
        <v/>
      </c>
      <c r="BH119" s="38">
        <f>INDEX(Translations!$D:$ZZ, MATCH(312,Translations!$A:$A,0), MATCH('Project Information'!$C$4,Translations!$D$1:$ZZ$1,0))</f>
        <v/>
      </c>
      <c r="BI119" s="38">
        <f>INDEX(Translations!$D:$ZZ, MATCH(275,Translations!$A:$A,0), MATCH('Project Information'!$C$4,Translations!$D$1:$ZZ$1,0))</f>
        <v/>
      </c>
      <c r="BJ119" s="38">
        <f>INDEX(Translations!$D:$ZZ, MATCH(338,Translations!$A:$A,0), MATCH('Project Information'!$C$4,Translations!$D$1:$ZZ$1,0))</f>
        <v/>
      </c>
      <c r="BK119" s="38">
        <f>INDEX(Translations!$D:$ZZ, MATCH(79,Translations!$A:$A,0), MATCH('Project Information'!$C$4,Translations!$D$1:$ZZ$1,0))</f>
        <v/>
      </c>
      <c r="BL119" s="38">
        <f>IF(OR(TRIM("")="Evet",TRIM("")="Yes"),1,0)</f>
        <v/>
      </c>
      <c r="BM119" s="38" t="n">
        <v>3</v>
      </c>
      <c r="BN119" s="38">
        <f>BL119*BM119</f>
        <v/>
      </c>
    </row>
    <row r="120" ht="15" customHeight="1" s="39">
      <c r="AZ120" s="38">
        <f>INDEX(Translations!$D:$ZZ, MATCH(305,Translations!$A:$A,0), MATCH('Project Information'!$C$4,Translations!$D$1:$ZZ$1,0))</f>
        <v/>
      </c>
      <c r="BA120" s="38">
        <f>INDEX(Translations!$D:$ZZ, MATCH(42,Translations!$A:$A,0), MATCH('Project Information'!$C$4,Translations!$D$1:$ZZ$1,0))</f>
        <v/>
      </c>
      <c r="BB120" s="38">
        <f>INDEX(Translations!$D:$ZZ, MATCH(343,Translations!$A:$A,0), MATCH('Project Information'!$C$4,Translations!$D$1:$ZZ$1,0))</f>
        <v/>
      </c>
      <c r="BC120" s="38">
        <f>INDEX(Translations!$D:$ZZ, MATCH(75,Translations!$A:$A,0), MATCH('Project Information'!$C$4,Translations!$D$1:$ZZ$1,0))</f>
        <v/>
      </c>
      <c r="BD120" s="38">
        <f>IF(OR(TRIM('Project Information'!$C$41)="Evet",TRIM('Project Information'!$C$41)="Yes"),1,0)</f>
        <v/>
      </c>
      <c r="BE120" s="38" t="n">
        <v>2</v>
      </c>
      <c r="BF120" s="38">
        <f>BD120*BE120</f>
        <v/>
      </c>
      <c r="BH120" s="38">
        <f>INDEX(Translations!$D:$ZZ, MATCH(313,Translations!$A:$A,0), MATCH('Project Information'!$C$4,Translations!$D$1:$ZZ$1,0))</f>
        <v/>
      </c>
      <c r="BI120" s="38">
        <f>INDEX(Translations!$D:$ZZ, MATCH(274,Translations!$A:$A,0), MATCH('Project Information'!$C$4,Translations!$D$1:$ZZ$1,0))</f>
        <v/>
      </c>
      <c r="BJ120" s="38">
        <f>INDEX(Translations!$D:$ZZ, MATCH(346,Translations!$A:$A,0), MATCH('Project Information'!$C$4,Translations!$D$1:$ZZ$1,0))</f>
        <v/>
      </c>
      <c r="BK120" s="38">
        <f>INDEX(Translations!$D:$ZZ, MATCH(78,Translations!$A:$A,0), MATCH('Project Information'!$C$4,Translations!$D$1:$ZZ$1,0))</f>
        <v/>
      </c>
      <c r="BL120" s="38">
        <f>IF(OR(TRIM("")="Evet",TRIM("")="Yes"),1,0)</f>
        <v/>
      </c>
      <c r="BM120" s="38" t="n">
        <v>15</v>
      </c>
      <c r="BN120" s="38">
        <f>BL120*BM120</f>
        <v/>
      </c>
    </row>
    <row r="121" ht="15" customHeight="1" s="39">
      <c r="AZ121" s="38">
        <f>INDEX(Translations!$D:$ZZ, MATCH(305,Translations!$A:$A,0), MATCH('Project Information'!$C$4,Translations!$D$1:$ZZ$1,0))</f>
        <v/>
      </c>
      <c r="BA121" s="38">
        <f>INDEX(Translations!$D:$ZZ, MATCH(42,Translations!$A:$A,0), MATCH('Project Information'!$C$4,Translations!$D$1:$ZZ$1,0))</f>
        <v/>
      </c>
      <c r="BB121" s="38">
        <f>INDEX(Translations!$D:$ZZ, MATCH(343,Translations!$A:$A,0), MATCH('Project Information'!$C$4,Translations!$D$1:$ZZ$1,0))</f>
        <v/>
      </c>
      <c r="BC121" s="38">
        <f>INDEX(Translations!$D:$ZZ, MATCH(76,Translations!$A:$A,0), MATCH('Project Information'!$C$4,Translations!$D$1:$ZZ$1,0))</f>
        <v/>
      </c>
      <c r="BD121" s="38">
        <f>IF(OR(TRIM('Project Information'!$C$41)="Evet",TRIM('Project Information'!$C$41)="Yes"),1,0)</f>
        <v/>
      </c>
      <c r="BE121" s="38" t="n">
        <v>1</v>
      </c>
      <c r="BF121" s="38">
        <f>BD121*BE121</f>
        <v/>
      </c>
      <c r="BH121" s="38">
        <f>INDEX(Translations!$D:$ZZ, MATCH(313,Translations!$A:$A,0), MATCH('Project Information'!$C$4,Translations!$D$1:$ZZ$1,0))</f>
        <v/>
      </c>
      <c r="BI121" s="38">
        <f>INDEX(Translations!$D:$ZZ, MATCH(274,Translations!$A:$A,0), MATCH('Project Information'!$C$4,Translations!$D$1:$ZZ$1,0))</f>
        <v/>
      </c>
      <c r="BJ121" s="38">
        <f>INDEX(Translations!$D:$ZZ, MATCH(337,Translations!$A:$A,0), MATCH('Project Information'!$C$4,Translations!$D$1:$ZZ$1,0))</f>
        <v/>
      </c>
      <c r="BK121" s="38">
        <f>INDEX(Translations!$D:$ZZ, MATCH(75,Translations!$A:$A,0), MATCH('Project Information'!$C$4,Translations!$D$1:$ZZ$1,0))</f>
        <v/>
      </c>
      <c r="BL121" s="38">
        <f>IF(OR(TRIM("")="Evet",TRIM("")="Yes"),1,0)</f>
        <v/>
      </c>
      <c r="BM121" s="38" t="n">
        <v>4</v>
      </c>
      <c r="BN121" s="38">
        <f>BL121*BM121</f>
        <v/>
      </c>
    </row>
    <row r="122" ht="15" customHeight="1" s="39">
      <c r="AZ122" s="38">
        <f>INDEX(Translations!$D:$ZZ, MATCH(305,Translations!$A:$A,0), MATCH('Project Information'!$C$4,Translations!$D$1:$ZZ$1,0))</f>
        <v/>
      </c>
      <c r="BA122" s="38">
        <f>INDEX(Translations!$D:$ZZ, MATCH(42,Translations!$A:$A,0), MATCH('Project Information'!$C$4,Translations!$D$1:$ZZ$1,0))</f>
        <v/>
      </c>
      <c r="BB122" s="38">
        <f>INDEX(Translations!$D:$ZZ, MATCH(343,Translations!$A:$A,0), MATCH('Project Information'!$C$4,Translations!$D$1:$ZZ$1,0))</f>
        <v/>
      </c>
      <c r="BC122" s="38">
        <f>INDEX(Translations!$D:$ZZ, MATCH(78,Translations!$A:$A,0), MATCH('Project Information'!$C$4,Translations!$D$1:$ZZ$1,0))</f>
        <v/>
      </c>
      <c r="BD122" s="38">
        <f>IF(OR(TRIM('Project Information'!$C$41)="Evet",TRIM('Project Information'!$C$41)="Yes"),1,0)</f>
        <v/>
      </c>
      <c r="BE122" s="38" t="n">
        <v>2</v>
      </c>
      <c r="BF122" s="38">
        <f>BD122*BE122</f>
        <v/>
      </c>
      <c r="BH122" s="38">
        <f>INDEX(Translations!$D:$ZZ, MATCH(313,Translations!$A:$A,0), MATCH('Project Information'!$C$4,Translations!$D$1:$ZZ$1,0))</f>
        <v/>
      </c>
      <c r="BI122" s="38">
        <f>INDEX(Translations!$D:$ZZ, MATCH(274,Translations!$A:$A,0), MATCH('Project Information'!$C$4,Translations!$D$1:$ZZ$1,0))</f>
        <v/>
      </c>
      <c r="BJ122" s="38">
        <f>INDEX(Translations!$D:$ZZ, MATCH(337,Translations!$A:$A,0), MATCH('Project Information'!$C$4,Translations!$D$1:$ZZ$1,0))</f>
        <v/>
      </c>
      <c r="BK122" s="38">
        <f>INDEX(Translations!$D:$ZZ, MATCH(76,Translations!$A:$A,0), MATCH('Project Information'!$C$4,Translations!$D$1:$ZZ$1,0))</f>
        <v/>
      </c>
      <c r="BL122" s="38">
        <f>IF(OR(TRIM("")="Evet",TRIM("")="Yes"),1,0)</f>
        <v/>
      </c>
      <c r="BM122" s="38" t="n">
        <v>2</v>
      </c>
      <c r="BN122" s="38">
        <f>BL122*BM122</f>
        <v/>
      </c>
    </row>
    <row r="123" ht="15" customHeight="1" s="39">
      <c r="AZ123" s="38">
        <f>INDEX(Translations!$D:$ZZ, MATCH(305,Translations!$A:$A,0), MATCH('Project Information'!$C$4,Translations!$D$1:$ZZ$1,0))</f>
        <v/>
      </c>
      <c r="BA123" s="38">
        <f>INDEX(Translations!$D:$ZZ, MATCH(42,Translations!$A:$A,0), MATCH('Project Information'!$C$4,Translations!$D$1:$ZZ$1,0))</f>
        <v/>
      </c>
      <c r="BB123" s="38">
        <f>INDEX(Translations!$D:$ZZ, MATCH(343,Translations!$A:$A,0), MATCH('Project Information'!$C$4,Translations!$D$1:$ZZ$1,0))</f>
        <v/>
      </c>
      <c r="BC123" s="38">
        <f>INDEX(Translations!$D:$ZZ, MATCH(79,Translations!$A:$A,0), MATCH('Project Information'!$C$4,Translations!$D$1:$ZZ$1,0))</f>
        <v/>
      </c>
      <c r="BD123" s="38">
        <f>IF(OR(TRIM('Project Information'!$C$41)="Evet",TRIM('Project Information'!$C$41)="Yes"),1,0)</f>
        <v/>
      </c>
      <c r="BE123" s="38" t="n">
        <v>2</v>
      </c>
      <c r="BF123" s="38">
        <f>BD123*BE123</f>
        <v/>
      </c>
      <c r="BH123" s="38">
        <f>INDEX(Translations!$D:$ZZ, MATCH(313,Translations!$A:$A,0), MATCH('Project Information'!$C$4,Translations!$D$1:$ZZ$1,0))</f>
        <v/>
      </c>
      <c r="BI123" s="38">
        <f>INDEX(Translations!$D:$ZZ, MATCH(274,Translations!$A:$A,0), MATCH('Project Information'!$C$4,Translations!$D$1:$ZZ$1,0))</f>
        <v/>
      </c>
      <c r="BJ123" s="38">
        <f>INDEX(Translations!$D:$ZZ, MATCH(337,Translations!$A:$A,0), MATCH('Project Information'!$C$4,Translations!$D$1:$ZZ$1,0))</f>
        <v/>
      </c>
      <c r="BK123" s="38">
        <f>INDEX(Translations!$D:$ZZ, MATCH(79,Translations!$A:$A,0), MATCH('Project Information'!$C$4,Translations!$D$1:$ZZ$1,0))</f>
        <v/>
      </c>
      <c r="BL123" s="38">
        <f>IF(OR(TRIM("")="Evet",TRIM("")="Yes"),1,0)</f>
        <v/>
      </c>
      <c r="BM123" s="38" t="n">
        <v>3</v>
      </c>
      <c r="BN123" s="38">
        <f>BL123*BM123</f>
        <v/>
      </c>
    </row>
    <row r="124" ht="15" customHeight="1" s="39">
      <c r="AZ124" s="38">
        <f>INDEX(Translations!$D:$ZZ, MATCH(305,Translations!$A:$A,0), MATCH('Project Information'!$C$4,Translations!$D$1:$ZZ$1,0))</f>
        <v/>
      </c>
      <c r="BA124" s="38">
        <f>INDEX(Translations!$D:$ZZ, MATCH(42,Translations!$A:$A,0), MATCH('Project Information'!$C$4,Translations!$D$1:$ZZ$1,0))</f>
        <v/>
      </c>
      <c r="BB124" s="38">
        <f>INDEX(Translations!$D:$ZZ, MATCH(343,Translations!$A:$A,0), MATCH('Project Information'!$C$4,Translations!$D$1:$ZZ$1,0))</f>
        <v/>
      </c>
      <c r="BC124" s="38">
        <f>INDEX(Translations!$D:$ZZ, MATCH(80,Translations!$A:$A,0), MATCH('Project Information'!$C$4,Translations!$D$1:$ZZ$1,0))</f>
        <v/>
      </c>
      <c r="BD124" s="38">
        <f>IF(OR(TRIM('Project Information'!$C$41)="Evet",TRIM('Project Information'!$C$41)="Yes"),1,0)</f>
        <v/>
      </c>
      <c r="BE124" s="38" t="n">
        <v>0.5</v>
      </c>
      <c r="BF124" s="38">
        <f>BD124*BE124</f>
        <v/>
      </c>
      <c r="BH124" s="38">
        <f>INDEX(Translations!$D:$ZZ, MATCH(313,Translations!$A:$A,0), MATCH('Project Information'!$C$4,Translations!$D$1:$ZZ$1,0))</f>
        <v/>
      </c>
      <c r="BI124" s="38">
        <f>INDEX(Translations!$D:$ZZ, MATCH(274,Translations!$A:$A,0), MATCH('Project Information'!$C$4,Translations!$D$1:$ZZ$1,0))</f>
        <v/>
      </c>
      <c r="BJ124" s="38">
        <f>INDEX(Translations!$D:$ZZ, MATCH(338,Translations!$A:$A,0), MATCH('Project Information'!$C$4,Translations!$D$1:$ZZ$1,0))</f>
        <v/>
      </c>
      <c r="BK124" s="38">
        <f>INDEX(Translations!$D:$ZZ, MATCH(75,Translations!$A:$A,0), MATCH('Project Information'!$C$4,Translations!$D$1:$ZZ$1,0))</f>
        <v/>
      </c>
      <c r="BL124" s="38">
        <f>IF(OR(TRIM("")="Evet",TRIM("")="Yes"),1,0)</f>
        <v/>
      </c>
      <c r="BM124" s="38" t="n">
        <v>4</v>
      </c>
      <c r="BN124" s="38">
        <f>BL124*BM124</f>
        <v/>
      </c>
    </row>
    <row r="125" ht="15" customHeight="1" s="39">
      <c r="AZ125" s="38">
        <f>INDEX(Translations!$D:$ZZ, MATCH(305,Translations!$A:$A,0), MATCH('Project Information'!$C$4,Translations!$D$1:$ZZ$1,0))</f>
        <v/>
      </c>
      <c r="BA125" s="38">
        <f>INDEX(Translations!$D:$ZZ, MATCH(42,Translations!$A:$A,0), MATCH('Project Information'!$C$4,Translations!$D$1:$ZZ$1,0))</f>
        <v/>
      </c>
      <c r="BB125" s="38">
        <f>INDEX(Translations!$D:$ZZ, MATCH(343,Translations!$A:$A,0), MATCH('Project Information'!$C$4,Translations!$D$1:$ZZ$1,0))</f>
        <v/>
      </c>
      <c r="BC125" s="38">
        <f>INDEX(Translations!$D:$ZZ, MATCH(81,Translations!$A:$A,0), MATCH('Project Information'!$C$4,Translations!$D$1:$ZZ$1,0))</f>
        <v/>
      </c>
      <c r="BD125" s="38">
        <f>IF(OR(TRIM('Project Information'!$C$41)="Evet",TRIM('Project Information'!$C$41)="Yes"),1,0)</f>
        <v/>
      </c>
      <c r="BE125" s="38" t="n">
        <v>0.5</v>
      </c>
      <c r="BF125" s="38">
        <f>BD125*BE125</f>
        <v/>
      </c>
      <c r="BH125" s="38">
        <f>INDEX(Translations!$D:$ZZ, MATCH(313,Translations!$A:$A,0), MATCH('Project Information'!$C$4,Translations!$D$1:$ZZ$1,0))</f>
        <v/>
      </c>
      <c r="BI125" s="38">
        <f>INDEX(Translations!$D:$ZZ, MATCH(274,Translations!$A:$A,0), MATCH('Project Information'!$C$4,Translations!$D$1:$ZZ$1,0))</f>
        <v/>
      </c>
      <c r="BJ125" s="38">
        <f>INDEX(Translations!$D:$ZZ, MATCH(338,Translations!$A:$A,0), MATCH('Project Information'!$C$4,Translations!$D$1:$ZZ$1,0))</f>
        <v/>
      </c>
      <c r="BK125" s="38">
        <f>INDEX(Translations!$D:$ZZ, MATCH(76,Translations!$A:$A,0), MATCH('Project Information'!$C$4,Translations!$D$1:$ZZ$1,0))</f>
        <v/>
      </c>
      <c r="BL125" s="38">
        <f>IF(OR(TRIM("")="Evet",TRIM("")="Yes"),1,0)</f>
        <v/>
      </c>
      <c r="BM125" s="38" t="n">
        <v>2</v>
      </c>
      <c r="BN125" s="38">
        <f>BL125*BM125</f>
        <v/>
      </c>
    </row>
    <row r="126" ht="15" customHeight="1" s="39">
      <c r="AZ126" s="38">
        <f>INDEX(Translations!$D:$ZZ, MATCH(305,Translations!$A:$A,0), MATCH('Project Information'!$C$4,Translations!$D$1:$ZZ$1,0))</f>
        <v/>
      </c>
      <c r="BA126" s="38">
        <f>INDEX(Translations!$D:$ZZ, MATCH(42,Translations!$A:$A,0), MATCH('Project Information'!$C$4,Translations!$D$1:$ZZ$1,0))</f>
        <v/>
      </c>
      <c r="BB126" s="38">
        <f>INDEX(Translations!$D:$ZZ, MATCH(343,Translations!$A:$A,0), MATCH('Project Information'!$C$4,Translations!$D$1:$ZZ$1,0))</f>
        <v/>
      </c>
      <c r="BC126" s="38">
        <f>INDEX(Translations!$D:$ZZ, MATCH(82,Translations!$A:$A,0), MATCH('Project Information'!$C$4,Translations!$D$1:$ZZ$1,0))</f>
        <v/>
      </c>
      <c r="BD126" s="38">
        <f>IF(OR(TRIM('Project Information'!$C$41)="Evet",TRIM('Project Information'!$C$41)="Yes"),1,0)</f>
        <v/>
      </c>
      <c r="BE126" s="38" t="n">
        <v>1</v>
      </c>
      <c r="BF126" s="38">
        <f>BD126*BE126</f>
        <v/>
      </c>
      <c r="BH126" s="38">
        <f>INDEX(Translations!$D:$ZZ, MATCH(313,Translations!$A:$A,0), MATCH('Project Information'!$C$4,Translations!$D$1:$ZZ$1,0))</f>
        <v/>
      </c>
      <c r="BI126" s="38">
        <f>INDEX(Translations!$D:$ZZ, MATCH(274,Translations!$A:$A,0), MATCH('Project Information'!$C$4,Translations!$D$1:$ZZ$1,0))</f>
        <v/>
      </c>
      <c r="BJ126" s="38">
        <f>INDEX(Translations!$D:$ZZ, MATCH(338,Translations!$A:$A,0), MATCH('Project Information'!$C$4,Translations!$D$1:$ZZ$1,0))</f>
        <v/>
      </c>
      <c r="BK126" s="38">
        <f>INDEX(Translations!$D:$ZZ, MATCH(79,Translations!$A:$A,0), MATCH('Project Information'!$C$4,Translations!$D$1:$ZZ$1,0))</f>
        <v/>
      </c>
      <c r="BL126" s="38">
        <f>IF(OR(TRIM("")="Evet",TRIM("")="Yes"),1,0)</f>
        <v/>
      </c>
      <c r="BM126" s="38" t="n">
        <v>3</v>
      </c>
      <c r="BN126" s="38">
        <f>BL126*BM126</f>
        <v/>
      </c>
    </row>
    <row r="127" ht="15" customHeight="1" s="39">
      <c r="AZ127" s="38">
        <f>INDEX(Translations!$D:$ZZ, MATCH(305,Translations!$A:$A,0), MATCH('Project Information'!$C$4,Translations!$D$1:$ZZ$1,0))</f>
        <v/>
      </c>
      <c r="BA127" s="38">
        <f>INDEX(Translations!$D:$ZZ, MATCH(42,Translations!$A:$A,0), MATCH('Project Information'!$C$4,Translations!$D$1:$ZZ$1,0))</f>
        <v/>
      </c>
      <c r="BB127" s="38">
        <f>INDEX(Translations!$D:$ZZ, MATCH(343,Translations!$A:$A,0), MATCH('Project Information'!$C$4,Translations!$D$1:$ZZ$1,0))</f>
        <v/>
      </c>
      <c r="BC127" s="38">
        <f>INDEX(Translations!$D:$ZZ, MATCH(83,Translations!$A:$A,0), MATCH('Project Information'!$C$4,Translations!$D$1:$ZZ$1,0))</f>
        <v/>
      </c>
      <c r="BD127" s="38">
        <f>IF(OR(TRIM('Project Information'!$C$41)="Evet",TRIM('Project Information'!$C$41)="Yes"),1,0)</f>
        <v/>
      </c>
      <c r="BE127" s="38" t="n">
        <v>1</v>
      </c>
      <c r="BF127" s="38">
        <f>BD127*BE127</f>
        <v/>
      </c>
      <c r="BH127" s="38">
        <f>INDEX(Translations!$D:$ZZ, MATCH(306,Translations!$A:$A,0), MATCH('Project Information'!$C$4,Translations!$D$1:$ZZ$1,0))</f>
        <v/>
      </c>
      <c r="BI127" s="38">
        <f>INDEX(Translations!$D:$ZZ, MATCH(173,Translations!$A:$A,0), MATCH('Project Information'!$C$4,Translations!$D$1:$ZZ$1,0))</f>
        <v/>
      </c>
      <c r="BJ127" s="38">
        <f>INDEX(Translations!$D:$ZZ, MATCH(346,Translations!$A:$A,0), MATCH('Project Information'!$C$4,Translations!$D$1:$ZZ$1,0))</f>
        <v/>
      </c>
      <c r="BK127" s="38">
        <f>INDEX(Translations!$D:$ZZ, MATCH(78,Translations!$A:$A,0), MATCH('Project Information'!$C$4,Translations!$D$1:$ZZ$1,0))</f>
        <v/>
      </c>
      <c r="BL127" s="38">
        <f>IF(OR(TRIM(Development!$F$14)="Evet",TRIM(Development!$F$14)="Yes"),1,0)</f>
        <v/>
      </c>
      <c r="BM127" s="38" t="n">
        <v>10</v>
      </c>
      <c r="BN127" s="38">
        <f>BL127*BM127</f>
        <v/>
      </c>
    </row>
    <row r="128" ht="15" customHeight="1" s="39">
      <c r="AZ128" s="38">
        <f>INDEX(Translations!$D:$ZZ, MATCH(305,Translations!$A:$A,0), MATCH('Project Information'!$C$4,Translations!$D$1:$ZZ$1,0))</f>
        <v/>
      </c>
      <c r="BA128" s="38">
        <f>INDEX(Translations!$D:$ZZ, MATCH(42,Translations!$A:$A,0), MATCH('Project Information'!$C$4,Translations!$D$1:$ZZ$1,0))</f>
        <v/>
      </c>
      <c r="BB128" s="38">
        <f>INDEX(Translations!$D:$ZZ, MATCH(343,Translations!$A:$A,0), MATCH('Project Information'!$C$4,Translations!$D$1:$ZZ$1,0))</f>
        <v/>
      </c>
      <c r="BC128" s="38">
        <f>INDEX(Translations!$D:$ZZ, MATCH(84,Translations!$A:$A,0), MATCH('Project Information'!$C$4,Translations!$D$1:$ZZ$1,0))</f>
        <v/>
      </c>
      <c r="BD128" s="38">
        <f>IF(OR(TRIM('Project Information'!$C$41)="Evet",TRIM('Project Information'!$C$41)="Yes"),1,0)</f>
        <v/>
      </c>
      <c r="BE128" s="38" t="n">
        <v>0.5</v>
      </c>
      <c r="BF128" s="38">
        <f>BD128*BE128</f>
        <v/>
      </c>
      <c r="BH128" s="38">
        <f>INDEX(Translations!$D:$ZZ, MATCH(306,Translations!$A:$A,0), MATCH('Project Information'!$C$4,Translations!$D$1:$ZZ$1,0))</f>
        <v/>
      </c>
      <c r="BI128" s="38">
        <f>INDEX(Translations!$D:$ZZ, MATCH(173,Translations!$A:$A,0), MATCH('Project Information'!$C$4,Translations!$D$1:$ZZ$1,0))</f>
        <v/>
      </c>
      <c r="BJ128" s="38">
        <f>INDEX(Translations!$D:$ZZ, MATCH(338,Translations!$A:$A,0), MATCH('Project Information'!$C$4,Translations!$D$1:$ZZ$1,0))</f>
        <v/>
      </c>
      <c r="BK128" s="38">
        <f>INDEX(Translations!$D:$ZZ, MATCH(75,Translations!$A:$A,0), MATCH('Project Information'!$C$4,Translations!$D$1:$ZZ$1,0))</f>
        <v/>
      </c>
      <c r="BL128" s="38">
        <f>IF(OR(TRIM(Development!$F$14)="Evet",TRIM(Development!$F$14)="Yes"),1,0)</f>
        <v/>
      </c>
      <c r="BM128" s="38" t="n">
        <v>3</v>
      </c>
      <c r="BN128" s="38">
        <f>BL128*BM128</f>
        <v/>
      </c>
    </row>
    <row r="129" ht="15" customHeight="1" s="39">
      <c r="AZ129" s="38">
        <f>INDEX(Translations!$D:$ZZ, MATCH(305,Translations!$A:$A,0), MATCH('Project Information'!$C$4,Translations!$D$1:$ZZ$1,0))</f>
        <v/>
      </c>
      <c r="BA129" s="38">
        <f>INDEX(Translations!$D:$ZZ, MATCH(42,Translations!$A:$A,0), MATCH('Project Information'!$C$4,Translations!$D$1:$ZZ$1,0))</f>
        <v/>
      </c>
      <c r="BB129" s="38">
        <f>INDEX(Translations!$D:$ZZ, MATCH(343,Translations!$A:$A,0), MATCH('Project Information'!$C$4,Translations!$D$1:$ZZ$1,0))</f>
        <v/>
      </c>
      <c r="BC129" s="38">
        <f>INDEX(Translations!$D:$ZZ, MATCH(85,Translations!$A:$A,0), MATCH('Project Information'!$C$4,Translations!$D$1:$ZZ$1,0))</f>
        <v/>
      </c>
      <c r="BD129" s="38">
        <f>IF(OR(TRIM('Project Information'!$C$41)="Evet",TRIM('Project Information'!$C$41)="Yes"),1,0)</f>
        <v/>
      </c>
      <c r="BE129" s="38" t="n">
        <v>0.5</v>
      </c>
      <c r="BF129" s="38">
        <f>BD129*BE129</f>
        <v/>
      </c>
      <c r="BH129" s="38">
        <f>INDEX(Translations!$D:$ZZ, MATCH(306,Translations!$A:$A,0), MATCH('Project Information'!$C$4,Translations!$D$1:$ZZ$1,0))</f>
        <v/>
      </c>
      <c r="BI129" s="38">
        <f>INDEX(Translations!$D:$ZZ, MATCH(173,Translations!$A:$A,0), MATCH('Project Information'!$C$4,Translations!$D$1:$ZZ$1,0))</f>
        <v/>
      </c>
      <c r="BJ129" s="38">
        <f>INDEX(Translations!$D:$ZZ, MATCH(338,Translations!$A:$A,0), MATCH('Project Information'!$C$4,Translations!$D$1:$ZZ$1,0))</f>
        <v/>
      </c>
      <c r="BK129" s="38">
        <f>INDEX(Translations!$D:$ZZ, MATCH(76,Translations!$A:$A,0), MATCH('Project Information'!$C$4,Translations!$D$1:$ZZ$1,0))</f>
        <v/>
      </c>
      <c r="BL129" s="38">
        <f>IF(OR(TRIM(Development!$F$14)="Evet",TRIM(Development!$F$14)="Yes"),1,0)</f>
        <v/>
      </c>
      <c r="BM129" s="38" t="n">
        <v>1</v>
      </c>
      <c r="BN129" s="38">
        <f>BL129*BM129</f>
        <v/>
      </c>
    </row>
    <row r="130" ht="15" customHeight="1" s="39">
      <c r="AZ130" s="38">
        <f>INDEX(Translations!$D:$ZZ, MATCH(305,Translations!$A:$A,0), MATCH('Project Information'!$C$4,Translations!$D$1:$ZZ$1,0))</f>
        <v/>
      </c>
      <c r="BA130" s="38">
        <f>INDEX(Translations!$D:$ZZ, MATCH(25,Translations!$A:$A,0), MATCH('Project Information'!$C$4,Translations!$D$1:$ZZ$1,0))</f>
        <v/>
      </c>
      <c r="BB130" s="38">
        <f>INDEX(Translations!$D:$ZZ, MATCH(333,Translations!$A:$A,0), MATCH('Project Information'!$C$4,Translations!$D$1:$ZZ$1,0))</f>
        <v/>
      </c>
      <c r="BC130" s="38">
        <f>INDEX(Translations!$D:$ZZ, MATCH(75,Translations!$A:$A,0), MATCH('Project Information'!$C$4,Translations!$D$1:$ZZ$1,0))</f>
        <v/>
      </c>
      <c r="BD130" s="38">
        <f>MAX(N(Scope!$G$13)-1,0)</f>
        <v/>
      </c>
      <c r="BE130" s="38" t="n">
        <v>2</v>
      </c>
      <c r="BF130" s="38">
        <f>BD130*BE130</f>
        <v/>
      </c>
      <c r="BH130" s="38">
        <f>INDEX(Translations!$D:$ZZ, MATCH(306,Translations!$A:$A,0), MATCH('Project Information'!$C$4,Translations!$D$1:$ZZ$1,0))</f>
        <v/>
      </c>
      <c r="BI130" s="38">
        <f>INDEX(Translations!$D:$ZZ, MATCH(173,Translations!$A:$A,0), MATCH('Project Information'!$C$4,Translations!$D$1:$ZZ$1,0))</f>
        <v/>
      </c>
      <c r="BJ130" s="38">
        <f>INDEX(Translations!$D:$ZZ, MATCH(338,Translations!$A:$A,0), MATCH('Project Information'!$C$4,Translations!$D$1:$ZZ$1,0))</f>
        <v/>
      </c>
      <c r="BK130" s="38">
        <f>INDEX(Translations!$D:$ZZ, MATCH(79,Translations!$A:$A,0), MATCH('Project Information'!$C$4,Translations!$D$1:$ZZ$1,0))</f>
        <v/>
      </c>
      <c r="BL130" s="38">
        <f>IF(OR(TRIM(Development!$F$14)="Evet",TRIM(Development!$F$14)="Yes"),1,0)</f>
        <v/>
      </c>
      <c r="BM130" s="38" t="n">
        <v>3</v>
      </c>
      <c r="BN130" s="38">
        <f>BL130*BM130</f>
        <v/>
      </c>
    </row>
    <row r="131" ht="15" customHeight="1" s="39">
      <c r="AZ131" s="38">
        <f>INDEX(Translations!$D:$ZZ, MATCH(305,Translations!$A:$A,0), MATCH('Project Information'!$C$4,Translations!$D$1:$ZZ$1,0))</f>
        <v/>
      </c>
      <c r="BA131" s="38">
        <f>INDEX(Translations!$D:$ZZ, MATCH(25,Translations!$A:$A,0), MATCH('Project Information'!$C$4,Translations!$D$1:$ZZ$1,0))</f>
        <v/>
      </c>
      <c r="BB131" s="38">
        <f>INDEX(Translations!$D:$ZZ, MATCH(333,Translations!$A:$A,0), MATCH('Project Information'!$C$4,Translations!$D$1:$ZZ$1,0))</f>
        <v/>
      </c>
      <c r="BC131" s="38">
        <f>INDEX(Translations!$D:$ZZ, MATCH(76,Translations!$A:$A,0), MATCH('Project Information'!$C$4,Translations!$D$1:$ZZ$1,0))</f>
        <v/>
      </c>
      <c r="BD131" s="38">
        <f>MAX(N(Scope!$G$13)-1,0)</f>
        <v/>
      </c>
      <c r="BE131" s="38" t="n">
        <v>1</v>
      </c>
      <c r="BF131" s="38">
        <f>BD131*BE131</f>
        <v/>
      </c>
      <c r="BH131" s="38">
        <f>INDEX(Translations!$D:$ZZ, MATCH(306,Translations!$A:$A,0), MATCH('Project Information'!$C$4,Translations!$D$1:$ZZ$1,0))</f>
        <v/>
      </c>
      <c r="BI131" s="38">
        <f>INDEX(Translations!$D:$ZZ, MATCH(239,Translations!$A:$A,0), MATCH('Project Information'!$C$4,Translations!$D$1:$ZZ$1,0))</f>
        <v/>
      </c>
      <c r="BJ131" s="38">
        <f>INDEX(Translations!$D:$ZZ, MATCH(346,Translations!$A:$A,0), MATCH('Project Information'!$C$4,Translations!$D$1:$ZZ$1,0))</f>
        <v/>
      </c>
      <c r="BK131" s="38">
        <f>INDEX(Translations!$D:$ZZ, MATCH(78,Translations!$A:$A,0), MATCH('Project Information'!$C$4,Translations!$D$1:$ZZ$1,0))</f>
        <v/>
      </c>
      <c r="BL131" s="38">
        <f>IF(OR(TRIM(Development!$F$29)="Evet",TRIM(Development!$F$29)="Yes"),1,0)</f>
        <v/>
      </c>
      <c r="BM131" s="38" t="n">
        <v>10</v>
      </c>
      <c r="BN131" s="38">
        <f>BL131*BM131</f>
        <v/>
      </c>
    </row>
    <row r="132" ht="15" customHeight="1" s="39">
      <c r="AZ132" s="38">
        <f>INDEX(Translations!$D:$ZZ, MATCH(305,Translations!$A:$A,0), MATCH('Project Information'!$C$4,Translations!$D$1:$ZZ$1,0))</f>
        <v/>
      </c>
      <c r="BA132" s="38">
        <f>INDEX(Translations!$D:$ZZ, MATCH(25,Translations!$A:$A,0), MATCH('Project Information'!$C$4,Translations!$D$1:$ZZ$1,0))</f>
        <v/>
      </c>
      <c r="BB132" s="38">
        <f>INDEX(Translations!$D:$ZZ, MATCH(333,Translations!$A:$A,0), MATCH('Project Information'!$C$4,Translations!$D$1:$ZZ$1,0))</f>
        <v/>
      </c>
      <c r="BC132" s="38">
        <f>INDEX(Translations!$D:$ZZ, MATCH(78,Translations!$A:$A,0), MATCH('Project Information'!$C$4,Translations!$D$1:$ZZ$1,0))</f>
        <v/>
      </c>
      <c r="BD132" s="38">
        <f>MAX(N(Scope!$G$13)-1,0)</f>
        <v/>
      </c>
      <c r="BE132" s="38" t="n">
        <v>0.5</v>
      </c>
      <c r="BF132" s="38">
        <f>BD132*BE132</f>
        <v/>
      </c>
      <c r="BH132" s="38">
        <f>INDEX(Translations!$D:$ZZ, MATCH(306,Translations!$A:$A,0), MATCH('Project Information'!$C$4,Translations!$D$1:$ZZ$1,0))</f>
        <v/>
      </c>
      <c r="BI132" s="38">
        <f>INDEX(Translations!$D:$ZZ, MATCH(239,Translations!$A:$A,0), MATCH('Project Information'!$C$4,Translations!$D$1:$ZZ$1,0))</f>
        <v/>
      </c>
      <c r="BJ132" s="38">
        <f>INDEX(Translations!$D:$ZZ, MATCH(343,Translations!$A:$A,0), MATCH('Project Information'!$C$4,Translations!$D$1:$ZZ$1,0))</f>
        <v/>
      </c>
      <c r="BK132" s="38">
        <f>INDEX(Translations!$D:$ZZ, MATCH(75,Translations!$A:$A,0), MATCH('Project Information'!$C$4,Translations!$D$1:$ZZ$1,0))</f>
        <v/>
      </c>
      <c r="BL132" s="38">
        <f>IF(OR(TRIM(Development!$F$29)="Evet",TRIM(Development!$F$29)="Yes"),1,0)</f>
        <v/>
      </c>
      <c r="BM132" s="38" t="n">
        <v>2</v>
      </c>
      <c r="BN132" s="38">
        <f>BL132*BM132</f>
        <v/>
      </c>
    </row>
    <row r="133" ht="15" customHeight="1" s="39">
      <c r="AZ133" s="38">
        <f>INDEX(Translations!$D:$ZZ, MATCH(305,Translations!$A:$A,0), MATCH('Project Information'!$C$4,Translations!$D$1:$ZZ$1,0))</f>
        <v/>
      </c>
      <c r="BA133" s="38">
        <f>INDEX(Translations!$D:$ZZ, MATCH(25,Translations!$A:$A,0), MATCH('Project Information'!$C$4,Translations!$D$1:$ZZ$1,0))</f>
        <v/>
      </c>
      <c r="BB133" s="38">
        <f>INDEX(Translations!$D:$ZZ, MATCH(333,Translations!$A:$A,0), MATCH('Project Information'!$C$4,Translations!$D$1:$ZZ$1,0))</f>
        <v/>
      </c>
      <c r="BC133" s="38">
        <f>INDEX(Translations!$D:$ZZ, MATCH(79,Translations!$A:$A,0), MATCH('Project Information'!$C$4,Translations!$D$1:$ZZ$1,0))</f>
        <v/>
      </c>
      <c r="BD133" s="38">
        <f>MAX(N(Scope!$G$13)-1,0)</f>
        <v/>
      </c>
      <c r="BE133" s="38" t="n">
        <v>0.25</v>
      </c>
      <c r="BF133" s="38">
        <f>BD133*BE133</f>
        <v/>
      </c>
      <c r="BH133" s="38">
        <f>INDEX(Translations!$D:$ZZ, MATCH(306,Translations!$A:$A,0), MATCH('Project Information'!$C$4,Translations!$D$1:$ZZ$1,0))</f>
        <v/>
      </c>
      <c r="BI133" s="38">
        <f>INDEX(Translations!$D:$ZZ, MATCH(239,Translations!$A:$A,0), MATCH('Project Information'!$C$4,Translations!$D$1:$ZZ$1,0))</f>
        <v/>
      </c>
      <c r="BJ133" s="38">
        <f>INDEX(Translations!$D:$ZZ, MATCH(343,Translations!$A:$A,0), MATCH('Project Information'!$C$4,Translations!$D$1:$ZZ$1,0))</f>
        <v/>
      </c>
      <c r="BK133" s="38">
        <f>INDEX(Translations!$D:$ZZ, MATCH(76,Translations!$A:$A,0), MATCH('Project Information'!$C$4,Translations!$D$1:$ZZ$1,0))</f>
        <v/>
      </c>
      <c r="BL133" s="38">
        <f>IF(OR(TRIM(Development!$F$29)="Evet",TRIM(Development!$F$29)="Yes"),1,0)</f>
        <v/>
      </c>
      <c r="BM133" s="38" t="n">
        <v>1</v>
      </c>
      <c r="BN133" s="38">
        <f>BL133*BM133</f>
        <v/>
      </c>
    </row>
    <row r="134" ht="15" customHeight="1" s="39">
      <c r="AZ134" s="38">
        <f>INDEX(Translations!$D:$ZZ, MATCH(305,Translations!$A:$A,0), MATCH('Project Information'!$C$4,Translations!$D$1:$ZZ$1,0))</f>
        <v/>
      </c>
      <c r="BA134" s="38">
        <f>INDEX(Translations!$D:$ZZ, MATCH(25,Translations!$A:$A,0), MATCH('Project Information'!$C$4,Translations!$D$1:$ZZ$1,0))</f>
        <v/>
      </c>
      <c r="BB134" s="38">
        <f>INDEX(Translations!$D:$ZZ, MATCH(333,Translations!$A:$A,0), MATCH('Project Information'!$C$4,Translations!$D$1:$ZZ$1,0))</f>
        <v/>
      </c>
      <c r="BC134" s="38">
        <f>INDEX(Translations!$D:$ZZ, MATCH(80,Translations!$A:$A,0), MATCH('Project Information'!$C$4,Translations!$D$1:$ZZ$1,0))</f>
        <v/>
      </c>
      <c r="BD134" s="38">
        <f>MAX(N(Scope!$G$13)-1,0)</f>
        <v/>
      </c>
      <c r="BE134" s="38" t="n">
        <v>0.25</v>
      </c>
      <c r="BF134" s="38">
        <f>BD134*BE134</f>
        <v/>
      </c>
      <c r="BH134" s="38">
        <f>INDEX(Translations!$D:$ZZ, MATCH(306,Translations!$A:$A,0), MATCH('Project Information'!$C$4,Translations!$D$1:$ZZ$1,0))</f>
        <v/>
      </c>
      <c r="BI134" s="38">
        <f>INDEX(Translations!$D:$ZZ, MATCH(239,Translations!$A:$A,0), MATCH('Project Information'!$C$4,Translations!$D$1:$ZZ$1,0))</f>
        <v/>
      </c>
      <c r="BJ134" s="38">
        <f>INDEX(Translations!$D:$ZZ, MATCH(343,Translations!$A:$A,0), MATCH('Project Information'!$C$4,Translations!$D$1:$ZZ$1,0))</f>
        <v/>
      </c>
      <c r="BK134" s="38">
        <f>INDEX(Translations!$D:$ZZ, MATCH(79,Translations!$A:$A,0), MATCH('Project Information'!$C$4,Translations!$D$1:$ZZ$1,0))</f>
        <v/>
      </c>
      <c r="BL134" s="38">
        <f>IF(OR(TRIM(Development!$F$29)="Evet",TRIM(Development!$F$29)="Yes"),1,0)</f>
        <v/>
      </c>
      <c r="BM134" s="38" t="n">
        <v>2</v>
      </c>
      <c r="BN134" s="38">
        <f>BL134*BM134</f>
        <v/>
      </c>
    </row>
    <row r="135" ht="15" customHeight="1" s="39">
      <c r="AZ135" s="38">
        <f>INDEX(Translations!$D:$ZZ, MATCH(305,Translations!$A:$A,0), MATCH('Project Information'!$C$4,Translations!$D$1:$ZZ$1,0))</f>
        <v/>
      </c>
      <c r="BA135" s="38">
        <f>INDEX(Translations!$D:$ZZ, MATCH(25,Translations!$A:$A,0), MATCH('Project Information'!$C$4,Translations!$D$1:$ZZ$1,0))</f>
        <v/>
      </c>
      <c r="BB135" s="38">
        <f>INDEX(Translations!$D:$ZZ, MATCH(333,Translations!$A:$A,0), MATCH('Project Information'!$C$4,Translations!$D$1:$ZZ$1,0))</f>
        <v/>
      </c>
      <c r="BC135" s="38">
        <f>INDEX(Translations!$D:$ZZ, MATCH(82,Translations!$A:$A,0), MATCH('Project Information'!$C$4,Translations!$D$1:$ZZ$1,0))</f>
        <v/>
      </c>
      <c r="BD135" s="38">
        <f>MAX(N(Scope!$G$13)-1,0)</f>
        <v/>
      </c>
      <c r="BE135" s="38" t="n">
        <v>0.5</v>
      </c>
      <c r="BF135" s="38">
        <f>BD135*BE135</f>
        <v/>
      </c>
      <c r="BH135" s="38">
        <f>INDEX(Translations!$D:$ZZ, MATCH(306,Translations!$A:$A,0), MATCH('Project Information'!$C$4,Translations!$D$1:$ZZ$1,0))</f>
        <v/>
      </c>
      <c r="BI135" s="38">
        <f>INDEX(Translations!$D:$ZZ, MATCH(239,Translations!$A:$A,0), MATCH('Project Information'!$C$4,Translations!$D$1:$ZZ$1,0))</f>
        <v/>
      </c>
      <c r="BJ135" s="38">
        <f>INDEX(Translations!$D:$ZZ, MATCH(337,Translations!$A:$A,0), MATCH('Project Information'!$C$4,Translations!$D$1:$ZZ$1,0))</f>
        <v/>
      </c>
      <c r="BK135" s="38">
        <f>INDEX(Translations!$D:$ZZ, MATCH(75,Translations!$A:$A,0), MATCH('Project Information'!$C$4,Translations!$D$1:$ZZ$1,0))</f>
        <v/>
      </c>
      <c r="BL135" s="38">
        <f>IF(OR(TRIM(Development!$F$29)="Evet",TRIM(Development!$F$29)="Yes"),1,0)</f>
        <v/>
      </c>
      <c r="BM135" s="38" t="n">
        <v>1</v>
      </c>
      <c r="BN135" s="38">
        <f>BL135*BM135</f>
        <v/>
      </c>
    </row>
    <row r="136" ht="15" customHeight="1" s="39">
      <c r="AZ136" s="38">
        <f>INDEX(Translations!$D:$ZZ, MATCH(305,Translations!$A:$A,0), MATCH('Project Information'!$C$4,Translations!$D$1:$ZZ$1,0))</f>
        <v/>
      </c>
      <c r="BA136" s="38">
        <f>INDEX(Translations!$D:$ZZ, MATCH(25,Translations!$A:$A,0), MATCH('Project Information'!$C$4,Translations!$D$1:$ZZ$1,0))</f>
        <v/>
      </c>
      <c r="BB136" s="38">
        <f>INDEX(Translations!$D:$ZZ, MATCH(333,Translations!$A:$A,0), MATCH('Project Information'!$C$4,Translations!$D$1:$ZZ$1,0))</f>
        <v/>
      </c>
      <c r="BC136" s="38">
        <f>INDEX(Translations!$D:$ZZ, MATCH(83,Translations!$A:$A,0), MATCH('Project Information'!$C$4,Translations!$D$1:$ZZ$1,0))</f>
        <v/>
      </c>
      <c r="BD136" s="38">
        <f>MAX(N(Scope!$G$13)-1,0)</f>
        <v/>
      </c>
      <c r="BE136" s="38" t="n">
        <v>1</v>
      </c>
      <c r="BF136" s="38">
        <f>BD136*BE136</f>
        <v/>
      </c>
      <c r="BH136" s="38">
        <f>INDEX(Translations!$D:$ZZ, MATCH(306,Translations!$A:$A,0), MATCH('Project Information'!$C$4,Translations!$D$1:$ZZ$1,0))</f>
        <v/>
      </c>
      <c r="BI136" s="38">
        <f>INDEX(Translations!$D:$ZZ, MATCH(239,Translations!$A:$A,0), MATCH('Project Information'!$C$4,Translations!$D$1:$ZZ$1,0))</f>
        <v/>
      </c>
      <c r="BJ136" s="38">
        <f>INDEX(Translations!$D:$ZZ, MATCH(337,Translations!$A:$A,0), MATCH('Project Information'!$C$4,Translations!$D$1:$ZZ$1,0))</f>
        <v/>
      </c>
      <c r="BK136" s="38">
        <f>INDEX(Translations!$D:$ZZ, MATCH(76,Translations!$A:$A,0), MATCH('Project Information'!$C$4,Translations!$D$1:$ZZ$1,0))</f>
        <v/>
      </c>
      <c r="BL136" s="38">
        <f>IF(OR(TRIM(Development!$F$29)="Evet",TRIM(Development!$F$29)="Yes"),1,0)</f>
        <v/>
      </c>
      <c r="BM136" s="38" t="n">
        <v>1</v>
      </c>
      <c r="BN136" s="38">
        <f>BL136*BM136</f>
        <v/>
      </c>
    </row>
    <row r="137" ht="15" customHeight="1" s="39">
      <c r="AZ137" s="38">
        <f>INDEX(Translations!$D:$ZZ, MATCH(305,Translations!$A:$A,0), MATCH('Project Information'!$C$4,Translations!$D$1:$ZZ$1,0))</f>
        <v/>
      </c>
      <c r="BA137" s="38">
        <f>INDEX(Translations!$D:$ZZ, MATCH(25,Translations!$A:$A,0), MATCH('Project Information'!$C$4,Translations!$D$1:$ZZ$1,0))</f>
        <v/>
      </c>
      <c r="BB137" s="38">
        <f>INDEX(Translations!$D:$ZZ, MATCH(332,Translations!$A:$A,0), MATCH('Project Information'!$C$4,Translations!$D$1:$ZZ$1,0))</f>
        <v/>
      </c>
      <c r="BC137" s="38">
        <f>INDEX(Translations!$D:$ZZ, MATCH(75,Translations!$A:$A,0), MATCH('Project Information'!$C$4,Translations!$D$1:$ZZ$1,0))</f>
        <v/>
      </c>
      <c r="BD137" s="38">
        <f>MAX(N(Scope!$G$13)-1,0)</f>
        <v/>
      </c>
      <c r="BE137" s="38" t="n">
        <v>2</v>
      </c>
      <c r="BF137" s="38">
        <f>BD137*BE137</f>
        <v/>
      </c>
      <c r="BH137" s="38">
        <f>INDEX(Translations!$D:$ZZ, MATCH(306,Translations!$A:$A,0), MATCH('Project Information'!$C$4,Translations!$D$1:$ZZ$1,0))</f>
        <v/>
      </c>
      <c r="BI137" s="38">
        <f>INDEX(Translations!$D:$ZZ, MATCH(239,Translations!$A:$A,0), MATCH('Project Information'!$C$4,Translations!$D$1:$ZZ$1,0))</f>
        <v/>
      </c>
      <c r="BJ137" s="38">
        <f>INDEX(Translations!$D:$ZZ, MATCH(337,Translations!$A:$A,0), MATCH('Project Information'!$C$4,Translations!$D$1:$ZZ$1,0))</f>
        <v/>
      </c>
      <c r="BK137" s="38">
        <f>INDEX(Translations!$D:$ZZ, MATCH(79,Translations!$A:$A,0), MATCH('Project Information'!$C$4,Translations!$D$1:$ZZ$1,0))</f>
        <v/>
      </c>
      <c r="BL137" s="38">
        <f>IF(OR(TRIM(Development!$F$29)="Evet",TRIM(Development!$F$29)="Yes"),1,0)</f>
        <v/>
      </c>
      <c r="BM137" s="38" t="n">
        <v>1</v>
      </c>
      <c r="BN137" s="38">
        <f>BL137*BM137</f>
        <v/>
      </c>
    </row>
    <row r="138" ht="15" customHeight="1" s="39">
      <c r="AZ138" s="38">
        <f>INDEX(Translations!$D:$ZZ, MATCH(305,Translations!$A:$A,0), MATCH('Project Information'!$C$4,Translations!$D$1:$ZZ$1,0))</f>
        <v/>
      </c>
      <c r="BA138" s="38">
        <f>INDEX(Translations!$D:$ZZ, MATCH(25,Translations!$A:$A,0), MATCH('Project Information'!$C$4,Translations!$D$1:$ZZ$1,0))</f>
        <v/>
      </c>
      <c r="BB138" s="38">
        <f>INDEX(Translations!$D:$ZZ, MATCH(332,Translations!$A:$A,0), MATCH('Project Information'!$C$4,Translations!$D$1:$ZZ$1,0))</f>
        <v/>
      </c>
      <c r="BC138" s="38">
        <f>INDEX(Translations!$D:$ZZ, MATCH(76,Translations!$A:$A,0), MATCH('Project Information'!$C$4,Translations!$D$1:$ZZ$1,0))</f>
        <v/>
      </c>
      <c r="BD138" s="38">
        <f>MAX(N(Scope!$G$13)-1,0)</f>
        <v/>
      </c>
      <c r="BE138" s="38" t="n">
        <v>1</v>
      </c>
      <c r="BF138" s="38">
        <f>BD138*BE138</f>
        <v/>
      </c>
      <c r="BH138" s="38">
        <f>INDEX(Translations!$D:$ZZ, MATCH(306,Translations!$A:$A,0), MATCH('Project Information'!$C$4,Translations!$D$1:$ZZ$1,0))</f>
        <v/>
      </c>
      <c r="BI138" s="38">
        <f>INDEX(Translations!$D:$ZZ, MATCH(239,Translations!$A:$A,0), MATCH('Project Information'!$C$4,Translations!$D$1:$ZZ$1,0))</f>
        <v/>
      </c>
      <c r="BJ138" s="38">
        <f>INDEX(Translations!$D:$ZZ, MATCH(338,Translations!$A:$A,0), MATCH('Project Information'!$C$4,Translations!$D$1:$ZZ$1,0))</f>
        <v/>
      </c>
      <c r="BK138" s="38">
        <f>INDEX(Translations!$D:$ZZ, MATCH(75,Translations!$A:$A,0), MATCH('Project Information'!$C$4,Translations!$D$1:$ZZ$1,0))</f>
        <v/>
      </c>
      <c r="BL138" s="38">
        <f>IF(OR(TRIM(Development!$F$29)="Evet",TRIM(Development!$F$29)="Yes"),1,0)</f>
        <v/>
      </c>
      <c r="BM138" s="38" t="n">
        <v>2</v>
      </c>
      <c r="BN138" s="38">
        <f>BL138*BM138</f>
        <v/>
      </c>
    </row>
    <row r="139" ht="15" customHeight="1" s="39">
      <c r="AZ139" s="38">
        <f>INDEX(Translations!$D:$ZZ, MATCH(305,Translations!$A:$A,0), MATCH('Project Information'!$C$4,Translations!$D$1:$ZZ$1,0))</f>
        <v/>
      </c>
      <c r="BA139" s="38">
        <f>INDEX(Translations!$D:$ZZ, MATCH(25,Translations!$A:$A,0), MATCH('Project Information'!$C$4,Translations!$D$1:$ZZ$1,0))</f>
        <v/>
      </c>
      <c r="BB139" s="38">
        <f>INDEX(Translations!$D:$ZZ, MATCH(332,Translations!$A:$A,0), MATCH('Project Information'!$C$4,Translations!$D$1:$ZZ$1,0))</f>
        <v/>
      </c>
      <c r="BC139" s="38">
        <f>INDEX(Translations!$D:$ZZ, MATCH(78,Translations!$A:$A,0), MATCH('Project Information'!$C$4,Translations!$D$1:$ZZ$1,0))</f>
        <v/>
      </c>
      <c r="BD139" s="38">
        <f>MAX(N(Scope!$G$13)-1,0)</f>
        <v/>
      </c>
      <c r="BE139" s="38" t="n">
        <v>0.5</v>
      </c>
      <c r="BF139" s="38">
        <f>BD139*BE139</f>
        <v/>
      </c>
      <c r="BH139" s="38">
        <f>INDEX(Translations!$D:$ZZ, MATCH(306,Translations!$A:$A,0), MATCH('Project Information'!$C$4,Translations!$D$1:$ZZ$1,0))</f>
        <v/>
      </c>
      <c r="BI139" s="38">
        <f>INDEX(Translations!$D:$ZZ, MATCH(239,Translations!$A:$A,0), MATCH('Project Information'!$C$4,Translations!$D$1:$ZZ$1,0))</f>
        <v/>
      </c>
      <c r="BJ139" s="38">
        <f>INDEX(Translations!$D:$ZZ, MATCH(338,Translations!$A:$A,0), MATCH('Project Information'!$C$4,Translations!$D$1:$ZZ$1,0))</f>
        <v/>
      </c>
      <c r="BK139" s="38">
        <f>INDEX(Translations!$D:$ZZ, MATCH(76,Translations!$A:$A,0), MATCH('Project Information'!$C$4,Translations!$D$1:$ZZ$1,0))</f>
        <v/>
      </c>
      <c r="BL139" s="38">
        <f>IF(OR(TRIM(Development!$F$29)="Evet",TRIM(Development!$F$29)="Yes"),1,0)</f>
        <v/>
      </c>
      <c r="BM139" s="38" t="n">
        <v>1</v>
      </c>
      <c r="BN139" s="38">
        <f>BL139*BM139</f>
        <v/>
      </c>
    </row>
    <row r="140" ht="15" customHeight="1" s="39">
      <c r="AZ140" s="38">
        <f>INDEX(Translations!$D:$ZZ, MATCH(305,Translations!$A:$A,0), MATCH('Project Information'!$C$4,Translations!$D$1:$ZZ$1,0))</f>
        <v/>
      </c>
      <c r="BA140" s="38">
        <f>INDEX(Translations!$D:$ZZ, MATCH(25,Translations!$A:$A,0), MATCH('Project Information'!$C$4,Translations!$D$1:$ZZ$1,0))</f>
        <v/>
      </c>
      <c r="BB140" s="38">
        <f>INDEX(Translations!$D:$ZZ, MATCH(332,Translations!$A:$A,0), MATCH('Project Information'!$C$4,Translations!$D$1:$ZZ$1,0))</f>
        <v/>
      </c>
      <c r="BC140" s="38">
        <f>INDEX(Translations!$D:$ZZ, MATCH(79,Translations!$A:$A,0), MATCH('Project Information'!$C$4,Translations!$D$1:$ZZ$1,0))</f>
        <v/>
      </c>
      <c r="BD140" s="38">
        <f>MAX(N(Scope!$G$13)-1,0)</f>
        <v/>
      </c>
      <c r="BE140" s="38" t="n">
        <v>0.25</v>
      </c>
      <c r="BF140" s="38">
        <f>BD140*BE140</f>
        <v/>
      </c>
      <c r="BH140" s="38">
        <f>INDEX(Translations!$D:$ZZ, MATCH(306,Translations!$A:$A,0), MATCH('Project Information'!$C$4,Translations!$D$1:$ZZ$1,0))</f>
        <v/>
      </c>
      <c r="BI140" s="38">
        <f>INDEX(Translations!$D:$ZZ, MATCH(239,Translations!$A:$A,0), MATCH('Project Information'!$C$4,Translations!$D$1:$ZZ$1,0))</f>
        <v/>
      </c>
      <c r="BJ140" s="38">
        <f>INDEX(Translations!$D:$ZZ, MATCH(338,Translations!$A:$A,0), MATCH('Project Information'!$C$4,Translations!$D$1:$ZZ$1,0))</f>
        <v/>
      </c>
      <c r="BK140" s="38">
        <f>INDEX(Translations!$D:$ZZ, MATCH(79,Translations!$A:$A,0), MATCH('Project Information'!$C$4,Translations!$D$1:$ZZ$1,0))</f>
        <v/>
      </c>
      <c r="BL140" s="38">
        <f>IF(OR(TRIM(Development!$F$29)="Evet",TRIM(Development!$F$29)="Yes"),1,0)</f>
        <v/>
      </c>
      <c r="BM140" s="38" t="n">
        <v>2</v>
      </c>
      <c r="BN140" s="38">
        <f>BL140*BM140</f>
        <v/>
      </c>
    </row>
    <row r="141" ht="15" customHeight="1" s="39">
      <c r="AZ141" s="38">
        <f>INDEX(Translations!$D:$ZZ, MATCH(305,Translations!$A:$A,0), MATCH('Project Information'!$C$4,Translations!$D$1:$ZZ$1,0))</f>
        <v/>
      </c>
      <c r="BA141" s="38">
        <f>INDEX(Translations!$D:$ZZ, MATCH(25,Translations!$A:$A,0), MATCH('Project Information'!$C$4,Translations!$D$1:$ZZ$1,0))</f>
        <v/>
      </c>
      <c r="BB141" s="38">
        <f>INDEX(Translations!$D:$ZZ, MATCH(332,Translations!$A:$A,0), MATCH('Project Information'!$C$4,Translations!$D$1:$ZZ$1,0))</f>
        <v/>
      </c>
      <c r="BC141" s="38">
        <f>INDEX(Translations!$D:$ZZ, MATCH(80,Translations!$A:$A,0), MATCH('Project Information'!$C$4,Translations!$D$1:$ZZ$1,0))</f>
        <v/>
      </c>
      <c r="BD141" s="38">
        <f>MAX(N(Scope!$G$13)-1,0)</f>
        <v/>
      </c>
      <c r="BE141" s="38" t="n">
        <v>0.25</v>
      </c>
      <c r="BF141" s="38">
        <f>BD141*BE141</f>
        <v/>
      </c>
      <c r="BH141" s="38">
        <f>INDEX(Translations!$D:$ZZ, MATCH(306,Translations!$A:$A,0), MATCH('Project Information'!$C$4,Translations!$D$1:$ZZ$1,0))</f>
        <v/>
      </c>
      <c r="BI141" s="38">
        <f>INDEX(Translations!$D:$ZZ, MATCH(240,Translations!$A:$A,0), MATCH('Project Information'!$C$4,Translations!$D$1:$ZZ$1,0))</f>
        <v/>
      </c>
      <c r="BJ141" s="38">
        <f>INDEX(Translations!$D:$ZZ, MATCH(346,Translations!$A:$A,0), MATCH('Project Information'!$C$4,Translations!$D$1:$ZZ$1,0))</f>
        <v/>
      </c>
      <c r="BK141" s="38">
        <f>INDEX(Translations!$D:$ZZ, MATCH(78,Translations!$A:$A,0), MATCH('Project Information'!$C$4,Translations!$D$1:$ZZ$1,0))</f>
        <v/>
      </c>
      <c r="BL141" s="38">
        <f>IF(OR(TRIM(Development!$F$30)="Evet",TRIM(Development!$F$30)="Yes"),1,0)</f>
        <v/>
      </c>
      <c r="BM141" s="38" t="n">
        <v>10</v>
      </c>
      <c r="BN141" s="38">
        <f>BL141*BM141</f>
        <v/>
      </c>
    </row>
    <row r="142" ht="15" customHeight="1" s="39">
      <c r="AZ142" s="38">
        <f>INDEX(Translations!$D:$ZZ, MATCH(305,Translations!$A:$A,0), MATCH('Project Information'!$C$4,Translations!$D$1:$ZZ$1,0))</f>
        <v/>
      </c>
      <c r="BA142" s="38">
        <f>INDEX(Translations!$D:$ZZ, MATCH(25,Translations!$A:$A,0), MATCH('Project Information'!$C$4,Translations!$D$1:$ZZ$1,0))</f>
        <v/>
      </c>
      <c r="BB142" s="38">
        <f>INDEX(Translations!$D:$ZZ, MATCH(332,Translations!$A:$A,0), MATCH('Project Information'!$C$4,Translations!$D$1:$ZZ$1,0))</f>
        <v/>
      </c>
      <c r="BC142" s="38">
        <f>INDEX(Translations!$D:$ZZ, MATCH(82,Translations!$A:$A,0), MATCH('Project Information'!$C$4,Translations!$D$1:$ZZ$1,0))</f>
        <v/>
      </c>
      <c r="BD142" s="38">
        <f>MAX(N(Scope!$G$13)-1,0)</f>
        <v/>
      </c>
      <c r="BE142" s="38" t="n">
        <v>0.5</v>
      </c>
      <c r="BF142" s="38">
        <f>BD142*BE142</f>
        <v/>
      </c>
      <c r="BH142" s="38">
        <f>INDEX(Translations!$D:$ZZ, MATCH(306,Translations!$A:$A,0), MATCH('Project Information'!$C$4,Translations!$D$1:$ZZ$1,0))</f>
        <v/>
      </c>
      <c r="BI142" s="38">
        <f>INDEX(Translations!$D:$ZZ, MATCH(240,Translations!$A:$A,0), MATCH('Project Information'!$C$4,Translations!$D$1:$ZZ$1,0))</f>
        <v/>
      </c>
      <c r="BJ142" s="38">
        <f>INDEX(Translations!$D:$ZZ, MATCH(343,Translations!$A:$A,0), MATCH('Project Information'!$C$4,Translations!$D$1:$ZZ$1,0))</f>
        <v/>
      </c>
      <c r="BK142" s="38">
        <f>INDEX(Translations!$D:$ZZ, MATCH(75,Translations!$A:$A,0), MATCH('Project Information'!$C$4,Translations!$D$1:$ZZ$1,0))</f>
        <v/>
      </c>
      <c r="BL142" s="38">
        <f>IF(OR(TRIM(Development!$F$30)="Evet",TRIM(Development!$F$30)="Yes"),1,0)</f>
        <v/>
      </c>
      <c r="BM142" s="38" t="n">
        <v>2</v>
      </c>
      <c r="BN142" s="38">
        <f>BL142*BM142</f>
        <v/>
      </c>
    </row>
    <row r="143" ht="15" customHeight="1" s="39">
      <c r="AZ143" s="38">
        <f>INDEX(Translations!$D:$ZZ, MATCH(305,Translations!$A:$A,0), MATCH('Project Information'!$C$4,Translations!$D$1:$ZZ$1,0))</f>
        <v/>
      </c>
      <c r="BA143" s="38">
        <f>INDEX(Translations!$D:$ZZ, MATCH(25,Translations!$A:$A,0), MATCH('Project Information'!$C$4,Translations!$D$1:$ZZ$1,0))</f>
        <v/>
      </c>
      <c r="BB143" s="38">
        <f>INDEX(Translations!$D:$ZZ, MATCH(332,Translations!$A:$A,0), MATCH('Project Information'!$C$4,Translations!$D$1:$ZZ$1,0))</f>
        <v/>
      </c>
      <c r="BC143" s="38">
        <f>INDEX(Translations!$D:$ZZ, MATCH(83,Translations!$A:$A,0), MATCH('Project Information'!$C$4,Translations!$D$1:$ZZ$1,0))</f>
        <v/>
      </c>
      <c r="BD143" s="38">
        <f>MAX(N(Scope!$G$13)-1,0)</f>
        <v/>
      </c>
      <c r="BE143" s="38" t="n">
        <v>1</v>
      </c>
      <c r="BF143" s="38">
        <f>BD143*BE143</f>
        <v/>
      </c>
      <c r="BH143" s="38">
        <f>INDEX(Translations!$D:$ZZ, MATCH(306,Translations!$A:$A,0), MATCH('Project Information'!$C$4,Translations!$D$1:$ZZ$1,0))</f>
        <v/>
      </c>
      <c r="BI143" s="38">
        <f>INDEX(Translations!$D:$ZZ, MATCH(240,Translations!$A:$A,0), MATCH('Project Information'!$C$4,Translations!$D$1:$ZZ$1,0))</f>
        <v/>
      </c>
      <c r="BJ143" s="38">
        <f>INDEX(Translations!$D:$ZZ, MATCH(343,Translations!$A:$A,0), MATCH('Project Information'!$C$4,Translations!$D$1:$ZZ$1,0))</f>
        <v/>
      </c>
      <c r="BK143" s="38">
        <f>INDEX(Translations!$D:$ZZ, MATCH(76,Translations!$A:$A,0), MATCH('Project Information'!$C$4,Translations!$D$1:$ZZ$1,0))</f>
        <v/>
      </c>
      <c r="BL143" s="38">
        <f>IF(OR(TRIM(Development!$F$30)="Evet",TRIM(Development!$F$30)="Yes"),1,0)</f>
        <v/>
      </c>
      <c r="BM143" s="38" t="n">
        <v>1</v>
      </c>
      <c r="BN143" s="38">
        <f>BL143*BM143</f>
        <v/>
      </c>
    </row>
    <row r="144" ht="15" customHeight="1" s="39">
      <c r="AZ144" s="38">
        <f>INDEX(Translations!$D:$ZZ, MATCH(305,Translations!$A:$A,0), MATCH('Project Information'!$C$4,Translations!$D$1:$ZZ$1,0))</f>
        <v/>
      </c>
      <c r="BA144" s="38">
        <f>INDEX(Translations!$D:$ZZ, MATCH(25,Translations!$A:$A,0), MATCH('Project Information'!$C$4,Translations!$D$1:$ZZ$1,0))</f>
        <v/>
      </c>
      <c r="BB144" s="38">
        <f>INDEX(Translations!$D:$ZZ, MATCH(339,Translations!$A:$A,0), MATCH('Project Information'!$C$4,Translations!$D$1:$ZZ$1,0))</f>
        <v/>
      </c>
      <c r="BC144" s="38">
        <f>INDEX(Translations!$D:$ZZ, MATCH(75,Translations!$A:$A,0), MATCH('Project Information'!$C$4,Translations!$D$1:$ZZ$1,0))</f>
        <v/>
      </c>
      <c r="BD144" s="38">
        <f>MAX(N(Scope!$G$13)-1,0)</f>
        <v/>
      </c>
      <c r="BE144" s="38" t="n">
        <v>2</v>
      </c>
      <c r="BF144" s="38">
        <f>BD144*BE144</f>
        <v/>
      </c>
      <c r="BH144" s="38">
        <f>INDEX(Translations!$D:$ZZ, MATCH(306,Translations!$A:$A,0), MATCH('Project Information'!$C$4,Translations!$D$1:$ZZ$1,0))</f>
        <v/>
      </c>
      <c r="BI144" s="38">
        <f>INDEX(Translations!$D:$ZZ, MATCH(240,Translations!$A:$A,0), MATCH('Project Information'!$C$4,Translations!$D$1:$ZZ$1,0))</f>
        <v/>
      </c>
      <c r="BJ144" s="38">
        <f>INDEX(Translations!$D:$ZZ, MATCH(343,Translations!$A:$A,0), MATCH('Project Information'!$C$4,Translations!$D$1:$ZZ$1,0))</f>
        <v/>
      </c>
      <c r="BK144" s="38">
        <f>INDEX(Translations!$D:$ZZ, MATCH(79,Translations!$A:$A,0), MATCH('Project Information'!$C$4,Translations!$D$1:$ZZ$1,0))</f>
        <v/>
      </c>
      <c r="BL144" s="38">
        <f>IF(OR(TRIM(Development!$F$30)="Evet",TRIM(Development!$F$30)="Yes"),1,0)</f>
        <v/>
      </c>
      <c r="BM144" s="38" t="n">
        <v>2</v>
      </c>
      <c r="BN144" s="38">
        <f>BL144*BM144</f>
        <v/>
      </c>
    </row>
    <row r="145" ht="15" customHeight="1" s="39">
      <c r="AZ145" s="38">
        <f>INDEX(Translations!$D:$ZZ, MATCH(305,Translations!$A:$A,0), MATCH('Project Information'!$C$4,Translations!$D$1:$ZZ$1,0))</f>
        <v/>
      </c>
      <c r="BA145" s="38">
        <f>INDEX(Translations!$D:$ZZ, MATCH(25,Translations!$A:$A,0), MATCH('Project Information'!$C$4,Translations!$D$1:$ZZ$1,0))</f>
        <v/>
      </c>
      <c r="BB145" s="38">
        <f>INDEX(Translations!$D:$ZZ, MATCH(339,Translations!$A:$A,0), MATCH('Project Information'!$C$4,Translations!$D$1:$ZZ$1,0))</f>
        <v/>
      </c>
      <c r="BC145" s="38">
        <f>INDEX(Translations!$D:$ZZ, MATCH(76,Translations!$A:$A,0), MATCH('Project Information'!$C$4,Translations!$D$1:$ZZ$1,0))</f>
        <v/>
      </c>
      <c r="BD145" s="38">
        <f>MAX(N(Scope!$G$13)-1,0)</f>
        <v/>
      </c>
      <c r="BE145" s="38" t="n">
        <v>1</v>
      </c>
      <c r="BF145" s="38">
        <f>BD145*BE145</f>
        <v/>
      </c>
      <c r="BH145" s="38">
        <f>INDEX(Translations!$D:$ZZ, MATCH(306,Translations!$A:$A,0), MATCH('Project Information'!$C$4,Translations!$D$1:$ZZ$1,0))</f>
        <v/>
      </c>
      <c r="BI145" s="38">
        <f>INDEX(Translations!$D:$ZZ, MATCH(240,Translations!$A:$A,0), MATCH('Project Information'!$C$4,Translations!$D$1:$ZZ$1,0))</f>
        <v/>
      </c>
      <c r="BJ145" s="38">
        <f>INDEX(Translations!$D:$ZZ, MATCH(337,Translations!$A:$A,0), MATCH('Project Information'!$C$4,Translations!$D$1:$ZZ$1,0))</f>
        <v/>
      </c>
      <c r="BK145" s="38">
        <f>INDEX(Translations!$D:$ZZ, MATCH(75,Translations!$A:$A,0), MATCH('Project Information'!$C$4,Translations!$D$1:$ZZ$1,0))</f>
        <v/>
      </c>
      <c r="BL145" s="38">
        <f>IF(OR(TRIM(Development!$F$30)="Evet",TRIM(Development!$F$30)="Yes"),1,0)</f>
        <v/>
      </c>
      <c r="BM145" s="38" t="n">
        <v>1</v>
      </c>
      <c r="BN145" s="38">
        <f>BL145*BM145</f>
        <v/>
      </c>
    </row>
    <row r="146" ht="15" customHeight="1" s="39">
      <c r="AZ146" s="38">
        <f>INDEX(Translations!$D:$ZZ, MATCH(305,Translations!$A:$A,0), MATCH('Project Information'!$C$4,Translations!$D$1:$ZZ$1,0))</f>
        <v/>
      </c>
      <c r="BA146" s="38">
        <f>INDEX(Translations!$D:$ZZ, MATCH(25,Translations!$A:$A,0), MATCH('Project Information'!$C$4,Translations!$D$1:$ZZ$1,0))</f>
        <v/>
      </c>
      <c r="BB146" s="38">
        <f>INDEX(Translations!$D:$ZZ, MATCH(339,Translations!$A:$A,0), MATCH('Project Information'!$C$4,Translations!$D$1:$ZZ$1,0))</f>
        <v/>
      </c>
      <c r="BC146" s="38">
        <f>INDEX(Translations!$D:$ZZ, MATCH(78,Translations!$A:$A,0), MATCH('Project Information'!$C$4,Translations!$D$1:$ZZ$1,0))</f>
        <v/>
      </c>
      <c r="BD146" s="38">
        <f>MAX(N(Scope!$G$13)-1,0)</f>
        <v/>
      </c>
      <c r="BE146" s="38" t="n">
        <v>0.5</v>
      </c>
      <c r="BF146" s="38">
        <f>BD146*BE146</f>
        <v/>
      </c>
      <c r="BH146" s="38">
        <f>INDEX(Translations!$D:$ZZ, MATCH(306,Translations!$A:$A,0), MATCH('Project Information'!$C$4,Translations!$D$1:$ZZ$1,0))</f>
        <v/>
      </c>
      <c r="BI146" s="38">
        <f>INDEX(Translations!$D:$ZZ, MATCH(240,Translations!$A:$A,0), MATCH('Project Information'!$C$4,Translations!$D$1:$ZZ$1,0))</f>
        <v/>
      </c>
      <c r="BJ146" s="38">
        <f>INDEX(Translations!$D:$ZZ, MATCH(337,Translations!$A:$A,0), MATCH('Project Information'!$C$4,Translations!$D$1:$ZZ$1,0))</f>
        <v/>
      </c>
      <c r="BK146" s="38">
        <f>INDEX(Translations!$D:$ZZ, MATCH(76,Translations!$A:$A,0), MATCH('Project Information'!$C$4,Translations!$D$1:$ZZ$1,0))</f>
        <v/>
      </c>
      <c r="BL146" s="38">
        <f>IF(OR(TRIM(Development!$F$30)="Evet",TRIM(Development!$F$30)="Yes"),1,0)</f>
        <v/>
      </c>
      <c r="BM146" s="38" t="n">
        <v>1</v>
      </c>
      <c r="BN146" s="38">
        <f>BL146*BM146</f>
        <v/>
      </c>
    </row>
    <row r="147" ht="15" customHeight="1" s="39">
      <c r="AZ147" s="38">
        <f>INDEX(Translations!$D:$ZZ, MATCH(305,Translations!$A:$A,0), MATCH('Project Information'!$C$4,Translations!$D$1:$ZZ$1,0))</f>
        <v/>
      </c>
      <c r="BA147" s="38">
        <f>INDEX(Translations!$D:$ZZ, MATCH(25,Translations!$A:$A,0), MATCH('Project Information'!$C$4,Translations!$D$1:$ZZ$1,0))</f>
        <v/>
      </c>
      <c r="BB147" s="38">
        <f>INDEX(Translations!$D:$ZZ, MATCH(339,Translations!$A:$A,0), MATCH('Project Information'!$C$4,Translations!$D$1:$ZZ$1,0))</f>
        <v/>
      </c>
      <c r="BC147" s="38">
        <f>INDEX(Translations!$D:$ZZ, MATCH(79,Translations!$A:$A,0), MATCH('Project Information'!$C$4,Translations!$D$1:$ZZ$1,0))</f>
        <v/>
      </c>
      <c r="BD147" s="38">
        <f>MAX(N(Scope!$G$13)-1,0)</f>
        <v/>
      </c>
      <c r="BE147" s="38" t="n">
        <v>0.25</v>
      </c>
      <c r="BF147" s="38">
        <f>BD147*BE147</f>
        <v/>
      </c>
      <c r="BH147" s="38">
        <f>INDEX(Translations!$D:$ZZ, MATCH(306,Translations!$A:$A,0), MATCH('Project Information'!$C$4,Translations!$D$1:$ZZ$1,0))</f>
        <v/>
      </c>
      <c r="BI147" s="38">
        <f>INDEX(Translations!$D:$ZZ, MATCH(240,Translations!$A:$A,0), MATCH('Project Information'!$C$4,Translations!$D$1:$ZZ$1,0))</f>
        <v/>
      </c>
      <c r="BJ147" s="38">
        <f>INDEX(Translations!$D:$ZZ, MATCH(337,Translations!$A:$A,0), MATCH('Project Information'!$C$4,Translations!$D$1:$ZZ$1,0))</f>
        <v/>
      </c>
      <c r="BK147" s="38">
        <f>INDEX(Translations!$D:$ZZ, MATCH(79,Translations!$A:$A,0), MATCH('Project Information'!$C$4,Translations!$D$1:$ZZ$1,0))</f>
        <v/>
      </c>
      <c r="BL147" s="38">
        <f>IF(OR(TRIM(Development!$F$30)="Evet",TRIM(Development!$F$30)="Yes"),1,0)</f>
        <v/>
      </c>
      <c r="BM147" s="38" t="n">
        <v>1</v>
      </c>
      <c r="BN147" s="38">
        <f>BL147*BM147</f>
        <v/>
      </c>
    </row>
    <row r="148" ht="15" customHeight="1" s="39">
      <c r="AZ148" s="38">
        <f>INDEX(Translations!$D:$ZZ, MATCH(305,Translations!$A:$A,0), MATCH('Project Information'!$C$4,Translations!$D$1:$ZZ$1,0))</f>
        <v/>
      </c>
      <c r="BA148" s="38">
        <f>INDEX(Translations!$D:$ZZ, MATCH(25,Translations!$A:$A,0), MATCH('Project Information'!$C$4,Translations!$D$1:$ZZ$1,0))</f>
        <v/>
      </c>
      <c r="BB148" s="38">
        <f>INDEX(Translations!$D:$ZZ, MATCH(339,Translations!$A:$A,0), MATCH('Project Information'!$C$4,Translations!$D$1:$ZZ$1,0))</f>
        <v/>
      </c>
      <c r="BC148" s="38">
        <f>INDEX(Translations!$D:$ZZ, MATCH(80,Translations!$A:$A,0), MATCH('Project Information'!$C$4,Translations!$D$1:$ZZ$1,0))</f>
        <v/>
      </c>
      <c r="BD148" s="38">
        <f>MAX(N(Scope!$G$13)-1,0)</f>
        <v/>
      </c>
      <c r="BE148" s="38" t="n">
        <v>0.25</v>
      </c>
      <c r="BF148" s="38">
        <f>BD148*BE148</f>
        <v/>
      </c>
      <c r="BH148" s="38">
        <f>INDEX(Translations!$D:$ZZ, MATCH(306,Translations!$A:$A,0), MATCH('Project Information'!$C$4,Translations!$D$1:$ZZ$1,0))</f>
        <v/>
      </c>
      <c r="BI148" s="38">
        <f>INDEX(Translations!$D:$ZZ, MATCH(240,Translations!$A:$A,0), MATCH('Project Information'!$C$4,Translations!$D$1:$ZZ$1,0))</f>
        <v/>
      </c>
      <c r="BJ148" s="38">
        <f>INDEX(Translations!$D:$ZZ, MATCH(338,Translations!$A:$A,0), MATCH('Project Information'!$C$4,Translations!$D$1:$ZZ$1,0))</f>
        <v/>
      </c>
      <c r="BK148" s="38">
        <f>INDEX(Translations!$D:$ZZ, MATCH(75,Translations!$A:$A,0), MATCH('Project Information'!$C$4,Translations!$D$1:$ZZ$1,0))</f>
        <v/>
      </c>
      <c r="BL148" s="38">
        <f>IF(OR(TRIM(Development!$F$30)="Evet",TRIM(Development!$F$30)="Yes"),1,0)</f>
        <v/>
      </c>
      <c r="BM148" s="38" t="n">
        <v>2</v>
      </c>
      <c r="BN148" s="38">
        <f>BL148*BM148</f>
        <v/>
      </c>
    </row>
    <row r="149" ht="15" customHeight="1" s="39">
      <c r="AZ149" s="38">
        <f>INDEX(Translations!$D:$ZZ, MATCH(305,Translations!$A:$A,0), MATCH('Project Information'!$C$4,Translations!$D$1:$ZZ$1,0))</f>
        <v/>
      </c>
      <c r="BA149" s="38">
        <f>INDEX(Translations!$D:$ZZ, MATCH(25,Translations!$A:$A,0), MATCH('Project Information'!$C$4,Translations!$D$1:$ZZ$1,0))</f>
        <v/>
      </c>
      <c r="BB149" s="38">
        <f>INDEX(Translations!$D:$ZZ, MATCH(339,Translations!$A:$A,0), MATCH('Project Information'!$C$4,Translations!$D$1:$ZZ$1,0))</f>
        <v/>
      </c>
      <c r="BC149" s="38">
        <f>INDEX(Translations!$D:$ZZ, MATCH(82,Translations!$A:$A,0), MATCH('Project Information'!$C$4,Translations!$D$1:$ZZ$1,0))</f>
        <v/>
      </c>
      <c r="BD149" s="38">
        <f>MAX(N(Scope!$G$13)-1,0)</f>
        <v/>
      </c>
      <c r="BE149" s="38" t="n">
        <v>0.5</v>
      </c>
      <c r="BF149" s="38">
        <f>BD149*BE149</f>
        <v/>
      </c>
      <c r="BH149" s="38">
        <f>INDEX(Translations!$D:$ZZ, MATCH(306,Translations!$A:$A,0), MATCH('Project Information'!$C$4,Translations!$D$1:$ZZ$1,0))</f>
        <v/>
      </c>
      <c r="BI149" s="38">
        <f>INDEX(Translations!$D:$ZZ, MATCH(240,Translations!$A:$A,0), MATCH('Project Information'!$C$4,Translations!$D$1:$ZZ$1,0))</f>
        <v/>
      </c>
      <c r="BJ149" s="38">
        <f>INDEX(Translations!$D:$ZZ, MATCH(338,Translations!$A:$A,0), MATCH('Project Information'!$C$4,Translations!$D$1:$ZZ$1,0))</f>
        <v/>
      </c>
      <c r="BK149" s="38">
        <f>INDEX(Translations!$D:$ZZ, MATCH(76,Translations!$A:$A,0), MATCH('Project Information'!$C$4,Translations!$D$1:$ZZ$1,0))</f>
        <v/>
      </c>
      <c r="BL149" s="38">
        <f>IF(OR(TRIM(Development!$F$30)="Evet",TRIM(Development!$F$30)="Yes"),1,0)</f>
        <v/>
      </c>
      <c r="BM149" s="38" t="n">
        <v>1</v>
      </c>
      <c r="BN149" s="38">
        <f>BL149*BM149</f>
        <v/>
      </c>
    </row>
    <row r="150" ht="15" customHeight="1" s="39">
      <c r="AZ150" s="38">
        <f>INDEX(Translations!$D:$ZZ, MATCH(305,Translations!$A:$A,0), MATCH('Project Information'!$C$4,Translations!$D$1:$ZZ$1,0))</f>
        <v/>
      </c>
      <c r="BA150" s="38">
        <f>INDEX(Translations!$D:$ZZ, MATCH(25,Translations!$A:$A,0), MATCH('Project Information'!$C$4,Translations!$D$1:$ZZ$1,0))</f>
        <v/>
      </c>
      <c r="BB150" s="38">
        <f>INDEX(Translations!$D:$ZZ, MATCH(339,Translations!$A:$A,0), MATCH('Project Information'!$C$4,Translations!$D$1:$ZZ$1,0))</f>
        <v/>
      </c>
      <c r="BC150" s="38">
        <f>INDEX(Translations!$D:$ZZ, MATCH(83,Translations!$A:$A,0), MATCH('Project Information'!$C$4,Translations!$D$1:$ZZ$1,0))</f>
        <v/>
      </c>
      <c r="BD150" s="38">
        <f>MAX(N(Scope!$G$13)-1,0)</f>
        <v/>
      </c>
      <c r="BE150" s="38" t="n">
        <v>1</v>
      </c>
      <c r="BF150" s="38">
        <f>BD150*BE150</f>
        <v/>
      </c>
      <c r="BH150" s="38">
        <f>INDEX(Translations!$D:$ZZ, MATCH(306,Translations!$A:$A,0), MATCH('Project Information'!$C$4,Translations!$D$1:$ZZ$1,0))</f>
        <v/>
      </c>
      <c r="BI150" s="38">
        <f>INDEX(Translations!$D:$ZZ, MATCH(240,Translations!$A:$A,0), MATCH('Project Information'!$C$4,Translations!$D$1:$ZZ$1,0))</f>
        <v/>
      </c>
      <c r="BJ150" s="38">
        <f>INDEX(Translations!$D:$ZZ, MATCH(338,Translations!$A:$A,0), MATCH('Project Information'!$C$4,Translations!$D$1:$ZZ$1,0))</f>
        <v/>
      </c>
      <c r="BK150" s="38">
        <f>INDEX(Translations!$D:$ZZ, MATCH(79,Translations!$A:$A,0), MATCH('Project Information'!$C$4,Translations!$D$1:$ZZ$1,0))</f>
        <v/>
      </c>
      <c r="BL150" s="38">
        <f>IF(OR(TRIM(Development!$F$30)="Evet",TRIM(Development!$F$30)="Yes"),1,0)</f>
        <v/>
      </c>
      <c r="BM150" s="38" t="n">
        <v>2</v>
      </c>
      <c r="BN150" s="38">
        <f>BL150*BM150</f>
        <v/>
      </c>
    </row>
    <row r="151" ht="15" customHeight="1" s="39">
      <c r="AZ151" s="38">
        <f>INDEX(Translations!$D:$ZZ, MATCH(305,Translations!$A:$A,0), MATCH('Project Information'!$C$4,Translations!$D$1:$ZZ$1,0))</f>
        <v/>
      </c>
      <c r="BA151" s="38">
        <f>INDEX(Translations!$D:$ZZ, MATCH(25,Translations!$A:$A,0), MATCH('Project Information'!$C$4,Translations!$D$1:$ZZ$1,0))</f>
        <v/>
      </c>
      <c r="BB151" s="38">
        <f>INDEX(Translations!$D:$ZZ, MATCH(334,Translations!$A:$A,0), MATCH('Project Information'!$C$4,Translations!$D$1:$ZZ$1,0))</f>
        <v/>
      </c>
      <c r="BC151" s="38">
        <f>INDEX(Translations!$D:$ZZ, MATCH(75,Translations!$A:$A,0), MATCH('Project Information'!$C$4,Translations!$D$1:$ZZ$1,0))</f>
        <v/>
      </c>
      <c r="BD151" s="38">
        <f>MAX(N(Scope!$G$13)-1,0)</f>
        <v/>
      </c>
      <c r="BE151" s="38" t="n">
        <v>2</v>
      </c>
      <c r="BF151" s="38">
        <f>BD151*BE151</f>
        <v/>
      </c>
      <c r="BH151" s="38">
        <f>INDEX(Translations!$D:$ZZ, MATCH(306,Translations!$A:$A,0), MATCH('Project Information'!$C$4,Translations!$D$1:$ZZ$1,0))</f>
        <v/>
      </c>
      <c r="BI151" s="38">
        <f>INDEX(Translations!$D:$ZZ, MATCH(248,Translations!$A:$A,0), MATCH('Project Information'!$C$4,Translations!$D$1:$ZZ$1,0))</f>
        <v/>
      </c>
      <c r="BJ151" s="38">
        <f>INDEX(Translations!$D:$ZZ, MATCH(346,Translations!$A:$A,0), MATCH('Project Information'!$C$4,Translations!$D$1:$ZZ$1,0))</f>
        <v/>
      </c>
      <c r="BK151" s="38">
        <f>INDEX(Translations!$D:$ZZ, MATCH(78,Translations!$A:$A,0), MATCH('Project Information'!$C$4,Translations!$D$1:$ZZ$1,0))</f>
        <v/>
      </c>
      <c r="BL151" s="38">
        <f>IF(OR(TRIM("")="Evet",TRIM("")="Yes"),1,0)</f>
        <v/>
      </c>
      <c r="BM151" s="38" t="n">
        <v>14</v>
      </c>
      <c r="BN151" s="38">
        <f>BL151*BM151</f>
        <v/>
      </c>
    </row>
    <row r="152" ht="15" customHeight="1" s="39">
      <c r="AZ152" s="38">
        <f>INDEX(Translations!$D:$ZZ, MATCH(305,Translations!$A:$A,0), MATCH('Project Information'!$C$4,Translations!$D$1:$ZZ$1,0))</f>
        <v/>
      </c>
      <c r="BA152" s="38">
        <f>INDEX(Translations!$D:$ZZ, MATCH(25,Translations!$A:$A,0), MATCH('Project Information'!$C$4,Translations!$D$1:$ZZ$1,0))</f>
        <v/>
      </c>
      <c r="BB152" s="38">
        <f>INDEX(Translations!$D:$ZZ, MATCH(334,Translations!$A:$A,0), MATCH('Project Information'!$C$4,Translations!$D$1:$ZZ$1,0))</f>
        <v/>
      </c>
      <c r="BC152" s="38">
        <f>INDEX(Translations!$D:$ZZ, MATCH(76,Translations!$A:$A,0), MATCH('Project Information'!$C$4,Translations!$D$1:$ZZ$1,0))</f>
        <v/>
      </c>
      <c r="BD152" s="38">
        <f>MAX(N(Scope!$G$13)-1,0)</f>
        <v/>
      </c>
      <c r="BE152" s="38" t="n">
        <v>1</v>
      </c>
      <c r="BF152" s="38">
        <f>BD152*BE152</f>
        <v/>
      </c>
      <c r="BH152" s="38">
        <f>INDEX(Translations!$D:$ZZ, MATCH(306,Translations!$A:$A,0), MATCH('Project Information'!$C$4,Translations!$D$1:$ZZ$1,0))</f>
        <v/>
      </c>
      <c r="BI152" s="38">
        <f>INDEX(Translations!$D:$ZZ, MATCH(248,Translations!$A:$A,0), MATCH('Project Information'!$C$4,Translations!$D$1:$ZZ$1,0))</f>
        <v/>
      </c>
      <c r="BJ152" s="38">
        <f>INDEX(Translations!$D:$ZZ, MATCH(341,Translations!$A:$A,0), MATCH('Project Information'!$C$4,Translations!$D$1:$ZZ$1,0))</f>
        <v/>
      </c>
      <c r="BK152" s="38">
        <f>INDEX(Translations!$D:$ZZ, MATCH(75,Translations!$A:$A,0), MATCH('Project Information'!$C$4,Translations!$D$1:$ZZ$1,0))</f>
        <v/>
      </c>
      <c r="BL152" s="38">
        <f>IF(OR(TRIM("")="Evet",TRIM("")="Yes"),1,0)</f>
        <v/>
      </c>
      <c r="BM152" s="38" t="n">
        <v>4</v>
      </c>
      <c r="BN152" s="38">
        <f>BL152*BM152</f>
        <v/>
      </c>
    </row>
    <row r="153" ht="15" customHeight="1" s="39">
      <c r="AZ153" s="38">
        <f>INDEX(Translations!$D:$ZZ, MATCH(305,Translations!$A:$A,0), MATCH('Project Information'!$C$4,Translations!$D$1:$ZZ$1,0))</f>
        <v/>
      </c>
      <c r="BA153" s="38">
        <f>INDEX(Translations!$D:$ZZ, MATCH(25,Translations!$A:$A,0), MATCH('Project Information'!$C$4,Translations!$D$1:$ZZ$1,0))</f>
        <v/>
      </c>
      <c r="BB153" s="38">
        <f>INDEX(Translations!$D:$ZZ, MATCH(334,Translations!$A:$A,0), MATCH('Project Information'!$C$4,Translations!$D$1:$ZZ$1,0))</f>
        <v/>
      </c>
      <c r="BC153" s="38">
        <f>INDEX(Translations!$D:$ZZ, MATCH(78,Translations!$A:$A,0), MATCH('Project Information'!$C$4,Translations!$D$1:$ZZ$1,0))</f>
        <v/>
      </c>
      <c r="BD153" s="38">
        <f>MAX(N(Scope!$G$13)-1,0)</f>
        <v/>
      </c>
      <c r="BE153" s="38" t="n">
        <v>0.5</v>
      </c>
      <c r="BF153" s="38">
        <f>BD153*BE153</f>
        <v/>
      </c>
      <c r="BH153" s="38">
        <f>INDEX(Translations!$D:$ZZ, MATCH(306,Translations!$A:$A,0), MATCH('Project Information'!$C$4,Translations!$D$1:$ZZ$1,0))</f>
        <v/>
      </c>
      <c r="BI153" s="38">
        <f>INDEX(Translations!$D:$ZZ, MATCH(248,Translations!$A:$A,0), MATCH('Project Information'!$C$4,Translations!$D$1:$ZZ$1,0))</f>
        <v/>
      </c>
      <c r="BJ153" s="38">
        <f>INDEX(Translations!$D:$ZZ, MATCH(341,Translations!$A:$A,0), MATCH('Project Information'!$C$4,Translations!$D$1:$ZZ$1,0))</f>
        <v/>
      </c>
      <c r="BK153" s="38">
        <f>INDEX(Translations!$D:$ZZ, MATCH(76,Translations!$A:$A,0), MATCH('Project Information'!$C$4,Translations!$D$1:$ZZ$1,0))</f>
        <v/>
      </c>
      <c r="BL153" s="38">
        <f>IF(OR(TRIM("")="Evet",TRIM("")="Yes"),1,0)</f>
        <v/>
      </c>
      <c r="BM153" s="38" t="n">
        <v>2</v>
      </c>
      <c r="BN153" s="38">
        <f>BL153*BM153</f>
        <v/>
      </c>
    </row>
    <row r="154" ht="15" customHeight="1" s="39">
      <c r="AZ154" s="38">
        <f>INDEX(Translations!$D:$ZZ, MATCH(305,Translations!$A:$A,0), MATCH('Project Information'!$C$4,Translations!$D$1:$ZZ$1,0))</f>
        <v/>
      </c>
      <c r="BA154" s="38">
        <f>INDEX(Translations!$D:$ZZ, MATCH(25,Translations!$A:$A,0), MATCH('Project Information'!$C$4,Translations!$D$1:$ZZ$1,0))</f>
        <v/>
      </c>
      <c r="BB154" s="38">
        <f>INDEX(Translations!$D:$ZZ, MATCH(334,Translations!$A:$A,0), MATCH('Project Information'!$C$4,Translations!$D$1:$ZZ$1,0))</f>
        <v/>
      </c>
      <c r="BC154" s="38">
        <f>INDEX(Translations!$D:$ZZ, MATCH(79,Translations!$A:$A,0), MATCH('Project Information'!$C$4,Translations!$D$1:$ZZ$1,0))</f>
        <v/>
      </c>
      <c r="BD154" s="38">
        <f>MAX(N(Scope!$G$13)-1,0)</f>
        <v/>
      </c>
      <c r="BE154" s="38" t="n">
        <v>0.25</v>
      </c>
      <c r="BF154" s="38">
        <f>BD154*BE154</f>
        <v/>
      </c>
      <c r="BH154" s="38">
        <f>INDEX(Translations!$D:$ZZ, MATCH(306,Translations!$A:$A,0), MATCH('Project Information'!$C$4,Translations!$D$1:$ZZ$1,0))</f>
        <v/>
      </c>
      <c r="BI154" s="38">
        <f>INDEX(Translations!$D:$ZZ, MATCH(248,Translations!$A:$A,0), MATCH('Project Information'!$C$4,Translations!$D$1:$ZZ$1,0))</f>
        <v/>
      </c>
      <c r="BJ154" s="38">
        <f>INDEX(Translations!$D:$ZZ, MATCH(341,Translations!$A:$A,0), MATCH('Project Information'!$C$4,Translations!$D$1:$ZZ$1,0))</f>
        <v/>
      </c>
      <c r="BK154" s="38">
        <f>INDEX(Translations!$D:$ZZ, MATCH(79,Translations!$A:$A,0), MATCH('Project Information'!$C$4,Translations!$D$1:$ZZ$1,0))</f>
        <v/>
      </c>
      <c r="BL154" s="38">
        <f>IF(OR(TRIM("")="Evet",TRIM("")="Yes"),1,0)</f>
        <v/>
      </c>
      <c r="BM154" s="38" t="n">
        <v>5</v>
      </c>
      <c r="BN154" s="38">
        <f>BL154*BM154</f>
        <v/>
      </c>
    </row>
    <row r="155" ht="15" customHeight="1" s="39">
      <c r="AZ155" s="38">
        <f>INDEX(Translations!$D:$ZZ, MATCH(305,Translations!$A:$A,0), MATCH('Project Information'!$C$4,Translations!$D$1:$ZZ$1,0))</f>
        <v/>
      </c>
      <c r="BA155" s="38">
        <f>INDEX(Translations!$D:$ZZ, MATCH(25,Translations!$A:$A,0), MATCH('Project Information'!$C$4,Translations!$D$1:$ZZ$1,0))</f>
        <v/>
      </c>
      <c r="BB155" s="38">
        <f>INDEX(Translations!$D:$ZZ, MATCH(334,Translations!$A:$A,0), MATCH('Project Information'!$C$4,Translations!$D$1:$ZZ$1,0))</f>
        <v/>
      </c>
      <c r="BC155" s="38">
        <f>INDEX(Translations!$D:$ZZ, MATCH(80,Translations!$A:$A,0), MATCH('Project Information'!$C$4,Translations!$D$1:$ZZ$1,0))</f>
        <v/>
      </c>
      <c r="BD155" s="38">
        <f>MAX(N(Scope!$G$13)-1,0)</f>
        <v/>
      </c>
      <c r="BE155" s="38" t="n">
        <v>0.25</v>
      </c>
      <c r="BF155" s="38">
        <f>BD155*BE155</f>
        <v/>
      </c>
    </row>
    <row r="156" ht="15" customHeight="1" s="39">
      <c r="AZ156" s="38">
        <f>INDEX(Translations!$D:$ZZ, MATCH(305,Translations!$A:$A,0), MATCH('Project Information'!$C$4,Translations!$D$1:$ZZ$1,0))</f>
        <v/>
      </c>
      <c r="BA156" s="38">
        <f>INDEX(Translations!$D:$ZZ, MATCH(25,Translations!$A:$A,0), MATCH('Project Information'!$C$4,Translations!$D$1:$ZZ$1,0))</f>
        <v/>
      </c>
      <c r="BB156" s="38">
        <f>INDEX(Translations!$D:$ZZ, MATCH(334,Translations!$A:$A,0), MATCH('Project Information'!$C$4,Translations!$D$1:$ZZ$1,0))</f>
        <v/>
      </c>
      <c r="BC156" s="38">
        <f>INDEX(Translations!$D:$ZZ, MATCH(82,Translations!$A:$A,0), MATCH('Project Information'!$C$4,Translations!$D$1:$ZZ$1,0))</f>
        <v/>
      </c>
      <c r="BD156" s="38">
        <f>MAX(N(Scope!$G$13)-1,0)</f>
        <v/>
      </c>
      <c r="BE156" s="38" t="n">
        <v>0.5</v>
      </c>
      <c r="BF156" s="38">
        <f>BD156*BE156</f>
        <v/>
      </c>
    </row>
    <row r="157" ht="15" customHeight="1" s="39">
      <c r="AZ157" s="38">
        <f>INDEX(Translations!$D:$ZZ, MATCH(305,Translations!$A:$A,0), MATCH('Project Information'!$C$4,Translations!$D$1:$ZZ$1,0))</f>
        <v/>
      </c>
      <c r="BA157" s="38">
        <f>INDEX(Translations!$D:$ZZ, MATCH(25,Translations!$A:$A,0), MATCH('Project Information'!$C$4,Translations!$D$1:$ZZ$1,0))</f>
        <v/>
      </c>
      <c r="BB157" s="38">
        <f>INDEX(Translations!$D:$ZZ, MATCH(334,Translations!$A:$A,0), MATCH('Project Information'!$C$4,Translations!$D$1:$ZZ$1,0))</f>
        <v/>
      </c>
      <c r="BC157" s="38">
        <f>INDEX(Translations!$D:$ZZ, MATCH(83,Translations!$A:$A,0), MATCH('Project Information'!$C$4,Translations!$D$1:$ZZ$1,0))</f>
        <v/>
      </c>
      <c r="BD157" s="38">
        <f>MAX(N(Scope!$G$13)-1,0)</f>
        <v/>
      </c>
      <c r="BE157" s="38" t="n">
        <v>1</v>
      </c>
      <c r="BF157" s="38">
        <f>BD157*BE157</f>
        <v/>
      </c>
    </row>
    <row r="158" ht="15" customHeight="1" s="39">
      <c r="AZ158" s="38">
        <f>INDEX(Translations!$D:$ZZ, MATCH(305,Translations!$A:$A,0), MATCH('Project Information'!$C$4,Translations!$D$1:$ZZ$1,0))</f>
        <v/>
      </c>
      <c r="BA158" s="38">
        <f>INDEX(Translations!$D:$ZZ, MATCH(44,Translations!$A:$A,0), MATCH('Project Information'!$C$4,Translations!$D$1:$ZZ$1,0))</f>
        <v/>
      </c>
      <c r="BB158" s="38">
        <f>INDEX(Translations!$D:$ZZ, MATCH(343,Translations!$A:$A,0), MATCH('Project Information'!$C$4,Translations!$D$1:$ZZ$1,0))</f>
        <v/>
      </c>
      <c r="BC158" s="38">
        <f>INDEX(Translations!$D:$ZZ, MATCH(75,Translations!$A:$A,0), MATCH('Project Information'!$C$4,Translations!$D$1:$ZZ$1,0))</f>
        <v/>
      </c>
      <c r="BD158" s="38">
        <f>MAX(N(Scope!$G$18)-1,0)</f>
        <v/>
      </c>
      <c r="BE158" s="38" t="n">
        <v>2</v>
      </c>
      <c r="BF158" s="38">
        <f>BD158*BE158</f>
        <v/>
      </c>
    </row>
    <row r="159" ht="15" customHeight="1" s="39">
      <c r="AZ159" s="38">
        <f>INDEX(Translations!$D:$ZZ, MATCH(305,Translations!$A:$A,0), MATCH('Project Information'!$C$4,Translations!$D$1:$ZZ$1,0))</f>
        <v/>
      </c>
      <c r="BA159" s="38">
        <f>INDEX(Translations!$D:$ZZ, MATCH(44,Translations!$A:$A,0), MATCH('Project Information'!$C$4,Translations!$D$1:$ZZ$1,0))</f>
        <v/>
      </c>
      <c r="BB159" s="38">
        <f>INDEX(Translations!$D:$ZZ, MATCH(343,Translations!$A:$A,0), MATCH('Project Information'!$C$4,Translations!$D$1:$ZZ$1,0))</f>
        <v/>
      </c>
      <c r="BC159" s="38">
        <f>INDEX(Translations!$D:$ZZ, MATCH(76,Translations!$A:$A,0), MATCH('Project Information'!$C$4,Translations!$D$1:$ZZ$1,0))</f>
        <v/>
      </c>
      <c r="BD159" s="38">
        <f>MAX(N(Scope!$G$18)-1,0)</f>
        <v/>
      </c>
      <c r="BE159" s="38" t="n">
        <v>1</v>
      </c>
      <c r="BF159" s="38">
        <f>BD159*BE159</f>
        <v/>
      </c>
    </row>
    <row r="160" ht="15" customHeight="1" s="39">
      <c r="AZ160" s="38">
        <f>INDEX(Translations!$D:$ZZ, MATCH(305,Translations!$A:$A,0), MATCH('Project Information'!$C$4,Translations!$D$1:$ZZ$1,0))</f>
        <v/>
      </c>
      <c r="BA160" s="38">
        <f>INDEX(Translations!$D:$ZZ, MATCH(44,Translations!$A:$A,0), MATCH('Project Information'!$C$4,Translations!$D$1:$ZZ$1,0))</f>
        <v/>
      </c>
      <c r="BB160" s="38">
        <f>INDEX(Translations!$D:$ZZ, MATCH(343,Translations!$A:$A,0), MATCH('Project Information'!$C$4,Translations!$D$1:$ZZ$1,0))</f>
        <v/>
      </c>
      <c r="BC160" s="38">
        <f>INDEX(Translations!$D:$ZZ, MATCH(78,Translations!$A:$A,0), MATCH('Project Information'!$C$4,Translations!$D$1:$ZZ$1,0))</f>
        <v/>
      </c>
      <c r="BD160" s="38">
        <f>MAX(N(Scope!$G$18)-1,0)</f>
        <v/>
      </c>
      <c r="BE160" s="38" t="n">
        <v>0.5</v>
      </c>
      <c r="BF160" s="38">
        <f>BD160*BE160</f>
        <v/>
      </c>
    </row>
    <row r="161" ht="15" customHeight="1" s="39">
      <c r="AZ161" s="38">
        <f>INDEX(Translations!$D:$ZZ, MATCH(305,Translations!$A:$A,0), MATCH('Project Information'!$C$4,Translations!$D$1:$ZZ$1,0))</f>
        <v/>
      </c>
      <c r="BA161" s="38">
        <f>INDEX(Translations!$D:$ZZ, MATCH(44,Translations!$A:$A,0), MATCH('Project Information'!$C$4,Translations!$D$1:$ZZ$1,0))</f>
        <v/>
      </c>
      <c r="BB161" s="38">
        <f>INDEX(Translations!$D:$ZZ, MATCH(343,Translations!$A:$A,0), MATCH('Project Information'!$C$4,Translations!$D$1:$ZZ$1,0))</f>
        <v/>
      </c>
      <c r="BC161" s="38">
        <f>INDEX(Translations!$D:$ZZ, MATCH(79,Translations!$A:$A,0), MATCH('Project Information'!$C$4,Translations!$D$1:$ZZ$1,0))</f>
        <v/>
      </c>
      <c r="BD161" s="38">
        <f>MAX(N(Scope!$G$18)-1,0)</f>
        <v/>
      </c>
      <c r="BE161" s="38" t="n">
        <v>1</v>
      </c>
      <c r="BF161" s="38">
        <f>BD161*BE161</f>
        <v/>
      </c>
    </row>
    <row r="162" ht="15" customHeight="1" s="39">
      <c r="AZ162" s="38">
        <f>INDEX(Translations!$D:$ZZ, MATCH(305,Translations!$A:$A,0), MATCH('Project Information'!$C$4,Translations!$D$1:$ZZ$1,0))</f>
        <v/>
      </c>
      <c r="BA162" s="38">
        <f>INDEX(Translations!$D:$ZZ, MATCH(44,Translations!$A:$A,0), MATCH('Project Information'!$C$4,Translations!$D$1:$ZZ$1,0))</f>
        <v/>
      </c>
      <c r="BB162" s="38">
        <f>INDEX(Translations!$D:$ZZ, MATCH(343,Translations!$A:$A,0), MATCH('Project Information'!$C$4,Translations!$D$1:$ZZ$1,0))</f>
        <v/>
      </c>
      <c r="BC162" s="38">
        <f>INDEX(Translations!$D:$ZZ, MATCH(82,Translations!$A:$A,0), MATCH('Project Information'!$C$4,Translations!$D$1:$ZZ$1,0))</f>
        <v/>
      </c>
      <c r="BD162" s="38">
        <f>MAX(N(Scope!$G$18)-1,0)</f>
        <v/>
      </c>
      <c r="BE162" s="38" t="n">
        <v>0.5</v>
      </c>
      <c r="BF162" s="38">
        <f>BD162*BE162</f>
        <v/>
      </c>
    </row>
    <row r="163" ht="15" customHeight="1" s="39">
      <c r="AZ163" s="38">
        <f>INDEX(Translations!$D:$ZZ, MATCH(305,Translations!$A:$A,0), MATCH('Project Information'!$C$4,Translations!$D$1:$ZZ$1,0))</f>
        <v/>
      </c>
      <c r="BA163" s="38">
        <f>INDEX(Translations!$D:$ZZ, MATCH(44,Translations!$A:$A,0), MATCH('Project Information'!$C$4,Translations!$D$1:$ZZ$1,0))</f>
        <v/>
      </c>
      <c r="BB163" s="38">
        <f>INDEX(Translations!$D:$ZZ, MATCH(343,Translations!$A:$A,0), MATCH('Project Information'!$C$4,Translations!$D$1:$ZZ$1,0))</f>
        <v/>
      </c>
      <c r="BC163" s="38">
        <f>INDEX(Translations!$D:$ZZ, MATCH(83,Translations!$A:$A,0), MATCH('Project Information'!$C$4,Translations!$D$1:$ZZ$1,0))</f>
        <v/>
      </c>
      <c r="BD163" s="38">
        <f>MAX(N(Scope!$G$18)-1,0)</f>
        <v/>
      </c>
      <c r="BE163" s="38" t="n">
        <v>1</v>
      </c>
      <c r="BF163" s="38">
        <f>BD163*BE163</f>
        <v/>
      </c>
    </row>
    <row r="164" ht="15" customHeight="1" s="39">
      <c r="AZ164" s="38">
        <f>INDEX(Translations!$D:$ZZ, MATCH(305,Translations!$A:$A,0), MATCH('Project Information'!$C$4,Translations!$D$1:$ZZ$1,0))</f>
        <v/>
      </c>
      <c r="BA164" s="38">
        <f>INDEX(Translations!$D:$ZZ, MATCH(37,Translations!$A:$A,0), MATCH('Project Information'!$C$4,Translations!$D$1:$ZZ$1,0))</f>
        <v/>
      </c>
      <c r="BB164" s="38">
        <f>INDEX(Translations!$D:$ZZ, MATCH(333,Translations!$A:$A,0), MATCH('Project Information'!$C$4,Translations!$D$1:$ZZ$1,0))</f>
        <v/>
      </c>
      <c r="BC164" s="38">
        <f>INDEX(Translations!$D:$ZZ, MATCH(75,Translations!$A:$A,0), MATCH('Project Information'!$C$4,Translations!$D$1:$ZZ$1,0))</f>
        <v/>
      </c>
      <c r="BD164" s="38">
        <f>IF(OR(TRIM("")="Evet",TRIM("")="Yes"),1,0)</f>
        <v/>
      </c>
      <c r="BE164" s="38" t="n">
        <v>3</v>
      </c>
      <c r="BF164" s="38">
        <f>BD164*BE164</f>
        <v/>
      </c>
    </row>
    <row r="165" ht="15" customHeight="1" s="39">
      <c r="AZ165" s="38">
        <f>INDEX(Translations!$D:$ZZ, MATCH(305,Translations!$A:$A,0), MATCH('Project Information'!$C$4,Translations!$D$1:$ZZ$1,0))</f>
        <v/>
      </c>
      <c r="BA165" s="38">
        <f>INDEX(Translations!$D:$ZZ, MATCH(37,Translations!$A:$A,0), MATCH('Project Information'!$C$4,Translations!$D$1:$ZZ$1,0))</f>
        <v/>
      </c>
      <c r="BB165" s="38">
        <f>INDEX(Translations!$D:$ZZ, MATCH(333,Translations!$A:$A,0), MATCH('Project Information'!$C$4,Translations!$D$1:$ZZ$1,0))</f>
        <v/>
      </c>
      <c r="BC165" s="38">
        <f>INDEX(Translations!$D:$ZZ, MATCH(76,Translations!$A:$A,0), MATCH('Project Information'!$C$4,Translations!$D$1:$ZZ$1,0))</f>
        <v/>
      </c>
      <c r="BD165" s="38">
        <f>IF(OR(TRIM("")="Evet",TRIM("")="Yes"),1,0)</f>
        <v/>
      </c>
      <c r="BE165" s="38" t="n">
        <v>1</v>
      </c>
      <c r="BF165" s="38">
        <f>BD165*BE165</f>
        <v/>
      </c>
    </row>
    <row r="166" ht="15" customHeight="1" s="39">
      <c r="AZ166" s="38">
        <f>INDEX(Translations!$D:$ZZ, MATCH(305,Translations!$A:$A,0), MATCH('Project Information'!$C$4,Translations!$D$1:$ZZ$1,0))</f>
        <v/>
      </c>
      <c r="BA166" s="38">
        <f>INDEX(Translations!$D:$ZZ, MATCH(37,Translations!$A:$A,0), MATCH('Project Information'!$C$4,Translations!$D$1:$ZZ$1,0))</f>
        <v/>
      </c>
      <c r="BB166" s="38">
        <f>INDEX(Translations!$D:$ZZ, MATCH(333,Translations!$A:$A,0), MATCH('Project Information'!$C$4,Translations!$D$1:$ZZ$1,0))</f>
        <v/>
      </c>
      <c r="BC166" s="38">
        <f>INDEX(Translations!$D:$ZZ, MATCH(78,Translations!$A:$A,0), MATCH('Project Information'!$C$4,Translations!$D$1:$ZZ$1,0))</f>
        <v/>
      </c>
      <c r="BD166" s="38">
        <f>IF(OR(TRIM("")="Evet",TRIM("")="Yes"),1,0)</f>
        <v/>
      </c>
      <c r="BE166" s="38" t="n">
        <v>0.5</v>
      </c>
      <c r="BF166" s="38">
        <f>BD166*BE166</f>
        <v/>
      </c>
    </row>
    <row r="167" ht="15" customHeight="1" s="39">
      <c r="AZ167" s="38">
        <f>INDEX(Translations!$D:$ZZ, MATCH(305,Translations!$A:$A,0), MATCH('Project Information'!$C$4,Translations!$D$1:$ZZ$1,0))</f>
        <v/>
      </c>
      <c r="BA167" s="38">
        <f>INDEX(Translations!$D:$ZZ, MATCH(37,Translations!$A:$A,0), MATCH('Project Information'!$C$4,Translations!$D$1:$ZZ$1,0))</f>
        <v/>
      </c>
      <c r="BB167" s="38">
        <f>INDEX(Translations!$D:$ZZ, MATCH(333,Translations!$A:$A,0), MATCH('Project Information'!$C$4,Translations!$D$1:$ZZ$1,0))</f>
        <v/>
      </c>
      <c r="BC167" s="38">
        <f>INDEX(Translations!$D:$ZZ, MATCH(79,Translations!$A:$A,0), MATCH('Project Information'!$C$4,Translations!$D$1:$ZZ$1,0))</f>
        <v/>
      </c>
      <c r="BD167" s="38">
        <f>IF(OR(TRIM("")="Evet",TRIM("")="Yes"),1,0)</f>
        <v/>
      </c>
      <c r="BE167" s="38" t="n">
        <v>0.5</v>
      </c>
      <c r="BF167" s="38">
        <f>BD167*BE167</f>
        <v/>
      </c>
    </row>
    <row r="168" ht="15" customHeight="1" s="39">
      <c r="AZ168" s="38">
        <f>INDEX(Translations!$D:$ZZ, MATCH(305,Translations!$A:$A,0), MATCH('Project Information'!$C$4,Translations!$D$1:$ZZ$1,0))</f>
        <v/>
      </c>
      <c r="BA168" s="38">
        <f>INDEX(Translations!$D:$ZZ, MATCH(37,Translations!$A:$A,0), MATCH('Project Information'!$C$4,Translations!$D$1:$ZZ$1,0))</f>
        <v/>
      </c>
      <c r="BB168" s="38">
        <f>INDEX(Translations!$D:$ZZ, MATCH(343,Translations!$A:$A,0), MATCH('Project Information'!$C$4,Translations!$D$1:$ZZ$1,0))</f>
        <v/>
      </c>
      <c r="BC168" s="38">
        <f>INDEX(Translations!$D:$ZZ, MATCH(75,Translations!$A:$A,0), MATCH('Project Information'!$C$4,Translations!$D$1:$ZZ$1,0))</f>
        <v/>
      </c>
      <c r="BD168" s="38">
        <f>IF(OR(TRIM("")="Evet",TRIM("")="Yes"),1,0)</f>
        <v/>
      </c>
      <c r="BE168" s="38" t="n">
        <v>3</v>
      </c>
      <c r="BF168" s="38">
        <f>BD168*BE168</f>
        <v/>
      </c>
    </row>
    <row r="169" ht="15" customHeight="1" s="39">
      <c r="AZ169" s="38">
        <f>INDEX(Translations!$D:$ZZ, MATCH(305,Translations!$A:$A,0), MATCH('Project Information'!$C$4,Translations!$D$1:$ZZ$1,0))</f>
        <v/>
      </c>
      <c r="BA169" s="38">
        <f>INDEX(Translations!$D:$ZZ, MATCH(37,Translations!$A:$A,0), MATCH('Project Information'!$C$4,Translations!$D$1:$ZZ$1,0))</f>
        <v/>
      </c>
      <c r="BB169" s="38">
        <f>INDEX(Translations!$D:$ZZ, MATCH(343,Translations!$A:$A,0), MATCH('Project Information'!$C$4,Translations!$D$1:$ZZ$1,0))</f>
        <v/>
      </c>
      <c r="BC169" s="38">
        <f>INDEX(Translations!$D:$ZZ, MATCH(76,Translations!$A:$A,0), MATCH('Project Information'!$C$4,Translations!$D$1:$ZZ$1,0))</f>
        <v/>
      </c>
      <c r="BD169" s="38">
        <f>IF(OR(TRIM("")="Evet",TRIM("")="Yes"),1,0)</f>
        <v/>
      </c>
      <c r="BE169" s="38" t="n">
        <v>1</v>
      </c>
      <c r="BF169" s="38">
        <f>BD169*BE169</f>
        <v/>
      </c>
    </row>
    <row r="170" ht="15" customHeight="1" s="39">
      <c r="AZ170" s="38">
        <f>INDEX(Translations!$D:$ZZ, MATCH(305,Translations!$A:$A,0), MATCH('Project Information'!$C$4,Translations!$D$1:$ZZ$1,0))</f>
        <v/>
      </c>
      <c r="BA170" s="38">
        <f>INDEX(Translations!$D:$ZZ, MATCH(37,Translations!$A:$A,0), MATCH('Project Information'!$C$4,Translations!$D$1:$ZZ$1,0))</f>
        <v/>
      </c>
      <c r="BB170" s="38">
        <f>INDEX(Translations!$D:$ZZ, MATCH(343,Translations!$A:$A,0), MATCH('Project Information'!$C$4,Translations!$D$1:$ZZ$1,0))</f>
        <v/>
      </c>
      <c r="BC170" s="38">
        <f>INDEX(Translations!$D:$ZZ, MATCH(78,Translations!$A:$A,0), MATCH('Project Information'!$C$4,Translations!$D$1:$ZZ$1,0))</f>
        <v/>
      </c>
      <c r="BD170" s="38">
        <f>IF(OR(TRIM("")="Evet",TRIM("")="Yes"),1,0)</f>
        <v/>
      </c>
      <c r="BE170" s="38" t="n">
        <v>0.5</v>
      </c>
      <c r="BF170" s="38">
        <f>BD170*BE170</f>
        <v/>
      </c>
    </row>
    <row r="171" ht="15" customHeight="1" s="39">
      <c r="AZ171" s="38">
        <f>INDEX(Translations!$D:$ZZ, MATCH(305,Translations!$A:$A,0), MATCH('Project Information'!$C$4,Translations!$D$1:$ZZ$1,0))</f>
        <v/>
      </c>
      <c r="BA171" s="38">
        <f>INDEX(Translations!$D:$ZZ, MATCH(37,Translations!$A:$A,0), MATCH('Project Information'!$C$4,Translations!$D$1:$ZZ$1,0))</f>
        <v/>
      </c>
      <c r="BB171" s="38">
        <f>INDEX(Translations!$D:$ZZ, MATCH(343,Translations!$A:$A,0), MATCH('Project Information'!$C$4,Translations!$D$1:$ZZ$1,0))</f>
        <v/>
      </c>
      <c r="BC171" s="38">
        <f>INDEX(Translations!$D:$ZZ, MATCH(79,Translations!$A:$A,0), MATCH('Project Information'!$C$4,Translations!$D$1:$ZZ$1,0))</f>
        <v/>
      </c>
      <c r="BD171" s="38">
        <f>IF(OR(TRIM("")="Evet",TRIM("")="Yes"),1,0)</f>
        <v/>
      </c>
      <c r="BE171" s="38" t="n">
        <v>0.5</v>
      </c>
      <c r="BF171" s="38">
        <f>BD171*BE171</f>
        <v/>
      </c>
    </row>
    <row r="172" ht="15" customHeight="1" s="39">
      <c r="AZ172" s="38">
        <f>INDEX(Translations!$D:$ZZ, MATCH(305,Translations!$A:$A,0), MATCH('Project Information'!$C$4,Translations!$D$1:$ZZ$1,0))</f>
        <v/>
      </c>
      <c r="BA172" s="38">
        <f>INDEX(Translations!$D:$ZZ, MATCH(37,Translations!$A:$A,0), MATCH('Project Information'!$C$4,Translations!$D$1:$ZZ$1,0))</f>
        <v/>
      </c>
      <c r="BB172" s="38">
        <f>INDEX(Translations!$D:$ZZ, MATCH(337,Translations!$A:$A,0), MATCH('Project Information'!$C$4,Translations!$D$1:$ZZ$1,0))</f>
        <v/>
      </c>
      <c r="BC172" s="38">
        <f>INDEX(Translations!$D:$ZZ, MATCH(75,Translations!$A:$A,0), MATCH('Project Information'!$C$4,Translations!$D$1:$ZZ$1,0))</f>
        <v/>
      </c>
      <c r="BD172" s="38">
        <f>IF(OR(TRIM("")="Evet",TRIM("")="Yes"),1,0)</f>
        <v/>
      </c>
      <c r="BE172" s="38" t="n">
        <v>5</v>
      </c>
      <c r="BF172" s="38">
        <f>BD172*BE172</f>
        <v/>
      </c>
    </row>
    <row r="173" ht="15" customHeight="1" s="39">
      <c r="AZ173" s="38">
        <f>INDEX(Translations!$D:$ZZ, MATCH(305,Translations!$A:$A,0), MATCH('Project Information'!$C$4,Translations!$D$1:$ZZ$1,0))</f>
        <v/>
      </c>
      <c r="BA173" s="38">
        <f>INDEX(Translations!$D:$ZZ, MATCH(37,Translations!$A:$A,0), MATCH('Project Information'!$C$4,Translations!$D$1:$ZZ$1,0))</f>
        <v/>
      </c>
      <c r="BB173" s="38">
        <f>INDEX(Translations!$D:$ZZ, MATCH(337,Translations!$A:$A,0), MATCH('Project Information'!$C$4,Translations!$D$1:$ZZ$1,0))</f>
        <v/>
      </c>
      <c r="BC173" s="38">
        <f>INDEX(Translations!$D:$ZZ, MATCH(76,Translations!$A:$A,0), MATCH('Project Information'!$C$4,Translations!$D$1:$ZZ$1,0))</f>
        <v/>
      </c>
      <c r="BD173" s="38">
        <f>IF(OR(TRIM("")="Evet",TRIM("")="Yes"),1,0)</f>
        <v/>
      </c>
      <c r="BE173" s="38" t="n">
        <v>2</v>
      </c>
      <c r="BF173" s="38">
        <f>BD173*BE173</f>
        <v/>
      </c>
    </row>
    <row r="174" ht="15" customHeight="1" s="39">
      <c r="AZ174" s="38">
        <f>INDEX(Translations!$D:$ZZ, MATCH(305,Translations!$A:$A,0), MATCH('Project Information'!$C$4,Translations!$D$1:$ZZ$1,0))</f>
        <v/>
      </c>
      <c r="BA174" s="38">
        <f>INDEX(Translations!$D:$ZZ, MATCH(37,Translations!$A:$A,0), MATCH('Project Information'!$C$4,Translations!$D$1:$ZZ$1,0))</f>
        <v/>
      </c>
      <c r="BB174" s="38">
        <f>INDEX(Translations!$D:$ZZ, MATCH(337,Translations!$A:$A,0), MATCH('Project Information'!$C$4,Translations!$D$1:$ZZ$1,0))</f>
        <v/>
      </c>
      <c r="BC174" s="38">
        <f>INDEX(Translations!$D:$ZZ, MATCH(78,Translations!$A:$A,0), MATCH('Project Information'!$C$4,Translations!$D$1:$ZZ$1,0))</f>
        <v/>
      </c>
      <c r="BD174" s="38">
        <f>IF(OR(TRIM("")="Evet",TRIM("")="Yes"),1,0)</f>
        <v/>
      </c>
      <c r="BE174" s="38" t="n">
        <v>1</v>
      </c>
      <c r="BF174" s="38">
        <f>BD174*BE174</f>
        <v/>
      </c>
    </row>
    <row r="175" ht="15" customHeight="1" s="39">
      <c r="AZ175" s="38">
        <f>INDEX(Translations!$D:$ZZ, MATCH(305,Translations!$A:$A,0), MATCH('Project Information'!$C$4,Translations!$D$1:$ZZ$1,0))</f>
        <v/>
      </c>
      <c r="BA175" s="38">
        <f>INDEX(Translations!$D:$ZZ, MATCH(37,Translations!$A:$A,0), MATCH('Project Information'!$C$4,Translations!$D$1:$ZZ$1,0))</f>
        <v/>
      </c>
      <c r="BB175" s="38">
        <f>INDEX(Translations!$D:$ZZ, MATCH(337,Translations!$A:$A,0), MATCH('Project Information'!$C$4,Translations!$D$1:$ZZ$1,0))</f>
        <v/>
      </c>
      <c r="BC175" s="38">
        <f>INDEX(Translations!$D:$ZZ, MATCH(79,Translations!$A:$A,0), MATCH('Project Information'!$C$4,Translations!$D$1:$ZZ$1,0))</f>
        <v/>
      </c>
      <c r="BD175" s="38">
        <f>IF(OR(TRIM("")="Evet",TRIM("")="Yes"),1,0)</f>
        <v/>
      </c>
      <c r="BE175" s="38" t="n">
        <v>0.5</v>
      </c>
      <c r="BF175" s="38">
        <f>BD175*BE175</f>
        <v/>
      </c>
    </row>
    <row r="176" ht="15" customHeight="1" s="39">
      <c r="AZ176" s="38">
        <f>INDEX(Translations!$D:$ZZ, MATCH(305,Translations!$A:$A,0), MATCH('Project Information'!$C$4,Translations!$D$1:$ZZ$1,0))</f>
        <v/>
      </c>
      <c r="BA176" s="38">
        <f>INDEX(Translations!$D:$ZZ, MATCH(37,Translations!$A:$A,0), MATCH('Project Information'!$C$4,Translations!$D$1:$ZZ$1,0))</f>
        <v/>
      </c>
      <c r="BB176" s="38">
        <f>INDEX(Translations!$D:$ZZ, MATCH(338,Translations!$A:$A,0), MATCH('Project Information'!$C$4,Translations!$D$1:$ZZ$1,0))</f>
        <v/>
      </c>
      <c r="BC176" s="38">
        <f>INDEX(Translations!$D:$ZZ, MATCH(75,Translations!$A:$A,0), MATCH('Project Information'!$C$4,Translations!$D$1:$ZZ$1,0))</f>
        <v/>
      </c>
      <c r="BD176" s="38">
        <f>IF(OR(TRIM("")="Evet",TRIM("")="Yes"),1,0)</f>
        <v/>
      </c>
      <c r="BE176" s="38" t="n">
        <v>5</v>
      </c>
      <c r="BF176" s="38">
        <f>BD176*BE176</f>
        <v/>
      </c>
    </row>
    <row r="177" ht="15" customHeight="1" s="39">
      <c r="AZ177" s="38">
        <f>INDEX(Translations!$D:$ZZ, MATCH(305,Translations!$A:$A,0), MATCH('Project Information'!$C$4,Translations!$D$1:$ZZ$1,0))</f>
        <v/>
      </c>
      <c r="BA177" s="38">
        <f>INDEX(Translations!$D:$ZZ, MATCH(37,Translations!$A:$A,0), MATCH('Project Information'!$C$4,Translations!$D$1:$ZZ$1,0))</f>
        <v/>
      </c>
      <c r="BB177" s="38">
        <f>INDEX(Translations!$D:$ZZ, MATCH(338,Translations!$A:$A,0), MATCH('Project Information'!$C$4,Translations!$D$1:$ZZ$1,0))</f>
        <v/>
      </c>
      <c r="BC177" s="38">
        <f>INDEX(Translations!$D:$ZZ, MATCH(76,Translations!$A:$A,0), MATCH('Project Information'!$C$4,Translations!$D$1:$ZZ$1,0))</f>
        <v/>
      </c>
      <c r="BD177" s="38">
        <f>IF(OR(TRIM("")="Evet",TRIM("")="Yes"),1,0)</f>
        <v/>
      </c>
      <c r="BE177" s="38" t="n">
        <v>2</v>
      </c>
      <c r="BF177" s="38">
        <f>BD177*BE177</f>
        <v/>
      </c>
    </row>
    <row r="178" ht="15" customHeight="1" s="39">
      <c r="AZ178" s="38">
        <f>INDEX(Translations!$D:$ZZ, MATCH(305,Translations!$A:$A,0), MATCH('Project Information'!$C$4,Translations!$D$1:$ZZ$1,0))</f>
        <v/>
      </c>
      <c r="BA178" s="38">
        <f>INDEX(Translations!$D:$ZZ, MATCH(37,Translations!$A:$A,0), MATCH('Project Information'!$C$4,Translations!$D$1:$ZZ$1,0))</f>
        <v/>
      </c>
      <c r="BB178" s="38">
        <f>INDEX(Translations!$D:$ZZ, MATCH(338,Translations!$A:$A,0), MATCH('Project Information'!$C$4,Translations!$D$1:$ZZ$1,0))</f>
        <v/>
      </c>
      <c r="BC178" s="38">
        <f>INDEX(Translations!$D:$ZZ, MATCH(78,Translations!$A:$A,0), MATCH('Project Information'!$C$4,Translations!$D$1:$ZZ$1,0))</f>
        <v/>
      </c>
      <c r="BD178" s="38">
        <f>IF(OR(TRIM("")="Evet",TRIM("")="Yes"),1,0)</f>
        <v/>
      </c>
      <c r="BE178" s="38" t="n">
        <v>1</v>
      </c>
      <c r="BF178" s="38">
        <f>BD178*BE178</f>
        <v/>
      </c>
    </row>
    <row r="179" ht="15" customHeight="1" s="39">
      <c r="AZ179" s="38">
        <f>INDEX(Translations!$D:$ZZ, MATCH(305,Translations!$A:$A,0), MATCH('Project Information'!$C$4,Translations!$D$1:$ZZ$1,0))</f>
        <v/>
      </c>
      <c r="BA179" s="38">
        <f>INDEX(Translations!$D:$ZZ, MATCH(37,Translations!$A:$A,0), MATCH('Project Information'!$C$4,Translations!$D$1:$ZZ$1,0))</f>
        <v/>
      </c>
      <c r="BB179" s="38">
        <f>INDEX(Translations!$D:$ZZ, MATCH(338,Translations!$A:$A,0), MATCH('Project Information'!$C$4,Translations!$D$1:$ZZ$1,0))</f>
        <v/>
      </c>
      <c r="BC179" s="38">
        <f>INDEX(Translations!$D:$ZZ, MATCH(79,Translations!$A:$A,0), MATCH('Project Information'!$C$4,Translations!$D$1:$ZZ$1,0))</f>
        <v/>
      </c>
      <c r="BD179" s="38">
        <f>IF(OR(TRIM("")="Evet",TRIM("")="Yes"),1,0)</f>
        <v/>
      </c>
      <c r="BE179" s="38" t="n">
        <v>0.5</v>
      </c>
      <c r="BF179" s="38">
        <f>BD179*BE179</f>
        <v/>
      </c>
    </row>
    <row r="180" ht="15" customHeight="1" s="39">
      <c r="AZ180" s="38">
        <f>INDEX(Translations!$D:$ZZ, MATCH(305,Translations!$A:$A,0), MATCH('Project Information'!$C$4,Translations!$D$1:$ZZ$1,0))</f>
        <v/>
      </c>
      <c r="BA180" s="38">
        <f>INDEX(Translations!$D:$ZZ, MATCH(37,Translations!$A:$A,0), MATCH('Project Information'!$C$4,Translations!$D$1:$ZZ$1,0))</f>
        <v/>
      </c>
      <c r="BB180" s="38">
        <f>INDEX(Translations!$D:$ZZ, MATCH(340,Translations!$A:$A,0), MATCH('Project Information'!$C$4,Translations!$D$1:$ZZ$1,0))</f>
        <v/>
      </c>
      <c r="BC180" s="38">
        <f>INDEX(Translations!$D:$ZZ, MATCH(75,Translations!$A:$A,0), MATCH('Project Information'!$C$4,Translations!$D$1:$ZZ$1,0))</f>
        <v/>
      </c>
      <c r="BD180" s="38">
        <f>IF(OR(TRIM("")="Evet",TRIM("")="Yes"),1,0)</f>
        <v/>
      </c>
      <c r="BE180" s="38" t="n">
        <v>3</v>
      </c>
      <c r="BF180" s="38">
        <f>BD180*BE180</f>
        <v/>
      </c>
    </row>
    <row r="181" ht="15" customHeight="1" s="39">
      <c r="AZ181" s="38">
        <f>INDEX(Translations!$D:$ZZ, MATCH(305,Translations!$A:$A,0), MATCH('Project Information'!$C$4,Translations!$D$1:$ZZ$1,0))</f>
        <v/>
      </c>
      <c r="BA181" s="38">
        <f>INDEX(Translations!$D:$ZZ, MATCH(37,Translations!$A:$A,0), MATCH('Project Information'!$C$4,Translations!$D$1:$ZZ$1,0))</f>
        <v/>
      </c>
      <c r="BB181" s="38">
        <f>INDEX(Translations!$D:$ZZ, MATCH(340,Translations!$A:$A,0), MATCH('Project Information'!$C$4,Translations!$D$1:$ZZ$1,0))</f>
        <v/>
      </c>
      <c r="BC181" s="38">
        <f>INDEX(Translations!$D:$ZZ, MATCH(76,Translations!$A:$A,0), MATCH('Project Information'!$C$4,Translations!$D$1:$ZZ$1,0))</f>
        <v/>
      </c>
      <c r="BD181" s="38">
        <f>IF(OR(TRIM("")="Evet",TRIM("")="Yes"),1,0)</f>
        <v/>
      </c>
      <c r="BE181" s="38" t="n">
        <v>1</v>
      </c>
      <c r="BF181" s="38">
        <f>BD181*BE181</f>
        <v/>
      </c>
    </row>
    <row r="182" ht="15" customHeight="1" s="39">
      <c r="AZ182" s="38">
        <f>INDEX(Translations!$D:$ZZ, MATCH(305,Translations!$A:$A,0), MATCH('Project Information'!$C$4,Translations!$D$1:$ZZ$1,0))</f>
        <v/>
      </c>
      <c r="BA182" s="38">
        <f>INDEX(Translations!$D:$ZZ, MATCH(37,Translations!$A:$A,0), MATCH('Project Information'!$C$4,Translations!$D$1:$ZZ$1,0))</f>
        <v/>
      </c>
      <c r="BB182" s="38">
        <f>INDEX(Translations!$D:$ZZ, MATCH(340,Translations!$A:$A,0), MATCH('Project Information'!$C$4,Translations!$D$1:$ZZ$1,0))</f>
        <v/>
      </c>
      <c r="BC182" s="38">
        <f>INDEX(Translations!$D:$ZZ, MATCH(78,Translations!$A:$A,0), MATCH('Project Information'!$C$4,Translations!$D$1:$ZZ$1,0))</f>
        <v/>
      </c>
      <c r="BD182" s="38">
        <f>IF(OR(TRIM("")="Evet",TRIM("")="Yes"),1,0)</f>
        <v/>
      </c>
      <c r="BE182" s="38" t="n">
        <v>1</v>
      </c>
      <c r="BF182" s="38">
        <f>BD182*BE182</f>
        <v/>
      </c>
    </row>
    <row r="183" ht="15" customHeight="1" s="39">
      <c r="AZ183" s="38">
        <f>INDEX(Translations!$D:$ZZ, MATCH(305,Translations!$A:$A,0), MATCH('Project Information'!$C$4,Translations!$D$1:$ZZ$1,0))</f>
        <v/>
      </c>
      <c r="BA183" s="38">
        <f>INDEX(Translations!$D:$ZZ, MATCH(37,Translations!$A:$A,0), MATCH('Project Information'!$C$4,Translations!$D$1:$ZZ$1,0))</f>
        <v/>
      </c>
      <c r="BB183" s="38">
        <f>INDEX(Translations!$D:$ZZ, MATCH(340,Translations!$A:$A,0), MATCH('Project Information'!$C$4,Translations!$D$1:$ZZ$1,0))</f>
        <v/>
      </c>
      <c r="BC183" s="38">
        <f>INDEX(Translations!$D:$ZZ, MATCH(79,Translations!$A:$A,0), MATCH('Project Information'!$C$4,Translations!$D$1:$ZZ$1,0))</f>
        <v/>
      </c>
      <c r="BD183" s="38">
        <f>IF(OR(TRIM("")="Evet",TRIM("")="Yes"),1,0)</f>
        <v/>
      </c>
      <c r="BE183" s="38" t="n">
        <v>0.5</v>
      </c>
      <c r="BF183" s="38">
        <f>BD183*BE183</f>
        <v/>
      </c>
    </row>
    <row r="184" ht="15" customHeight="1" s="39">
      <c r="AZ184" s="38">
        <f>INDEX(Translations!$D:$ZZ, MATCH(305,Translations!$A:$A,0), MATCH('Project Information'!$C$4,Translations!$D$1:$ZZ$1,0))</f>
        <v/>
      </c>
      <c r="BA184" s="38">
        <f>INDEX(Translations!$D:$ZZ, MATCH(37,Translations!$A:$A,0), MATCH('Project Information'!$C$4,Translations!$D$1:$ZZ$1,0))</f>
        <v/>
      </c>
      <c r="BB184" s="38">
        <f>INDEX(Translations!$D:$ZZ, MATCH(339,Translations!$A:$A,0), MATCH('Project Information'!$C$4,Translations!$D$1:$ZZ$1,0))</f>
        <v/>
      </c>
      <c r="BC184" s="38">
        <f>INDEX(Translations!$D:$ZZ, MATCH(75,Translations!$A:$A,0), MATCH('Project Information'!$C$4,Translations!$D$1:$ZZ$1,0))</f>
        <v/>
      </c>
      <c r="BD184" s="38">
        <f>IF(OR(TRIM("")="Evet",TRIM("")="Yes"),1,0)</f>
        <v/>
      </c>
      <c r="BE184" s="38" t="n">
        <v>3</v>
      </c>
      <c r="BF184" s="38">
        <f>BD184*BE184</f>
        <v/>
      </c>
    </row>
    <row r="185" ht="15" customHeight="1" s="39">
      <c r="AZ185" s="38">
        <f>INDEX(Translations!$D:$ZZ, MATCH(305,Translations!$A:$A,0), MATCH('Project Information'!$C$4,Translations!$D$1:$ZZ$1,0))</f>
        <v/>
      </c>
      <c r="BA185" s="38">
        <f>INDEX(Translations!$D:$ZZ, MATCH(37,Translations!$A:$A,0), MATCH('Project Information'!$C$4,Translations!$D$1:$ZZ$1,0))</f>
        <v/>
      </c>
      <c r="BB185" s="38">
        <f>INDEX(Translations!$D:$ZZ, MATCH(339,Translations!$A:$A,0), MATCH('Project Information'!$C$4,Translations!$D$1:$ZZ$1,0))</f>
        <v/>
      </c>
      <c r="BC185" s="38">
        <f>INDEX(Translations!$D:$ZZ, MATCH(76,Translations!$A:$A,0), MATCH('Project Information'!$C$4,Translations!$D$1:$ZZ$1,0))</f>
        <v/>
      </c>
      <c r="BD185" s="38">
        <f>IF(OR(TRIM("")="Evet",TRIM("")="Yes"),1,0)</f>
        <v/>
      </c>
      <c r="BE185" s="38" t="n">
        <v>1</v>
      </c>
      <c r="BF185" s="38">
        <f>BD185*BE185</f>
        <v/>
      </c>
    </row>
    <row r="186" ht="15" customHeight="1" s="39">
      <c r="AZ186" s="38">
        <f>INDEX(Translations!$D:$ZZ, MATCH(305,Translations!$A:$A,0), MATCH('Project Information'!$C$4,Translations!$D$1:$ZZ$1,0))</f>
        <v/>
      </c>
      <c r="BA186" s="38">
        <f>INDEX(Translations!$D:$ZZ, MATCH(37,Translations!$A:$A,0), MATCH('Project Information'!$C$4,Translations!$D$1:$ZZ$1,0))</f>
        <v/>
      </c>
      <c r="BB186" s="38">
        <f>INDEX(Translations!$D:$ZZ, MATCH(339,Translations!$A:$A,0), MATCH('Project Information'!$C$4,Translations!$D$1:$ZZ$1,0))</f>
        <v/>
      </c>
      <c r="BC186" s="38">
        <f>INDEX(Translations!$D:$ZZ, MATCH(78,Translations!$A:$A,0), MATCH('Project Information'!$C$4,Translations!$D$1:$ZZ$1,0))</f>
        <v/>
      </c>
      <c r="BD186" s="38">
        <f>IF(OR(TRIM("")="Evet",TRIM("")="Yes"),1,0)</f>
        <v/>
      </c>
      <c r="BE186" s="38" t="n">
        <v>0.5</v>
      </c>
      <c r="BF186" s="38">
        <f>BD186*BE186</f>
        <v/>
      </c>
    </row>
    <row r="187" ht="15" customHeight="1" s="39">
      <c r="AZ187" s="38">
        <f>INDEX(Translations!$D:$ZZ, MATCH(305,Translations!$A:$A,0), MATCH('Project Information'!$C$4,Translations!$D$1:$ZZ$1,0))</f>
        <v/>
      </c>
      <c r="BA187" s="38">
        <f>INDEX(Translations!$D:$ZZ, MATCH(37,Translations!$A:$A,0), MATCH('Project Information'!$C$4,Translations!$D$1:$ZZ$1,0))</f>
        <v/>
      </c>
      <c r="BB187" s="38">
        <f>INDEX(Translations!$D:$ZZ, MATCH(339,Translations!$A:$A,0), MATCH('Project Information'!$C$4,Translations!$D$1:$ZZ$1,0))</f>
        <v/>
      </c>
      <c r="BC187" s="38">
        <f>INDEX(Translations!$D:$ZZ, MATCH(79,Translations!$A:$A,0), MATCH('Project Information'!$C$4,Translations!$D$1:$ZZ$1,0))</f>
        <v/>
      </c>
      <c r="BD187" s="38">
        <f>IF(OR(TRIM("")="Evet",TRIM("")="Yes"),1,0)</f>
        <v/>
      </c>
      <c r="BE187" s="38" t="n">
        <v>0.5</v>
      </c>
      <c r="BF187" s="38">
        <f>BD187*BE187</f>
        <v/>
      </c>
    </row>
    <row r="188" ht="15" customHeight="1" s="39">
      <c r="AZ188" s="38">
        <f>INDEX(Translations!$D:$ZZ, MATCH(310,Translations!$A:$A,0), MATCH('Project Information'!$C$4,Translations!$D$1:$ZZ$1,0))</f>
        <v/>
      </c>
      <c r="BA188" s="38">
        <f>INDEX(Translations!$D:$ZZ, MATCH(259,Translations!$A:$A,0), MATCH('Project Information'!$C$4,Translations!$D$1:$ZZ$1,0))</f>
        <v/>
      </c>
      <c r="BB188" s="38">
        <f>INDEX(Translations!$D:$ZZ, MATCH(344,Translations!$A:$A,0), MATCH('Project Information'!$C$4,Translations!$D$1:$ZZ$1,0))</f>
        <v/>
      </c>
      <c r="BC188" s="38">
        <f>INDEX(Translations!$D:$ZZ, MATCH(75,Translations!$A:$A,0), MATCH('Project Information'!$C$4,Translations!$D$1:$ZZ$1,0))</f>
        <v/>
      </c>
      <c r="BD188" s="38">
        <f>IF(OR(TRIM("")="Evet",TRIM("")="Yes"),1,0)</f>
        <v/>
      </c>
      <c r="BE188" s="38" t="n">
        <v>1</v>
      </c>
      <c r="BF188" s="38">
        <f>BD188*BE188</f>
        <v/>
      </c>
    </row>
    <row r="189" ht="15" customHeight="1" s="39">
      <c r="AZ189" s="38">
        <f>INDEX(Translations!$D:$ZZ, MATCH(310,Translations!$A:$A,0), MATCH('Project Information'!$C$4,Translations!$D$1:$ZZ$1,0))</f>
        <v/>
      </c>
      <c r="BA189" s="38">
        <f>INDEX(Translations!$D:$ZZ, MATCH(259,Translations!$A:$A,0), MATCH('Project Information'!$C$4,Translations!$D$1:$ZZ$1,0))</f>
        <v/>
      </c>
      <c r="BB189" s="38">
        <f>INDEX(Translations!$D:$ZZ, MATCH(344,Translations!$A:$A,0), MATCH('Project Information'!$C$4,Translations!$D$1:$ZZ$1,0))</f>
        <v/>
      </c>
      <c r="BC189" s="38">
        <f>INDEX(Translations!$D:$ZZ, MATCH(76,Translations!$A:$A,0), MATCH('Project Information'!$C$4,Translations!$D$1:$ZZ$1,0))</f>
        <v/>
      </c>
      <c r="BD189" s="38">
        <f>IF(OR(TRIM("")="Evet",TRIM("")="Yes"),1,0)</f>
        <v/>
      </c>
      <c r="BE189" s="38" t="n">
        <v>0.5</v>
      </c>
      <c r="BF189" s="38">
        <f>BD189*BE189</f>
        <v/>
      </c>
    </row>
    <row r="190" ht="15" customHeight="1" s="39">
      <c r="AZ190" s="38">
        <f>INDEX(Translations!$D:$ZZ, MATCH(310,Translations!$A:$A,0), MATCH('Project Information'!$C$4,Translations!$D$1:$ZZ$1,0))</f>
        <v/>
      </c>
      <c r="BA190" s="38">
        <f>INDEX(Translations!$D:$ZZ, MATCH(259,Translations!$A:$A,0), MATCH('Project Information'!$C$4,Translations!$D$1:$ZZ$1,0))</f>
        <v/>
      </c>
      <c r="BB190" s="38">
        <f>INDEX(Translations!$D:$ZZ, MATCH(344,Translations!$A:$A,0), MATCH('Project Information'!$C$4,Translations!$D$1:$ZZ$1,0))</f>
        <v/>
      </c>
      <c r="BC190" s="38">
        <f>INDEX(Translations!$D:$ZZ, MATCH(77,Translations!$A:$A,0), MATCH('Project Information'!$C$4,Translations!$D$1:$ZZ$1,0))</f>
        <v/>
      </c>
      <c r="BD190" s="38">
        <f>IF(OR(TRIM("")="Evet",TRIM("")="Yes"),1,0)</f>
        <v/>
      </c>
      <c r="BE190" s="38" t="n">
        <v>0.5</v>
      </c>
      <c r="BF190" s="38">
        <f>BD190*BE190</f>
        <v/>
      </c>
    </row>
    <row r="191" ht="15" customHeight="1" s="39">
      <c r="AZ191" s="38">
        <f>INDEX(Translations!$D:$ZZ, MATCH(310,Translations!$A:$A,0), MATCH('Project Information'!$C$4,Translations!$D$1:$ZZ$1,0))</f>
        <v/>
      </c>
      <c r="BA191" s="38">
        <f>INDEX(Translations!$D:$ZZ, MATCH(259,Translations!$A:$A,0), MATCH('Project Information'!$C$4,Translations!$D$1:$ZZ$1,0))</f>
        <v/>
      </c>
      <c r="BB191" s="38">
        <f>INDEX(Translations!$D:$ZZ, MATCH(344,Translations!$A:$A,0), MATCH('Project Information'!$C$4,Translations!$D$1:$ZZ$1,0))</f>
        <v/>
      </c>
      <c r="BC191" s="38">
        <f>INDEX(Translations!$D:$ZZ, MATCH(78,Translations!$A:$A,0), MATCH('Project Information'!$C$4,Translations!$D$1:$ZZ$1,0))</f>
        <v/>
      </c>
      <c r="BD191" s="38">
        <f>IF(OR(TRIM("")="Evet",TRIM("")="Yes"),1,0)</f>
        <v/>
      </c>
      <c r="BE191" s="38" t="n">
        <v>1</v>
      </c>
      <c r="BF191" s="38">
        <f>BD191*BE191</f>
        <v/>
      </c>
    </row>
    <row r="192" ht="15" customHeight="1" s="39">
      <c r="AZ192" s="38">
        <f>INDEX(Translations!$D:$ZZ, MATCH(310,Translations!$A:$A,0), MATCH('Project Information'!$C$4,Translations!$D$1:$ZZ$1,0))</f>
        <v/>
      </c>
      <c r="BA192" s="38">
        <f>INDEX(Translations!$D:$ZZ, MATCH(259,Translations!$A:$A,0), MATCH('Project Information'!$C$4,Translations!$D$1:$ZZ$1,0))</f>
        <v/>
      </c>
      <c r="BB192" s="38">
        <f>INDEX(Translations!$D:$ZZ, MATCH(344,Translations!$A:$A,0), MATCH('Project Information'!$C$4,Translations!$D$1:$ZZ$1,0))</f>
        <v/>
      </c>
      <c r="BC192" s="38">
        <f>INDEX(Translations!$D:$ZZ, MATCH(79,Translations!$A:$A,0), MATCH('Project Information'!$C$4,Translations!$D$1:$ZZ$1,0))</f>
        <v/>
      </c>
      <c r="BD192" s="38">
        <f>IF(OR(TRIM("")="Evet",TRIM("")="Yes"),1,0)</f>
        <v/>
      </c>
      <c r="BE192" s="38" t="n">
        <v>2</v>
      </c>
      <c r="BF192" s="38">
        <f>BD192*BE192</f>
        <v/>
      </c>
    </row>
    <row r="193" ht="15" customHeight="1" s="39">
      <c r="AZ193" s="38">
        <f>INDEX(Translations!$D:$ZZ, MATCH(310,Translations!$A:$A,0), MATCH('Project Information'!$C$4,Translations!$D$1:$ZZ$1,0))</f>
        <v/>
      </c>
      <c r="BA193" s="38">
        <f>INDEX(Translations!$D:$ZZ, MATCH(259,Translations!$A:$A,0), MATCH('Project Information'!$C$4,Translations!$D$1:$ZZ$1,0))</f>
        <v/>
      </c>
      <c r="BB193" s="38">
        <f>INDEX(Translations!$D:$ZZ, MATCH(344,Translations!$A:$A,0), MATCH('Project Information'!$C$4,Translations!$D$1:$ZZ$1,0))</f>
        <v/>
      </c>
      <c r="BC193" s="38">
        <f>INDEX(Translations!$D:$ZZ, MATCH(80,Translations!$A:$A,0), MATCH('Project Information'!$C$4,Translations!$D$1:$ZZ$1,0))</f>
        <v/>
      </c>
      <c r="BD193" s="38">
        <f>IF(OR(TRIM("")="Evet",TRIM("")="Yes"),1,0)</f>
        <v/>
      </c>
      <c r="BE193" s="38" t="n">
        <v>1</v>
      </c>
      <c r="BF193" s="38">
        <f>BD193*BE193</f>
        <v/>
      </c>
    </row>
    <row r="194" ht="15" customHeight="1" s="39">
      <c r="AZ194" s="38">
        <f>INDEX(Translations!$D:$ZZ, MATCH(310,Translations!$A:$A,0), MATCH('Project Information'!$C$4,Translations!$D$1:$ZZ$1,0))</f>
        <v/>
      </c>
      <c r="BA194" s="38">
        <f>INDEX(Translations!$D:$ZZ, MATCH(259,Translations!$A:$A,0), MATCH('Project Information'!$C$4,Translations!$D$1:$ZZ$1,0))</f>
        <v/>
      </c>
      <c r="BB194" s="38">
        <f>INDEX(Translations!$D:$ZZ, MATCH(344,Translations!$A:$A,0), MATCH('Project Information'!$C$4,Translations!$D$1:$ZZ$1,0))</f>
        <v/>
      </c>
      <c r="BC194" s="38">
        <f>INDEX(Translations!$D:$ZZ, MATCH(82,Translations!$A:$A,0), MATCH('Project Information'!$C$4,Translations!$D$1:$ZZ$1,0))</f>
        <v/>
      </c>
      <c r="BD194" s="38">
        <f>IF(OR(TRIM("")="Evet",TRIM("")="Yes"),1,0)</f>
        <v/>
      </c>
      <c r="BE194" s="38" t="n">
        <v>1</v>
      </c>
      <c r="BF194" s="38">
        <f>BD194*BE194</f>
        <v/>
      </c>
    </row>
    <row r="195" ht="15" customHeight="1" s="39">
      <c r="AZ195" s="38">
        <f>INDEX(Translations!$D:$ZZ, MATCH(310,Translations!$A:$A,0), MATCH('Project Information'!$C$4,Translations!$D$1:$ZZ$1,0))</f>
        <v/>
      </c>
      <c r="BA195" s="38">
        <f>INDEX(Translations!$D:$ZZ, MATCH(259,Translations!$A:$A,0), MATCH('Project Information'!$C$4,Translations!$D$1:$ZZ$1,0))</f>
        <v/>
      </c>
      <c r="BB195" s="38">
        <f>INDEX(Translations!$D:$ZZ, MATCH(344,Translations!$A:$A,0), MATCH('Project Information'!$C$4,Translations!$D$1:$ZZ$1,0))</f>
        <v/>
      </c>
      <c r="BC195" s="38">
        <f>INDEX(Translations!$D:$ZZ, MATCH(83,Translations!$A:$A,0), MATCH('Project Information'!$C$4,Translations!$D$1:$ZZ$1,0))</f>
        <v/>
      </c>
      <c r="BD195" s="38">
        <f>IF(OR(TRIM("")="Evet",TRIM("")="Yes"),1,0)</f>
        <v/>
      </c>
      <c r="BE195" s="38" t="n">
        <v>1</v>
      </c>
      <c r="BF195" s="38">
        <f>BD195*BE195</f>
        <v/>
      </c>
    </row>
    <row r="196" ht="15" customHeight="1" s="39">
      <c r="AZ196" s="38">
        <f>INDEX(Translations!$D:$ZZ, MATCH(310,Translations!$A:$A,0), MATCH('Project Information'!$C$4,Translations!$D$1:$ZZ$1,0))</f>
        <v/>
      </c>
      <c r="BA196" s="38">
        <f>INDEX(Translations!$D:$ZZ, MATCH(259,Translations!$A:$A,0), MATCH('Project Information'!$C$4,Translations!$D$1:$ZZ$1,0))</f>
        <v/>
      </c>
      <c r="BB196" s="38">
        <f>INDEX(Translations!$D:$ZZ, MATCH(344,Translations!$A:$A,0), MATCH('Project Information'!$C$4,Translations!$D$1:$ZZ$1,0))</f>
        <v/>
      </c>
      <c r="BC196" s="38">
        <f>INDEX(Translations!$D:$ZZ, MATCH(85,Translations!$A:$A,0), MATCH('Project Information'!$C$4,Translations!$D$1:$ZZ$1,0))</f>
        <v/>
      </c>
      <c r="BD196" s="38">
        <f>IF(OR(TRIM("")="Evet",TRIM("")="Yes"),1,0)</f>
        <v/>
      </c>
      <c r="BE196" s="38" t="n">
        <v>1</v>
      </c>
      <c r="BF196" s="38">
        <f>BD196*BE196</f>
        <v/>
      </c>
    </row>
    <row r="197" ht="15" customHeight="1" s="39">
      <c r="AZ197" s="38">
        <f>INDEX(Translations!$D:$ZZ, MATCH(310,Translations!$A:$A,0), MATCH('Project Information'!$C$4,Translations!$D$1:$ZZ$1,0))</f>
        <v/>
      </c>
      <c r="BA197" s="38">
        <f>INDEX(Translations!$D:$ZZ, MATCH(259,Translations!$A:$A,0), MATCH('Project Information'!$C$4,Translations!$D$1:$ZZ$1,0))</f>
        <v/>
      </c>
      <c r="BB197" s="38">
        <f>INDEX(Translations!$D:$ZZ, MATCH(344,Translations!$A:$A,0), MATCH('Project Information'!$C$4,Translations!$D$1:$ZZ$1,0))</f>
        <v/>
      </c>
      <c r="BC197" s="38">
        <f>INDEX(Translations!$D:$ZZ, MATCH(86,Translations!$A:$A,0), MATCH('Project Information'!$C$4,Translations!$D$1:$ZZ$1,0))</f>
        <v/>
      </c>
      <c r="BD197" s="38">
        <f>IF(OR(TRIM("")="Evet",TRIM("")="Yes"),1,0)</f>
        <v/>
      </c>
      <c r="BE197" s="38" t="n">
        <v>0.5</v>
      </c>
      <c r="BF197" s="38">
        <f>BD197*BE197</f>
        <v/>
      </c>
    </row>
    <row r="198" ht="15" customHeight="1" s="39">
      <c r="AZ198" s="38">
        <f>INDEX(Translations!$D:$ZZ, MATCH(310,Translations!$A:$A,0), MATCH('Project Information'!$C$4,Translations!$D$1:$ZZ$1,0))</f>
        <v/>
      </c>
      <c r="BA198" s="38">
        <f>INDEX(Translations!$D:$ZZ, MATCH(219,Translations!$A:$A,0), MATCH('Project Information'!$C$4,Translations!$D$1:$ZZ$1,0))</f>
        <v/>
      </c>
      <c r="BB198" s="38">
        <f>INDEX(Translations!$D:$ZZ, MATCH(333,Translations!$A:$A,0), MATCH('Project Information'!$C$4,Translations!$D$1:$ZZ$1,0))</f>
        <v/>
      </c>
      <c r="BC198" s="38">
        <f>INDEX(Translations!$D:$ZZ, MATCH(75,Translations!$A:$A,0), MATCH('Project Information'!$C$4,Translations!$D$1:$ZZ$1,0))</f>
        <v/>
      </c>
      <c r="BD198" s="38">
        <f>IF(OR(TRIM("")="Evet",TRIM("")="Yes"),1,0)</f>
        <v/>
      </c>
      <c r="BE198" s="38" t="n">
        <v>1</v>
      </c>
      <c r="BF198" s="38">
        <f>BD198*BE198</f>
        <v/>
      </c>
    </row>
    <row r="199" ht="15" customHeight="1" s="39">
      <c r="AZ199" s="38">
        <f>INDEX(Translations!$D:$ZZ, MATCH(310,Translations!$A:$A,0), MATCH('Project Information'!$C$4,Translations!$D$1:$ZZ$1,0))</f>
        <v/>
      </c>
      <c r="BA199" s="38">
        <f>INDEX(Translations!$D:$ZZ, MATCH(219,Translations!$A:$A,0), MATCH('Project Information'!$C$4,Translations!$D$1:$ZZ$1,0))</f>
        <v/>
      </c>
      <c r="BB199" s="38">
        <f>INDEX(Translations!$D:$ZZ, MATCH(333,Translations!$A:$A,0), MATCH('Project Information'!$C$4,Translations!$D$1:$ZZ$1,0))</f>
        <v/>
      </c>
      <c r="BC199" s="38">
        <f>INDEX(Translations!$D:$ZZ, MATCH(76,Translations!$A:$A,0), MATCH('Project Information'!$C$4,Translations!$D$1:$ZZ$1,0))</f>
        <v/>
      </c>
      <c r="BD199" s="38">
        <f>IF(OR(TRIM("")="Evet",TRIM("")="Yes"),1,0)</f>
        <v/>
      </c>
      <c r="BE199" s="38" t="n">
        <v>0.5</v>
      </c>
      <c r="BF199" s="38">
        <f>BD199*BE199</f>
        <v/>
      </c>
    </row>
    <row r="200" ht="15" customHeight="1" s="39">
      <c r="AZ200" s="38">
        <f>INDEX(Translations!$D:$ZZ, MATCH(310,Translations!$A:$A,0), MATCH('Project Information'!$C$4,Translations!$D$1:$ZZ$1,0))</f>
        <v/>
      </c>
      <c r="BA200" s="38">
        <f>INDEX(Translations!$D:$ZZ, MATCH(219,Translations!$A:$A,0), MATCH('Project Information'!$C$4,Translations!$D$1:$ZZ$1,0))</f>
        <v/>
      </c>
      <c r="BB200" s="38">
        <f>INDEX(Translations!$D:$ZZ, MATCH(333,Translations!$A:$A,0), MATCH('Project Information'!$C$4,Translations!$D$1:$ZZ$1,0))</f>
        <v/>
      </c>
      <c r="BC200" s="38">
        <f>INDEX(Translations!$D:$ZZ, MATCH(78,Translations!$A:$A,0), MATCH('Project Information'!$C$4,Translations!$D$1:$ZZ$1,0))</f>
        <v/>
      </c>
      <c r="BD200" s="38">
        <f>IF(OR(TRIM("")="Evet",TRIM("")="Yes"),1,0)</f>
        <v/>
      </c>
      <c r="BE200" s="38" t="n">
        <v>0.5</v>
      </c>
      <c r="BF200" s="38">
        <f>BD200*BE200</f>
        <v/>
      </c>
    </row>
    <row r="201" ht="15" customHeight="1" s="39">
      <c r="AZ201" s="38">
        <f>INDEX(Translations!$D:$ZZ, MATCH(310,Translations!$A:$A,0), MATCH('Project Information'!$C$4,Translations!$D$1:$ZZ$1,0))</f>
        <v/>
      </c>
      <c r="BA201" s="38">
        <f>INDEX(Translations!$D:$ZZ, MATCH(219,Translations!$A:$A,0), MATCH('Project Information'!$C$4,Translations!$D$1:$ZZ$1,0))</f>
        <v/>
      </c>
      <c r="BB201" s="38">
        <f>INDEX(Translations!$D:$ZZ, MATCH(333,Translations!$A:$A,0), MATCH('Project Information'!$C$4,Translations!$D$1:$ZZ$1,0))</f>
        <v/>
      </c>
      <c r="BC201" s="38">
        <f>INDEX(Translations!$D:$ZZ, MATCH(79,Translations!$A:$A,0), MATCH('Project Information'!$C$4,Translations!$D$1:$ZZ$1,0))</f>
        <v/>
      </c>
      <c r="BD201" s="38">
        <f>IF(OR(TRIM("")="Evet",TRIM("")="Yes"),1,0)</f>
        <v/>
      </c>
      <c r="BE201" s="38" t="n">
        <v>0.5</v>
      </c>
      <c r="BF201" s="38">
        <f>BD201*BE201</f>
        <v/>
      </c>
    </row>
    <row r="202" ht="15" customHeight="1" s="39">
      <c r="AZ202" s="38">
        <f>INDEX(Translations!$D:$ZZ, MATCH(310,Translations!$A:$A,0), MATCH('Project Information'!$C$4,Translations!$D$1:$ZZ$1,0))</f>
        <v/>
      </c>
      <c r="BA202" s="38">
        <f>INDEX(Translations!$D:$ZZ, MATCH(219,Translations!$A:$A,0), MATCH('Project Information'!$C$4,Translations!$D$1:$ZZ$1,0))</f>
        <v/>
      </c>
      <c r="BB202" s="38">
        <f>INDEX(Translations!$D:$ZZ, MATCH(333,Translations!$A:$A,0), MATCH('Project Information'!$C$4,Translations!$D$1:$ZZ$1,0))</f>
        <v/>
      </c>
      <c r="BC202" s="38">
        <f>INDEX(Translations!$D:$ZZ, MATCH(82,Translations!$A:$A,0), MATCH('Project Information'!$C$4,Translations!$D$1:$ZZ$1,0))</f>
        <v/>
      </c>
      <c r="BD202" s="38">
        <f>IF(OR(TRIM("")="Evet",TRIM("")="Yes"),1,0)</f>
        <v/>
      </c>
      <c r="BE202" s="38" t="n">
        <v>0.25</v>
      </c>
      <c r="BF202" s="38">
        <f>BD202*BE202</f>
        <v/>
      </c>
    </row>
    <row r="203" ht="15" customHeight="1" s="39">
      <c r="AZ203" s="38">
        <f>INDEX(Translations!$D:$ZZ, MATCH(310,Translations!$A:$A,0), MATCH('Project Information'!$C$4,Translations!$D$1:$ZZ$1,0))</f>
        <v/>
      </c>
      <c r="BA203" s="38">
        <f>INDEX(Translations!$D:$ZZ, MATCH(219,Translations!$A:$A,0), MATCH('Project Information'!$C$4,Translations!$D$1:$ZZ$1,0))</f>
        <v/>
      </c>
      <c r="BB203" s="38">
        <f>INDEX(Translations!$D:$ZZ, MATCH(333,Translations!$A:$A,0), MATCH('Project Information'!$C$4,Translations!$D$1:$ZZ$1,0))</f>
        <v/>
      </c>
      <c r="BC203" s="38">
        <f>INDEX(Translations!$D:$ZZ, MATCH(83,Translations!$A:$A,0), MATCH('Project Information'!$C$4,Translations!$D$1:$ZZ$1,0))</f>
        <v/>
      </c>
      <c r="BD203" s="38">
        <f>IF(OR(TRIM("")="Evet",TRIM("")="Yes"),1,0)</f>
        <v/>
      </c>
      <c r="BE203" s="38" t="n">
        <v>0.25</v>
      </c>
      <c r="BF203" s="38">
        <f>BD203*BE203</f>
        <v/>
      </c>
    </row>
    <row r="204" ht="15" customHeight="1" s="39">
      <c r="AZ204" s="38">
        <f>INDEX(Translations!$D:$ZZ, MATCH(310,Translations!$A:$A,0), MATCH('Project Information'!$C$4,Translations!$D$1:$ZZ$1,0))</f>
        <v/>
      </c>
      <c r="BA204" s="38">
        <f>INDEX(Translations!$D:$ZZ, MATCH(219,Translations!$A:$A,0), MATCH('Project Information'!$C$4,Translations!$D$1:$ZZ$1,0))</f>
        <v/>
      </c>
      <c r="BB204" s="38">
        <f>INDEX(Translations!$D:$ZZ, MATCH(343,Translations!$A:$A,0), MATCH('Project Information'!$C$4,Translations!$D$1:$ZZ$1,0))</f>
        <v/>
      </c>
      <c r="BC204" s="38">
        <f>INDEX(Translations!$D:$ZZ, MATCH(75,Translations!$A:$A,0), MATCH('Project Information'!$C$4,Translations!$D$1:$ZZ$1,0))</f>
        <v/>
      </c>
      <c r="BD204" s="38">
        <f>IF(OR(TRIM("")="Evet",TRIM("")="Yes"),1,0)</f>
        <v/>
      </c>
      <c r="BE204" s="38" t="n">
        <v>1</v>
      </c>
      <c r="BF204" s="38">
        <f>BD204*BE204</f>
        <v/>
      </c>
    </row>
    <row r="205" ht="15" customHeight="1" s="39">
      <c r="AZ205" s="38">
        <f>INDEX(Translations!$D:$ZZ, MATCH(310,Translations!$A:$A,0), MATCH('Project Information'!$C$4,Translations!$D$1:$ZZ$1,0))</f>
        <v/>
      </c>
      <c r="BA205" s="38">
        <f>INDEX(Translations!$D:$ZZ, MATCH(219,Translations!$A:$A,0), MATCH('Project Information'!$C$4,Translations!$D$1:$ZZ$1,0))</f>
        <v/>
      </c>
      <c r="BB205" s="38">
        <f>INDEX(Translations!$D:$ZZ, MATCH(343,Translations!$A:$A,0), MATCH('Project Information'!$C$4,Translations!$D$1:$ZZ$1,0))</f>
        <v/>
      </c>
      <c r="BC205" s="38">
        <f>INDEX(Translations!$D:$ZZ, MATCH(76,Translations!$A:$A,0), MATCH('Project Information'!$C$4,Translations!$D$1:$ZZ$1,0))</f>
        <v/>
      </c>
      <c r="BD205" s="38">
        <f>IF(OR(TRIM("")="Evet",TRIM("")="Yes"),1,0)</f>
        <v/>
      </c>
      <c r="BE205" s="38" t="n">
        <v>0.5</v>
      </c>
      <c r="BF205" s="38">
        <f>BD205*BE205</f>
        <v/>
      </c>
    </row>
    <row r="206" ht="15" customHeight="1" s="39">
      <c r="AZ206" s="38">
        <f>INDEX(Translations!$D:$ZZ, MATCH(310,Translations!$A:$A,0), MATCH('Project Information'!$C$4,Translations!$D$1:$ZZ$1,0))</f>
        <v/>
      </c>
      <c r="BA206" s="38">
        <f>INDEX(Translations!$D:$ZZ, MATCH(219,Translations!$A:$A,0), MATCH('Project Information'!$C$4,Translations!$D$1:$ZZ$1,0))</f>
        <v/>
      </c>
      <c r="BB206" s="38">
        <f>INDEX(Translations!$D:$ZZ, MATCH(343,Translations!$A:$A,0), MATCH('Project Information'!$C$4,Translations!$D$1:$ZZ$1,0))</f>
        <v/>
      </c>
      <c r="BC206" s="38">
        <f>INDEX(Translations!$D:$ZZ, MATCH(78,Translations!$A:$A,0), MATCH('Project Information'!$C$4,Translations!$D$1:$ZZ$1,0))</f>
        <v/>
      </c>
      <c r="BD206" s="38">
        <f>IF(OR(TRIM("")="Evet",TRIM("")="Yes"),1,0)</f>
        <v/>
      </c>
      <c r="BE206" s="38" t="n">
        <v>0.5</v>
      </c>
      <c r="BF206" s="38">
        <f>BD206*BE206</f>
        <v/>
      </c>
    </row>
    <row r="207" ht="15" customHeight="1" s="39">
      <c r="AZ207" s="38">
        <f>INDEX(Translations!$D:$ZZ, MATCH(310,Translations!$A:$A,0), MATCH('Project Information'!$C$4,Translations!$D$1:$ZZ$1,0))</f>
        <v/>
      </c>
      <c r="BA207" s="38">
        <f>INDEX(Translations!$D:$ZZ, MATCH(219,Translations!$A:$A,0), MATCH('Project Information'!$C$4,Translations!$D$1:$ZZ$1,0))</f>
        <v/>
      </c>
      <c r="BB207" s="38">
        <f>INDEX(Translations!$D:$ZZ, MATCH(343,Translations!$A:$A,0), MATCH('Project Information'!$C$4,Translations!$D$1:$ZZ$1,0))</f>
        <v/>
      </c>
      <c r="BC207" s="38">
        <f>INDEX(Translations!$D:$ZZ, MATCH(79,Translations!$A:$A,0), MATCH('Project Information'!$C$4,Translations!$D$1:$ZZ$1,0))</f>
        <v/>
      </c>
      <c r="BD207" s="38">
        <f>IF(OR(TRIM("")="Evet",TRIM("")="Yes"),1,0)</f>
        <v/>
      </c>
      <c r="BE207" s="38" t="n">
        <v>0.5</v>
      </c>
      <c r="BF207" s="38">
        <f>BD207*BE207</f>
        <v/>
      </c>
    </row>
    <row r="208" ht="15" customHeight="1" s="39">
      <c r="AZ208" s="38">
        <f>INDEX(Translations!$D:$ZZ, MATCH(310,Translations!$A:$A,0), MATCH('Project Information'!$C$4,Translations!$D$1:$ZZ$1,0))</f>
        <v/>
      </c>
      <c r="BA208" s="38">
        <f>INDEX(Translations!$D:$ZZ, MATCH(219,Translations!$A:$A,0), MATCH('Project Information'!$C$4,Translations!$D$1:$ZZ$1,0))</f>
        <v/>
      </c>
      <c r="BB208" s="38">
        <f>INDEX(Translations!$D:$ZZ, MATCH(343,Translations!$A:$A,0), MATCH('Project Information'!$C$4,Translations!$D$1:$ZZ$1,0))</f>
        <v/>
      </c>
      <c r="BC208" s="38">
        <f>INDEX(Translations!$D:$ZZ, MATCH(82,Translations!$A:$A,0), MATCH('Project Information'!$C$4,Translations!$D$1:$ZZ$1,0))</f>
        <v/>
      </c>
      <c r="BD208" s="38">
        <f>IF(OR(TRIM("")="Evet",TRIM("")="Yes"),1,0)</f>
        <v/>
      </c>
      <c r="BE208" s="38" t="n">
        <v>0.25</v>
      </c>
      <c r="BF208" s="38">
        <f>BD208*BE208</f>
        <v/>
      </c>
    </row>
    <row r="209" ht="15" customHeight="1" s="39">
      <c r="AZ209" s="38">
        <f>INDEX(Translations!$D:$ZZ, MATCH(310,Translations!$A:$A,0), MATCH('Project Information'!$C$4,Translations!$D$1:$ZZ$1,0))</f>
        <v/>
      </c>
      <c r="BA209" s="38">
        <f>INDEX(Translations!$D:$ZZ, MATCH(219,Translations!$A:$A,0), MATCH('Project Information'!$C$4,Translations!$D$1:$ZZ$1,0))</f>
        <v/>
      </c>
      <c r="BB209" s="38">
        <f>INDEX(Translations!$D:$ZZ, MATCH(343,Translations!$A:$A,0), MATCH('Project Information'!$C$4,Translations!$D$1:$ZZ$1,0))</f>
        <v/>
      </c>
      <c r="BC209" s="38">
        <f>INDEX(Translations!$D:$ZZ, MATCH(83,Translations!$A:$A,0), MATCH('Project Information'!$C$4,Translations!$D$1:$ZZ$1,0))</f>
        <v/>
      </c>
      <c r="BD209" s="38">
        <f>IF(OR(TRIM("")="Evet",TRIM("")="Yes"),1,0)</f>
        <v/>
      </c>
      <c r="BE209" s="38" t="n">
        <v>0.25</v>
      </c>
      <c r="BF209" s="38">
        <f>BD209*BE209</f>
        <v/>
      </c>
    </row>
    <row r="210" ht="15" customHeight="1" s="39">
      <c r="AZ210" s="38">
        <f>INDEX(Translations!$D:$ZZ, MATCH(310,Translations!$A:$A,0), MATCH('Project Information'!$C$4,Translations!$D$1:$ZZ$1,0))</f>
        <v/>
      </c>
      <c r="BA210" s="38">
        <f>INDEX(Translations!$D:$ZZ, MATCH(219,Translations!$A:$A,0), MATCH('Project Information'!$C$4,Translations!$D$1:$ZZ$1,0))</f>
        <v/>
      </c>
      <c r="BB210" s="38">
        <f>INDEX(Translations!$D:$ZZ, MATCH(337,Translations!$A:$A,0), MATCH('Project Information'!$C$4,Translations!$D$1:$ZZ$1,0))</f>
        <v/>
      </c>
      <c r="BC210" s="38">
        <f>INDEX(Translations!$D:$ZZ, MATCH(75,Translations!$A:$A,0), MATCH('Project Information'!$C$4,Translations!$D$1:$ZZ$1,0))</f>
        <v/>
      </c>
      <c r="BD210" s="38">
        <f>IF(OR(TRIM("")="Evet",TRIM("")="Yes"),1,0)</f>
        <v/>
      </c>
      <c r="BE210" s="38" t="n">
        <v>2</v>
      </c>
      <c r="BF210" s="38">
        <f>BD210*BE210</f>
        <v/>
      </c>
    </row>
    <row r="211" ht="15" customHeight="1" s="39">
      <c r="AZ211" s="38">
        <f>INDEX(Translations!$D:$ZZ, MATCH(310,Translations!$A:$A,0), MATCH('Project Information'!$C$4,Translations!$D$1:$ZZ$1,0))</f>
        <v/>
      </c>
      <c r="BA211" s="38">
        <f>INDEX(Translations!$D:$ZZ, MATCH(219,Translations!$A:$A,0), MATCH('Project Information'!$C$4,Translations!$D$1:$ZZ$1,0))</f>
        <v/>
      </c>
      <c r="BB211" s="38">
        <f>INDEX(Translations!$D:$ZZ, MATCH(337,Translations!$A:$A,0), MATCH('Project Information'!$C$4,Translations!$D$1:$ZZ$1,0))</f>
        <v/>
      </c>
      <c r="BC211" s="38">
        <f>INDEX(Translations!$D:$ZZ, MATCH(76,Translations!$A:$A,0), MATCH('Project Information'!$C$4,Translations!$D$1:$ZZ$1,0))</f>
        <v/>
      </c>
      <c r="BD211" s="38">
        <f>IF(OR(TRIM("")="Evet",TRIM("")="Yes"),1,0)</f>
        <v/>
      </c>
      <c r="BE211" s="38" t="n">
        <v>0.5</v>
      </c>
      <c r="BF211" s="38">
        <f>BD211*BE211</f>
        <v/>
      </c>
    </row>
    <row r="212" ht="15" customHeight="1" s="39">
      <c r="AZ212" s="38">
        <f>INDEX(Translations!$D:$ZZ, MATCH(310,Translations!$A:$A,0), MATCH('Project Information'!$C$4,Translations!$D$1:$ZZ$1,0))</f>
        <v/>
      </c>
      <c r="BA212" s="38">
        <f>INDEX(Translations!$D:$ZZ, MATCH(219,Translations!$A:$A,0), MATCH('Project Information'!$C$4,Translations!$D$1:$ZZ$1,0))</f>
        <v/>
      </c>
      <c r="BB212" s="38">
        <f>INDEX(Translations!$D:$ZZ, MATCH(337,Translations!$A:$A,0), MATCH('Project Information'!$C$4,Translations!$D$1:$ZZ$1,0))</f>
        <v/>
      </c>
      <c r="BC212" s="38">
        <f>INDEX(Translations!$D:$ZZ, MATCH(78,Translations!$A:$A,0), MATCH('Project Information'!$C$4,Translations!$D$1:$ZZ$1,0))</f>
        <v/>
      </c>
      <c r="BD212" s="38">
        <f>IF(OR(TRIM("")="Evet",TRIM("")="Yes"),1,0)</f>
        <v/>
      </c>
      <c r="BE212" s="38" t="n">
        <v>0.5</v>
      </c>
      <c r="BF212" s="38">
        <f>BD212*BE212</f>
        <v/>
      </c>
    </row>
    <row r="213" ht="15" customHeight="1" s="39">
      <c r="AZ213" s="38">
        <f>INDEX(Translations!$D:$ZZ, MATCH(310,Translations!$A:$A,0), MATCH('Project Information'!$C$4,Translations!$D$1:$ZZ$1,0))</f>
        <v/>
      </c>
      <c r="BA213" s="38">
        <f>INDEX(Translations!$D:$ZZ, MATCH(219,Translations!$A:$A,0), MATCH('Project Information'!$C$4,Translations!$D$1:$ZZ$1,0))</f>
        <v/>
      </c>
      <c r="BB213" s="38">
        <f>INDEX(Translations!$D:$ZZ, MATCH(337,Translations!$A:$A,0), MATCH('Project Information'!$C$4,Translations!$D$1:$ZZ$1,0))</f>
        <v/>
      </c>
      <c r="BC213" s="38">
        <f>INDEX(Translations!$D:$ZZ, MATCH(79,Translations!$A:$A,0), MATCH('Project Information'!$C$4,Translations!$D$1:$ZZ$1,0))</f>
        <v/>
      </c>
      <c r="BD213" s="38">
        <f>IF(OR(TRIM("")="Evet",TRIM("")="Yes"),1,0)</f>
        <v/>
      </c>
      <c r="BE213" s="38" t="n">
        <v>1</v>
      </c>
      <c r="BF213" s="38">
        <f>BD213*BE213</f>
        <v/>
      </c>
    </row>
    <row r="214" ht="15" customHeight="1" s="39">
      <c r="AZ214" s="38">
        <f>INDEX(Translations!$D:$ZZ, MATCH(310,Translations!$A:$A,0), MATCH('Project Information'!$C$4,Translations!$D$1:$ZZ$1,0))</f>
        <v/>
      </c>
      <c r="BA214" s="38">
        <f>INDEX(Translations!$D:$ZZ, MATCH(219,Translations!$A:$A,0), MATCH('Project Information'!$C$4,Translations!$D$1:$ZZ$1,0))</f>
        <v/>
      </c>
      <c r="BB214" s="38">
        <f>INDEX(Translations!$D:$ZZ, MATCH(337,Translations!$A:$A,0), MATCH('Project Information'!$C$4,Translations!$D$1:$ZZ$1,0))</f>
        <v/>
      </c>
      <c r="BC214" s="38">
        <f>INDEX(Translations!$D:$ZZ, MATCH(82,Translations!$A:$A,0), MATCH('Project Information'!$C$4,Translations!$D$1:$ZZ$1,0))</f>
        <v/>
      </c>
      <c r="BD214" s="38">
        <f>IF(OR(TRIM("")="Evet",TRIM("")="Yes"),1,0)</f>
        <v/>
      </c>
      <c r="BE214" s="38" t="n">
        <v>0.5</v>
      </c>
      <c r="BF214" s="38">
        <f>BD214*BE214</f>
        <v/>
      </c>
    </row>
    <row r="215" ht="15" customHeight="1" s="39">
      <c r="AZ215" s="38">
        <f>INDEX(Translations!$D:$ZZ, MATCH(310,Translations!$A:$A,0), MATCH('Project Information'!$C$4,Translations!$D$1:$ZZ$1,0))</f>
        <v/>
      </c>
      <c r="BA215" s="38">
        <f>INDEX(Translations!$D:$ZZ, MATCH(219,Translations!$A:$A,0), MATCH('Project Information'!$C$4,Translations!$D$1:$ZZ$1,0))</f>
        <v/>
      </c>
      <c r="BB215" s="38">
        <f>INDEX(Translations!$D:$ZZ, MATCH(337,Translations!$A:$A,0), MATCH('Project Information'!$C$4,Translations!$D$1:$ZZ$1,0))</f>
        <v/>
      </c>
      <c r="BC215" s="38">
        <f>INDEX(Translations!$D:$ZZ, MATCH(83,Translations!$A:$A,0), MATCH('Project Information'!$C$4,Translations!$D$1:$ZZ$1,0))</f>
        <v/>
      </c>
      <c r="BD215" s="38">
        <f>IF(OR(TRIM("")="Evet",TRIM("")="Yes"),1,0)</f>
        <v/>
      </c>
      <c r="BE215" s="38" t="n">
        <v>0.5</v>
      </c>
      <c r="BF215" s="38">
        <f>BD215*BE215</f>
        <v/>
      </c>
    </row>
    <row r="216" ht="15" customHeight="1" s="39">
      <c r="AZ216" s="38">
        <f>INDEX(Translations!$D:$ZZ, MATCH(310,Translations!$A:$A,0), MATCH('Project Information'!$C$4,Translations!$D$1:$ZZ$1,0))</f>
        <v/>
      </c>
      <c r="BA216" s="38">
        <f>INDEX(Translations!$D:$ZZ, MATCH(219,Translations!$A:$A,0), MATCH('Project Information'!$C$4,Translations!$D$1:$ZZ$1,0))</f>
        <v/>
      </c>
      <c r="BB216" s="38">
        <f>INDEX(Translations!$D:$ZZ, MATCH(339,Translations!$A:$A,0), MATCH('Project Information'!$C$4,Translations!$D$1:$ZZ$1,0))</f>
        <v/>
      </c>
      <c r="BC216" s="38">
        <f>INDEX(Translations!$D:$ZZ, MATCH(75,Translations!$A:$A,0), MATCH('Project Information'!$C$4,Translations!$D$1:$ZZ$1,0))</f>
        <v/>
      </c>
      <c r="BD216" s="38">
        <f>IF(OR(TRIM("")="Evet",TRIM("")="Yes"),1,0)</f>
        <v/>
      </c>
      <c r="BE216" s="38" t="n">
        <v>1</v>
      </c>
      <c r="BF216" s="38">
        <f>BD216*BE216</f>
        <v/>
      </c>
    </row>
    <row r="217" ht="15" customHeight="1" s="39">
      <c r="AZ217" s="38">
        <f>INDEX(Translations!$D:$ZZ, MATCH(310,Translations!$A:$A,0), MATCH('Project Information'!$C$4,Translations!$D$1:$ZZ$1,0))</f>
        <v/>
      </c>
      <c r="BA217" s="38">
        <f>INDEX(Translations!$D:$ZZ, MATCH(219,Translations!$A:$A,0), MATCH('Project Information'!$C$4,Translations!$D$1:$ZZ$1,0))</f>
        <v/>
      </c>
      <c r="BB217" s="38">
        <f>INDEX(Translations!$D:$ZZ, MATCH(339,Translations!$A:$A,0), MATCH('Project Information'!$C$4,Translations!$D$1:$ZZ$1,0))</f>
        <v/>
      </c>
      <c r="BC217" s="38">
        <f>INDEX(Translations!$D:$ZZ, MATCH(76,Translations!$A:$A,0), MATCH('Project Information'!$C$4,Translations!$D$1:$ZZ$1,0))</f>
        <v/>
      </c>
      <c r="BD217" s="38">
        <f>IF(OR(TRIM("")="Evet",TRIM("")="Yes"),1,0)</f>
        <v/>
      </c>
      <c r="BE217" s="38" t="n">
        <v>0.5</v>
      </c>
      <c r="BF217" s="38">
        <f>BD217*BE217</f>
        <v/>
      </c>
    </row>
    <row r="218" ht="15" customHeight="1" s="39">
      <c r="AZ218" s="38">
        <f>INDEX(Translations!$D:$ZZ, MATCH(310,Translations!$A:$A,0), MATCH('Project Information'!$C$4,Translations!$D$1:$ZZ$1,0))</f>
        <v/>
      </c>
      <c r="BA218" s="38">
        <f>INDEX(Translations!$D:$ZZ, MATCH(219,Translations!$A:$A,0), MATCH('Project Information'!$C$4,Translations!$D$1:$ZZ$1,0))</f>
        <v/>
      </c>
      <c r="BB218" s="38">
        <f>INDEX(Translations!$D:$ZZ, MATCH(339,Translations!$A:$A,0), MATCH('Project Information'!$C$4,Translations!$D$1:$ZZ$1,0))</f>
        <v/>
      </c>
      <c r="BC218" s="38">
        <f>INDEX(Translations!$D:$ZZ, MATCH(78,Translations!$A:$A,0), MATCH('Project Information'!$C$4,Translations!$D$1:$ZZ$1,0))</f>
        <v/>
      </c>
      <c r="BD218" s="38">
        <f>IF(OR(TRIM("")="Evet",TRIM("")="Yes"),1,0)</f>
        <v/>
      </c>
      <c r="BE218" s="38" t="n">
        <v>0.5</v>
      </c>
      <c r="BF218" s="38">
        <f>BD218*BE218</f>
        <v/>
      </c>
    </row>
    <row r="219" ht="15" customHeight="1" s="39">
      <c r="AZ219" s="38">
        <f>INDEX(Translations!$D:$ZZ, MATCH(310,Translations!$A:$A,0), MATCH('Project Information'!$C$4,Translations!$D$1:$ZZ$1,0))</f>
        <v/>
      </c>
      <c r="BA219" s="38">
        <f>INDEX(Translations!$D:$ZZ, MATCH(219,Translations!$A:$A,0), MATCH('Project Information'!$C$4,Translations!$D$1:$ZZ$1,0))</f>
        <v/>
      </c>
      <c r="BB219" s="38">
        <f>INDEX(Translations!$D:$ZZ, MATCH(339,Translations!$A:$A,0), MATCH('Project Information'!$C$4,Translations!$D$1:$ZZ$1,0))</f>
        <v/>
      </c>
      <c r="BC219" s="38">
        <f>INDEX(Translations!$D:$ZZ, MATCH(79,Translations!$A:$A,0), MATCH('Project Information'!$C$4,Translations!$D$1:$ZZ$1,0))</f>
        <v/>
      </c>
      <c r="BD219" s="38">
        <f>IF(OR(TRIM("")="Evet",TRIM("")="Yes"),1,0)</f>
        <v/>
      </c>
      <c r="BE219" s="38" t="n">
        <v>1</v>
      </c>
      <c r="BF219" s="38">
        <f>BD219*BE219</f>
        <v/>
      </c>
    </row>
    <row r="220" ht="15" customHeight="1" s="39">
      <c r="AZ220" s="38">
        <f>INDEX(Translations!$D:$ZZ, MATCH(310,Translations!$A:$A,0), MATCH('Project Information'!$C$4,Translations!$D$1:$ZZ$1,0))</f>
        <v/>
      </c>
      <c r="BA220" s="38">
        <f>INDEX(Translations!$D:$ZZ, MATCH(219,Translations!$A:$A,0), MATCH('Project Information'!$C$4,Translations!$D$1:$ZZ$1,0))</f>
        <v/>
      </c>
      <c r="BB220" s="38">
        <f>INDEX(Translations!$D:$ZZ, MATCH(339,Translations!$A:$A,0), MATCH('Project Information'!$C$4,Translations!$D$1:$ZZ$1,0))</f>
        <v/>
      </c>
      <c r="BC220" s="38">
        <f>INDEX(Translations!$D:$ZZ, MATCH(82,Translations!$A:$A,0), MATCH('Project Information'!$C$4,Translations!$D$1:$ZZ$1,0))</f>
        <v/>
      </c>
      <c r="BD220" s="38">
        <f>IF(OR(TRIM("")="Evet",TRIM("")="Yes"),1,0)</f>
        <v/>
      </c>
      <c r="BE220" s="38" t="n">
        <v>0.5</v>
      </c>
      <c r="BF220" s="38">
        <f>BD220*BE220</f>
        <v/>
      </c>
    </row>
    <row r="221" ht="15" customHeight="1" s="39">
      <c r="AZ221" s="38">
        <f>INDEX(Translations!$D:$ZZ, MATCH(310,Translations!$A:$A,0), MATCH('Project Information'!$C$4,Translations!$D$1:$ZZ$1,0))</f>
        <v/>
      </c>
      <c r="BA221" s="38">
        <f>INDEX(Translations!$D:$ZZ, MATCH(219,Translations!$A:$A,0), MATCH('Project Information'!$C$4,Translations!$D$1:$ZZ$1,0))</f>
        <v/>
      </c>
      <c r="BB221" s="38">
        <f>INDEX(Translations!$D:$ZZ, MATCH(339,Translations!$A:$A,0), MATCH('Project Information'!$C$4,Translations!$D$1:$ZZ$1,0))</f>
        <v/>
      </c>
      <c r="BC221" s="38">
        <f>INDEX(Translations!$D:$ZZ, MATCH(83,Translations!$A:$A,0), MATCH('Project Information'!$C$4,Translations!$D$1:$ZZ$1,0))</f>
        <v/>
      </c>
      <c r="BD221" s="38">
        <f>IF(OR(TRIM("")="Evet",TRIM("")="Yes"),1,0)</f>
        <v/>
      </c>
      <c r="BE221" s="38" t="n">
        <v>0.5</v>
      </c>
      <c r="BF221" s="38">
        <f>BD221*BE221</f>
        <v/>
      </c>
    </row>
    <row r="222" ht="15" customHeight="1" s="39">
      <c r="AZ222" s="38">
        <f>INDEX(Translations!$D:$ZZ, MATCH(310,Translations!$A:$A,0), MATCH('Project Information'!$C$4,Translations!$D$1:$ZZ$1,0))</f>
        <v/>
      </c>
      <c r="BA222" s="38">
        <f>INDEX(Translations!$D:$ZZ, MATCH(282,Translations!$A:$A,0), MATCH('Project Information'!$C$4,Translations!$D$1:$ZZ$1,0))</f>
        <v/>
      </c>
      <c r="BB222" s="38">
        <f>INDEX(Translations!$D:$ZZ, MATCH(337,Translations!$A:$A,0), MATCH('Project Information'!$C$4,Translations!$D$1:$ZZ$1,0))</f>
        <v/>
      </c>
      <c r="BC222" s="38">
        <f>INDEX(Translations!$D:$ZZ, MATCH(75,Translations!$A:$A,0), MATCH('Project Information'!$C$4,Translations!$D$1:$ZZ$1,0))</f>
        <v/>
      </c>
      <c r="BD222" s="38">
        <f>IF(OR(TRIM("")="Evet",TRIM("")="Yes"),1,0)</f>
        <v/>
      </c>
      <c r="BE222" s="38" t="n">
        <v>2</v>
      </c>
      <c r="BF222" s="38">
        <f>BD222*BE222</f>
        <v/>
      </c>
    </row>
    <row r="223" ht="15" customHeight="1" s="39">
      <c r="AZ223" s="38">
        <f>INDEX(Translations!$D:$ZZ, MATCH(310,Translations!$A:$A,0), MATCH('Project Information'!$C$4,Translations!$D$1:$ZZ$1,0))</f>
        <v/>
      </c>
      <c r="BA223" s="38">
        <f>INDEX(Translations!$D:$ZZ, MATCH(282,Translations!$A:$A,0), MATCH('Project Information'!$C$4,Translations!$D$1:$ZZ$1,0))</f>
        <v/>
      </c>
      <c r="BB223" s="38">
        <f>INDEX(Translations!$D:$ZZ, MATCH(337,Translations!$A:$A,0), MATCH('Project Information'!$C$4,Translations!$D$1:$ZZ$1,0))</f>
        <v/>
      </c>
      <c r="BC223" s="38">
        <f>INDEX(Translations!$D:$ZZ, MATCH(76,Translations!$A:$A,0), MATCH('Project Information'!$C$4,Translations!$D$1:$ZZ$1,0))</f>
        <v/>
      </c>
      <c r="BD223" s="38">
        <f>IF(OR(TRIM("")="Evet",TRIM("")="Yes"),1,0)</f>
        <v/>
      </c>
      <c r="BE223" s="38" t="n">
        <v>1</v>
      </c>
      <c r="BF223" s="38">
        <f>BD223*BE223</f>
        <v/>
      </c>
    </row>
    <row r="224" ht="15" customHeight="1" s="39">
      <c r="AZ224" s="38">
        <f>INDEX(Translations!$D:$ZZ, MATCH(310,Translations!$A:$A,0), MATCH('Project Information'!$C$4,Translations!$D$1:$ZZ$1,0))</f>
        <v/>
      </c>
      <c r="BA224" s="38">
        <f>INDEX(Translations!$D:$ZZ, MATCH(282,Translations!$A:$A,0), MATCH('Project Information'!$C$4,Translations!$D$1:$ZZ$1,0))</f>
        <v/>
      </c>
      <c r="BB224" s="38">
        <f>INDEX(Translations!$D:$ZZ, MATCH(337,Translations!$A:$A,0), MATCH('Project Information'!$C$4,Translations!$D$1:$ZZ$1,0))</f>
        <v/>
      </c>
      <c r="BC224" s="38">
        <f>INDEX(Translations!$D:$ZZ, MATCH(78,Translations!$A:$A,0), MATCH('Project Information'!$C$4,Translations!$D$1:$ZZ$1,0))</f>
        <v/>
      </c>
      <c r="BD224" s="38">
        <f>IF(OR(TRIM("")="Evet",TRIM("")="Yes"),1,0)</f>
        <v/>
      </c>
      <c r="BE224" s="38" t="n">
        <v>1</v>
      </c>
      <c r="BF224" s="38">
        <f>BD224*BE224</f>
        <v/>
      </c>
    </row>
    <row r="225" ht="15" customHeight="1" s="39">
      <c r="AZ225" s="38">
        <f>INDEX(Translations!$D:$ZZ, MATCH(310,Translations!$A:$A,0), MATCH('Project Information'!$C$4,Translations!$D$1:$ZZ$1,0))</f>
        <v/>
      </c>
      <c r="BA225" s="38">
        <f>INDEX(Translations!$D:$ZZ, MATCH(282,Translations!$A:$A,0), MATCH('Project Information'!$C$4,Translations!$D$1:$ZZ$1,0))</f>
        <v/>
      </c>
      <c r="BB225" s="38">
        <f>INDEX(Translations!$D:$ZZ, MATCH(337,Translations!$A:$A,0), MATCH('Project Information'!$C$4,Translations!$D$1:$ZZ$1,0))</f>
        <v/>
      </c>
      <c r="BC225" s="38">
        <f>INDEX(Translations!$D:$ZZ, MATCH(79,Translations!$A:$A,0), MATCH('Project Information'!$C$4,Translations!$D$1:$ZZ$1,0))</f>
        <v/>
      </c>
      <c r="BD225" s="38">
        <f>IF(OR(TRIM("")="Evet",TRIM("")="Yes"),1,0)</f>
        <v/>
      </c>
      <c r="BE225" s="38" t="n">
        <v>1</v>
      </c>
      <c r="BF225" s="38">
        <f>BD225*BE225</f>
        <v/>
      </c>
    </row>
    <row r="226" ht="15" customHeight="1" s="39">
      <c r="AZ226" s="38">
        <f>INDEX(Translations!$D:$ZZ, MATCH(310,Translations!$A:$A,0), MATCH('Project Information'!$C$4,Translations!$D$1:$ZZ$1,0))</f>
        <v/>
      </c>
      <c r="BA226" s="38">
        <f>INDEX(Translations!$D:$ZZ, MATCH(282,Translations!$A:$A,0), MATCH('Project Information'!$C$4,Translations!$D$1:$ZZ$1,0))</f>
        <v/>
      </c>
      <c r="BB226" s="38">
        <f>INDEX(Translations!$D:$ZZ, MATCH(337,Translations!$A:$A,0), MATCH('Project Information'!$C$4,Translations!$D$1:$ZZ$1,0))</f>
        <v/>
      </c>
      <c r="BC226" s="38">
        <f>INDEX(Translations!$D:$ZZ, MATCH(80,Translations!$A:$A,0), MATCH('Project Information'!$C$4,Translations!$D$1:$ZZ$1,0))</f>
        <v/>
      </c>
      <c r="BD226" s="38">
        <f>IF(OR(TRIM("")="Evet",TRIM("")="Yes"),1,0)</f>
        <v/>
      </c>
      <c r="BE226" s="38" t="n">
        <v>0.5</v>
      </c>
      <c r="BF226" s="38">
        <f>BD226*BE226</f>
        <v/>
      </c>
    </row>
    <row r="227" ht="15" customHeight="1" s="39">
      <c r="AZ227" s="38">
        <f>INDEX(Translations!$D:$ZZ, MATCH(310,Translations!$A:$A,0), MATCH('Project Information'!$C$4,Translations!$D$1:$ZZ$1,0))</f>
        <v/>
      </c>
      <c r="BA227" s="38">
        <f>INDEX(Translations!$D:$ZZ, MATCH(282,Translations!$A:$A,0), MATCH('Project Information'!$C$4,Translations!$D$1:$ZZ$1,0))</f>
        <v/>
      </c>
      <c r="BB227" s="38">
        <f>INDEX(Translations!$D:$ZZ, MATCH(337,Translations!$A:$A,0), MATCH('Project Information'!$C$4,Translations!$D$1:$ZZ$1,0))</f>
        <v/>
      </c>
      <c r="BC227" s="38">
        <f>INDEX(Translations!$D:$ZZ, MATCH(82,Translations!$A:$A,0), MATCH('Project Information'!$C$4,Translations!$D$1:$ZZ$1,0))</f>
        <v/>
      </c>
      <c r="BD227" s="38">
        <f>IF(OR(TRIM("")="Evet",TRIM("")="Yes"),1,0)</f>
        <v/>
      </c>
      <c r="BE227" s="38" t="n">
        <v>0.5</v>
      </c>
      <c r="BF227" s="38">
        <f>BD227*BE227</f>
        <v/>
      </c>
    </row>
    <row r="228" ht="15" customHeight="1" s="39">
      <c r="AZ228" s="38">
        <f>INDEX(Translations!$D:$ZZ, MATCH(310,Translations!$A:$A,0), MATCH('Project Information'!$C$4,Translations!$D$1:$ZZ$1,0))</f>
        <v/>
      </c>
      <c r="BA228" s="38">
        <f>INDEX(Translations!$D:$ZZ, MATCH(282,Translations!$A:$A,0), MATCH('Project Information'!$C$4,Translations!$D$1:$ZZ$1,0))</f>
        <v/>
      </c>
      <c r="BB228" s="38">
        <f>INDEX(Translations!$D:$ZZ, MATCH(337,Translations!$A:$A,0), MATCH('Project Information'!$C$4,Translations!$D$1:$ZZ$1,0))</f>
        <v/>
      </c>
      <c r="BC228" s="38">
        <f>INDEX(Translations!$D:$ZZ, MATCH(83,Translations!$A:$A,0), MATCH('Project Information'!$C$4,Translations!$D$1:$ZZ$1,0))</f>
        <v/>
      </c>
      <c r="BD228" s="38">
        <f>IF(OR(TRIM("")="Evet",TRIM("")="Yes"),1,0)</f>
        <v/>
      </c>
      <c r="BE228" s="38" t="n">
        <v>0.5</v>
      </c>
      <c r="BF228" s="38">
        <f>BD228*BE228</f>
        <v/>
      </c>
    </row>
    <row r="229" ht="15" customHeight="1" s="39">
      <c r="AZ229" s="38">
        <f>INDEX(Translations!$D:$ZZ, MATCH(310,Translations!$A:$A,0), MATCH('Project Information'!$C$4,Translations!$D$1:$ZZ$1,0))</f>
        <v/>
      </c>
      <c r="BA229" s="38">
        <f>INDEX(Translations!$D:$ZZ, MATCH(282,Translations!$A:$A,0), MATCH('Project Information'!$C$4,Translations!$D$1:$ZZ$1,0))</f>
        <v/>
      </c>
      <c r="BB229" s="38">
        <f>INDEX(Translations!$D:$ZZ, MATCH(337,Translations!$A:$A,0), MATCH('Project Information'!$C$4,Translations!$D$1:$ZZ$1,0))</f>
        <v/>
      </c>
      <c r="BC229" s="38">
        <f>INDEX(Translations!$D:$ZZ, MATCH(85,Translations!$A:$A,0), MATCH('Project Information'!$C$4,Translations!$D$1:$ZZ$1,0))</f>
        <v/>
      </c>
      <c r="BD229" s="38">
        <f>IF(OR(TRIM("")="Evet",TRIM("")="Yes"),1,0)</f>
        <v/>
      </c>
      <c r="BE229" s="38" t="n">
        <v>0.5</v>
      </c>
      <c r="BF229" s="38">
        <f>BD229*BE229</f>
        <v/>
      </c>
    </row>
    <row r="230" ht="15" customHeight="1" s="39">
      <c r="AZ230" s="38">
        <f>INDEX(Translations!$D:$ZZ, MATCH(310,Translations!$A:$A,0), MATCH('Project Information'!$C$4,Translations!$D$1:$ZZ$1,0))</f>
        <v/>
      </c>
      <c r="BA230" s="38">
        <f>INDEX(Translations!$D:$ZZ, MATCH(282,Translations!$A:$A,0), MATCH('Project Information'!$C$4,Translations!$D$1:$ZZ$1,0))</f>
        <v/>
      </c>
      <c r="BB230" s="38">
        <f>INDEX(Translations!$D:$ZZ, MATCH(339,Translations!$A:$A,0), MATCH('Project Information'!$C$4,Translations!$D$1:$ZZ$1,0))</f>
        <v/>
      </c>
      <c r="BC230" s="38">
        <f>INDEX(Translations!$D:$ZZ, MATCH(75,Translations!$A:$A,0), MATCH('Project Information'!$C$4,Translations!$D$1:$ZZ$1,0))</f>
        <v/>
      </c>
      <c r="BD230" s="38">
        <f>IF(OR(TRIM("")="Evet",TRIM("")="Yes"),1,0)</f>
        <v/>
      </c>
      <c r="BE230" s="38" t="n">
        <v>2</v>
      </c>
      <c r="BF230" s="38">
        <f>BD230*BE230</f>
        <v/>
      </c>
    </row>
    <row r="231" ht="15" customHeight="1" s="39">
      <c r="AZ231" s="38">
        <f>INDEX(Translations!$D:$ZZ, MATCH(310,Translations!$A:$A,0), MATCH('Project Information'!$C$4,Translations!$D$1:$ZZ$1,0))</f>
        <v/>
      </c>
      <c r="BA231" s="38">
        <f>INDEX(Translations!$D:$ZZ, MATCH(282,Translations!$A:$A,0), MATCH('Project Information'!$C$4,Translations!$D$1:$ZZ$1,0))</f>
        <v/>
      </c>
      <c r="BB231" s="38">
        <f>INDEX(Translations!$D:$ZZ, MATCH(339,Translations!$A:$A,0), MATCH('Project Information'!$C$4,Translations!$D$1:$ZZ$1,0))</f>
        <v/>
      </c>
      <c r="BC231" s="38">
        <f>INDEX(Translations!$D:$ZZ, MATCH(76,Translations!$A:$A,0), MATCH('Project Information'!$C$4,Translations!$D$1:$ZZ$1,0))</f>
        <v/>
      </c>
      <c r="BD231" s="38">
        <f>IF(OR(TRIM("")="Evet",TRIM("")="Yes"),1,0)</f>
        <v/>
      </c>
      <c r="BE231" s="38" t="n">
        <v>1</v>
      </c>
      <c r="BF231" s="38">
        <f>BD231*BE231</f>
        <v/>
      </c>
    </row>
    <row r="232" ht="15" customHeight="1" s="39">
      <c r="AZ232" s="38">
        <f>INDEX(Translations!$D:$ZZ, MATCH(310,Translations!$A:$A,0), MATCH('Project Information'!$C$4,Translations!$D$1:$ZZ$1,0))</f>
        <v/>
      </c>
      <c r="BA232" s="38">
        <f>INDEX(Translations!$D:$ZZ, MATCH(282,Translations!$A:$A,0), MATCH('Project Information'!$C$4,Translations!$D$1:$ZZ$1,0))</f>
        <v/>
      </c>
      <c r="BB232" s="38">
        <f>INDEX(Translations!$D:$ZZ, MATCH(339,Translations!$A:$A,0), MATCH('Project Information'!$C$4,Translations!$D$1:$ZZ$1,0))</f>
        <v/>
      </c>
      <c r="BC232" s="38">
        <f>INDEX(Translations!$D:$ZZ, MATCH(78,Translations!$A:$A,0), MATCH('Project Information'!$C$4,Translations!$D$1:$ZZ$1,0))</f>
        <v/>
      </c>
      <c r="BD232" s="38">
        <f>IF(OR(TRIM("")="Evet",TRIM("")="Yes"),1,0)</f>
        <v/>
      </c>
      <c r="BE232" s="38" t="n">
        <v>1</v>
      </c>
      <c r="BF232" s="38">
        <f>BD232*BE232</f>
        <v/>
      </c>
    </row>
    <row r="233" ht="15" customHeight="1" s="39">
      <c r="AZ233" s="38">
        <f>INDEX(Translations!$D:$ZZ, MATCH(310,Translations!$A:$A,0), MATCH('Project Information'!$C$4,Translations!$D$1:$ZZ$1,0))</f>
        <v/>
      </c>
      <c r="BA233" s="38">
        <f>INDEX(Translations!$D:$ZZ, MATCH(282,Translations!$A:$A,0), MATCH('Project Information'!$C$4,Translations!$D$1:$ZZ$1,0))</f>
        <v/>
      </c>
      <c r="BB233" s="38">
        <f>INDEX(Translations!$D:$ZZ, MATCH(339,Translations!$A:$A,0), MATCH('Project Information'!$C$4,Translations!$D$1:$ZZ$1,0))</f>
        <v/>
      </c>
      <c r="BC233" s="38">
        <f>INDEX(Translations!$D:$ZZ, MATCH(79,Translations!$A:$A,0), MATCH('Project Information'!$C$4,Translations!$D$1:$ZZ$1,0))</f>
        <v/>
      </c>
      <c r="BD233" s="38">
        <f>IF(OR(TRIM("")="Evet",TRIM("")="Yes"),1,0)</f>
        <v/>
      </c>
      <c r="BE233" s="38" t="n">
        <v>1</v>
      </c>
      <c r="BF233" s="38">
        <f>BD233*BE233</f>
        <v/>
      </c>
    </row>
    <row r="234" ht="15" customHeight="1" s="39">
      <c r="AZ234" s="38">
        <f>INDEX(Translations!$D:$ZZ, MATCH(310,Translations!$A:$A,0), MATCH('Project Information'!$C$4,Translations!$D$1:$ZZ$1,0))</f>
        <v/>
      </c>
      <c r="BA234" s="38">
        <f>INDEX(Translations!$D:$ZZ, MATCH(282,Translations!$A:$A,0), MATCH('Project Information'!$C$4,Translations!$D$1:$ZZ$1,0))</f>
        <v/>
      </c>
      <c r="BB234" s="38">
        <f>INDEX(Translations!$D:$ZZ, MATCH(339,Translations!$A:$A,0), MATCH('Project Information'!$C$4,Translations!$D$1:$ZZ$1,0))</f>
        <v/>
      </c>
      <c r="BC234" s="38">
        <f>INDEX(Translations!$D:$ZZ, MATCH(80,Translations!$A:$A,0), MATCH('Project Information'!$C$4,Translations!$D$1:$ZZ$1,0))</f>
        <v/>
      </c>
      <c r="BD234" s="38">
        <f>IF(OR(TRIM("")="Evet",TRIM("")="Yes"),1,0)</f>
        <v/>
      </c>
      <c r="BE234" s="38" t="n">
        <v>0.5</v>
      </c>
      <c r="BF234" s="38">
        <f>BD234*BE234</f>
        <v/>
      </c>
    </row>
    <row r="235" ht="15" customHeight="1" s="39">
      <c r="AZ235" s="38">
        <f>INDEX(Translations!$D:$ZZ, MATCH(310,Translations!$A:$A,0), MATCH('Project Information'!$C$4,Translations!$D$1:$ZZ$1,0))</f>
        <v/>
      </c>
      <c r="BA235" s="38">
        <f>INDEX(Translations!$D:$ZZ, MATCH(282,Translations!$A:$A,0), MATCH('Project Information'!$C$4,Translations!$D$1:$ZZ$1,0))</f>
        <v/>
      </c>
      <c r="BB235" s="38">
        <f>INDEX(Translations!$D:$ZZ, MATCH(339,Translations!$A:$A,0), MATCH('Project Information'!$C$4,Translations!$D$1:$ZZ$1,0))</f>
        <v/>
      </c>
      <c r="BC235" s="38">
        <f>INDEX(Translations!$D:$ZZ, MATCH(82,Translations!$A:$A,0), MATCH('Project Information'!$C$4,Translations!$D$1:$ZZ$1,0))</f>
        <v/>
      </c>
      <c r="BD235" s="38">
        <f>IF(OR(TRIM("")="Evet",TRIM("")="Yes"),1,0)</f>
        <v/>
      </c>
      <c r="BE235" s="38" t="n">
        <v>0.5</v>
      </c>
      <c r="BF235" s="38">
        <f>BD235*BE235</f>
        <v/>
      </c>
    </row>
    <row r="236" ht="15" customHeight="1" s="39">
      <c r="AZ236" s="38">
        <f>INDEX(Translations!$D:$ZZ, MATCH(310,Translations!$A:$A,0), MATCH('Project Information'!$C$4,Translations!$D$1:$ZZ$1,0))</f>
        <v/>
      </c>
      <c r="BA236" s="38">
        <f>INDEX(Translations!$D:$ZZ, MATCH(282,Translations!$A:$A,0), MATCH('Project Information'!$C$4,Translations!$D$1:$ZZ$1,0))</f>
        <v/>
      </c>
      <c r="BB236" s="38">
        <f>INDEX(Translations!$D:$ZZ, MATCH(339,Translations!$A:$A,0), MATCH('Project Information'!$C$4,Translations!$D$1:$ZZ$1,0))</f>
        <v/>
      </c>
      <c r="BC236" s="38">
        <f>INDEX(Translations!$D:$ZZ, MATCH(83,Translations!$A:$A,0), MATCH('Project Information'!$C$4,Translations!$D$1:$ZZ$1,0))</f>
        <v/>
      </c>
      <c r="BD236" s="38">
        <f>IF(OR(TRIM("")="Evet",TRIM("")="Yes"),1,0)</f>
        <v/>
      </c>
      <c r="BE236" s="38" t="n">
        <v>0.5</v>
      </c>
      <c r="BF236" s="38">
        <f>BD236*BE236</f>
        <v/>
      </c>
    </row>
    <row r="237" ht="15" customHeight="1" s="39">
      <c r="AZ237" s="38">
        <f>INDEX(Translations!$D:$ZZ, MATCH(310,Translations!$A:$A,0), MATCH('Project Information'!$C$4,Translations!$D$1:$ZZ$1,0))</f>
        <v/>
      </c>
      <c r="BA237" s="38">
        <f>INDEX(Translations!$D:$ZZ, MATCH(282,Translations!$A:$A,0), MATCH('Project Information'!$C$4,Translations!$D$1:$ZZ$1,0))</f>
        <v/>
      </c>
      <c r="BB237" s="38">
        <f>INDEX(Translations!$D:$ZZ, MATCH(339,Translations!$A:$A,0), MATCH('Project Information'!$C$4,Translations!$D$1:$ZZ$1,0))</f>
        <v/>
      </c>
      <c r="BC237" s="38">
        <f>INDEX(Translations!$D:$ZZ, MATCH(85,Translations!$A:$A,0), MATCH('Project Information'!$C$4,Translations!$D$1:$ZZ$1,0))</f>
        <v/>
      </c>
      <c r="BD237" s="38">
        <f>IF(OR(TRIM("")="Evet",TRIM("")="Yes"),1,0)</f>
        <v/>
      </c>
      <c r="BE237" s="38" t="n">
        <v>0.5</v>
      </c>
      <c r="BF237" s="38">
        <f>BD237*BE237</f>
        <v/>
      </c>
    </row>
    <row r="238" ht="15" customHeight="1" s="39">
      <c r="AZ238" s="38">
        <f>INDEX(Translations!$D:$ZZ, MATCH(310,Translations!$A:$A,0), MATCH('Project Information'!$C$4,Translations!$D$1:$ZZ$1,0))</f>
        <v/>
      </c>
      <c r="BA238" s="38">
        <f>INDEX(Translations!$D:$ZZ, MATCH(217,Translations!$A:$A,0), MATCH('Project Information'!$C$4,Translations!$D$1:$ZZ$1,0))</f>
        <v/>
      </c>
      <c r="BB238" s="38">
        <f>INDEX(Translations!$D:$ZZ, MATCH(332,Translations!$A:$A,0), MATCH('Project Information'!$C$4,Translations!$D$1:$ZZ$1,0))</f>
        <v/>
      </c>
      <c r="BC238" s="38">
        <f>INDEX(Translations!$D:$ZZ, MATCH(75,Translations!$A:$A,0), MATCH('Project Information'!$C$4,Translations!$D$1:$ZZ$1,0))</f>
        <v/>
      </c>
      <c r="BD238" s="38">
        <f>IF(OR(TRIM("")="Evet",TRIM("")="Yes"),1,0)</f>
        <v/>
      </c>
      <c r="BE238" s="38" t="n">
        <v>2</v>
      </c>
      <c r="BF238" s="38">
        <f>BD238*BE238</f>
        <v/>
      </c>
    </row>
    <row r="239" ht="15" customHeight="1" s="39">
      <c r="AZ239" s="38">
        <f>INDEX(Translations!$D:$ZZ, MATCH(310,Translations!$A:$A,0), MATCH('Project Information'!$C$4,Translations!$D$1:$ZZ$1,0))</f>
        <v/>
      </c>
      <c r="BA239" s="38">
        <f>INDEX(Translations!$D:$ZZ, MATCH(217,Translations!$A:$A,0), MATCH('Project Information'!$C$4,Translations!$D$1:$ZZ$1,0))</f>
        <v/>
      </c>
      <c r="BB239" s="38">
        <f>INDEX(Translations!$D:$ZZ, MATCH(332,Translations!$A:$A,0), MATCH('Project Information'!$C$4,Translations!$D$1:$ZZ$1,0))</f>
        <v/>
      </c>
      <c r="BC239" s="38">
        <f>INDEX(Translations!$D:$ZZ, MATCH(76,Translations!$A:$A,0), MATCH('Project Information'!$C$4,Translations!$D$1:$ZZ$1,0))</f>
        <v/>
      </c>
      <c r="BD239" s="38">
        <f>IF(OR(TRIM("")="Evet",TRIM("")="Yes"),1,0)</f>
        <v/>
      </c>
      <c r="BE239" s="38" t="n">
        <v>2</v>
      </c>
      <c r="BF239" s="38">
        <f>BD239*BE239</f>
        <v/>
      </c>
    </row>
    <row r="240" ht="15" customHeight="1" s="39">
      <c r="AZ240" s="38">
        <f>INDEX(Translations!$D:$ZZ, MATCH(310,Translations!$A:$A,0), MATCH('Project Information'!$C$4,Translations!$D$1:$ZZ$1,0))</f>
        <v/>
      </c>
      <c r="BA240" s="38">
        <f>INDEX(Translations!$D:$ZZ, MATCH(217,Translations!$A:$A,0), MATCH('Project Information'!$C$4,Translations!$D$1:$ZZ$1,0))</f>
        <v/>
      </c>
      <c r="BB240" s="38">
        <f>INDEX(Translations!$D:$ZZ, MATCH(332,Translations!$A:$A,0), MATCH('Project Information'!$C$4,Translations!$D$1:$ZZ$1,0))</f>
        <v/>
      </c>
      <c r="BC240" s="38">
        <f>INDEX(Translations!$D:$ZZ, MATCH(78,Translations!$A:$A,0), MATCH('Project Information'!$C$4,Translations!$D$1:$ZZ$1,0))</f>
        <v/>
      </c>
      <c r="BD240" s="38">
        <f>IF(OR(TRIM("")="Evet",TRIM("")="Yes"),1,0)</f>
        <v/>
      </c>
      <c r="BE240" s="38" t="n">
        <v>2</v>
      </c>
      <c r="BF240" s="38">
        <f>BD240*BE240</f>
        <v/>
      </c>
    </row>
    <row r="241" ht="15" customHeight="1" s="39">
      <c r="AZ241" s="38">
        <f>INDEX(Translations!$D:$ZZ, MATCH(310,Translations!$A:$A,0), MATCH('Project Information'!$C$4,Translations!$D$1:$ZZ$1,0))</f>
        <v/>
      </c>
      <c r="BA241" s="38">
        <f>INDEX(Translations!$D:$ZZ, MATCH(217,Translations!$A:$A,0), MATCH('Project Information'!$C$4,Translations!$D$1:$ZZ$1,0))</f>
        <v/>
      </c>
      <c r="BB241" s="38">
        <f>INDEX(Translations!$D:$ZZ, MATCH(332,Translations!$A:$A,0), MATCH('Project Information'!$C$4,Translations!$D$1:$ZZ$1,0))</f>
        <v/>
      </c>
      <c r="BC241" s="38">
        <f>INDEX(Translations!$D:$ZZ, MATCH(79,Translations!$A:$A,0), MATCH('Project Information'!$C$4,Translations!$D$1:$ZZ$1,0))</f>
        <v/>
      </c>
      <c r="BD241" s="38">
        <f>IF(OR(TRIM("")="Evet",TRIM("")="Yes"),1,0)</f>
        <v/>
      </c>
      <c r="BE241" s="38" t="n">
        <v>2</v>
      </c>
      <c r="BF241" s="38">
        <f>BD241*BE241</f>
        <v/>
      </c>
    </row>
    <row r="242" ht="15" customHeight="1" s="39">
      <c r="AZ242" s="38">
        <f>INDEX(Translations!$D:$ZZ, MATCH(310,Translations!$A:$A,0), MATCH('Project Information'!$C$4,Translations!$D$1:$ZZ$1,0))</f>
        <v/>
      </c>
      <c r="BA242" s="38">
        <f>INDEX(Translations!$D:$ZZ, MATCH(217,Translations!$A:$A,0), MATCH('Project Information'!$C$4,Translations!$D$1:$ZZ$1,0))</f>
        <v/>
      </c>
      <c r="BB242" s="38">
        <f>INDEX(Translations!$D:$ZZ, MATCH(332,Translations!$A:$A,0), MATCH('Project Information'!$C$4,Translations!$D$1:$ZZ$1,0))</f>
        <v/>
      </c>
      <c r="BC242" s="38">
        <f>INDEX(Translations!$D:$ZZ, MATCH(82,Translations!$A:$A,0), MATCH('Project Information'!$C$4,Translations!$D$1:$ZZ$1,0))</f>
        <v/>
      </c>
      <c r="BD242" s="38">
        <f>IF(OR(TRIM("")="Evet",TRIM("")="Yes"),1,0)</f>
        <v/>
      </c>
      <c r="BE242" s="38" t="n">
        <v>1</v>
      </c>
      <c r="BF242" s="38">
        <f>BD242*BE242</f>
        <v/>
      </c>
    </row>
    <row r="243" ht="15" customHeight="1" s="39">
      <c r="AZ243" s="38">
        <f>INDEX(Translations!$D:$ZZ, MATCH(310,Translations!$A:$A,0), MATCH('Project Information'!$C$4,Translations!$D$1:$ZZ$1,0))</f>
        <v/>
      </c>
      <c r="BA243" s="38">
        <f>INDEX(Translations!$D:$ZZ, MATCH(217,Translations!$A:$A,0), MATCH('Project Information'!$C$4,Translations!$D$1:$ZZ$1,0))</f>
        <v/>
      </c>
      <c r="BB243" s="38">
        <f>INDEX(Translations!$D:$ZZ, MATCH(332,Translations!$A:$A,0), MATCH('Project Information'!$C$4,Translations!$D$1:$ZZ$1,0))</f>
        <v/>
      </c>
      <c r="BC243" s="38">
        <f>INDEX(Translations!$D:$ZZ, MATCH(83,Translations!$A:$A,0), MATCH('Project Information'!$C$4,Translations!$D$1:$ZZ$1,0))</f>
        <v/>
      </c>
      <c r="BD243" s="38">
        <f>IF(OR(TRIM("")="Evet",TRIM("")="Yes"),1,0)</f>
        <v/>
      </c>
      <c r="BE243" s="38" t="n">
        <v>1</v>
      </c>
      <c r="BF243" s="38">
        <f>BD243*BE243</f>
        <v/>
      </c>
    </row>
    <row r="244" ht="15" customHeight="1" s="39">
      <c r="AZ244" s="38">
        <f>INDEX(Translations!$D:$ZZ, MATCH(310,Translations!$A:$A,0), MATCH('Project Information'!$C$4,Translations!$D$1:$ZZ$1,0))</f>
        <v/>
      </c>
      <c r="BA244" s="38">
        <f>INDEX(Translations!$D:$ZZ, MATCH(217,Translations!$A:$A,0), MATCH('Project Information'!$C$4,Translations!$D$1:$ZZ$1,0))</f>
        <v/>
      </c>
      <c r="BB244" s="38">
        <f>INDEX(Translations!$D:$ZZ, MATCH(339,Translations!$A:$A,0), MATCH('Project Information'!$C$4,Translations!$D$1:$ZZ$1,0))</f>
        <v/>
      </c>
      <c r="BC244" s="38">
        <f>INDEX(Translations!$D:$ZZ, MATCH(75,Translations!$A:$A,0), MATCH('Project Information'!$C$4,Translations!$D$1:$ZZ$1,0))</f>
        <v/>
      </c>
      <c r="BD244" s="38">
        <f>IF(OR(TRIM("")="Evet",TRIM("")="Yes"),1,0)</f>
        <v/>
      </c>
      <c r="BE244" s="38" t="n">
        <v>1</v>
      </c>
      <c r="BF244" s="38">
        <f>BD244*BE244</f>
        <v/>
      </c>
    </row>
    <row r="245" ht="15" customHeight="1" s="39">
      <c r="AZ245" s="38">
        <f>INDEX(Translations!$D:$ZZ, MATCH(310,Translations!$A:$A,0), MATCH('Project Information'!$C$4,Translations!$D$1:$ZZ$1,0))</f>
        <v/>
      </c>
      <c r="BA245" s="38">
        <f>INDEX(Translations!$D:$ZZ, MATCH(217,Translations!$A:$A,0), MATCH('Project Information'!$C$4,Translations!$D$1:$ZZ$1,0))</f>
        <v/>
      </c>
      <c r="BB245" s="38">
        <f>INDEX(Translations!$D:$ZZ, MATCH(339,Translations!$A:$A,0), MATCH('Project Information'!$C$4,Translations!$D$1:$ZZ$1,0))</f>
        <v/>
      </c>
      <c r="BC245" s="38">
        <f>INDEX(Translations!$D:$ZZ, MATCH(78,Translations!$A:$A,0), MATCH('Project Information'!$C$4,Translations!$D$1:$ZZ$1,0))</f>
        <v/>
      </c>
      <c r="BD245" s="38">
        <f>IF(OR(TRIM("")="Evet",TRIM("")="Yes"),1,0)</f>
        <v/>
      </c>
      <c r="BE245" s="38" t="n">
        <v>2</v>
      </c>
      <c r="BF245" s="38">
        <f>BD245*BE245</f>
        <v/>
      </c>
    </row>
    <row r="246" ht="15" customHeight="1" s="39">
      <c r="AZ246" s="38">
        <f>INDEX(Translations!$D:$ZZ, MATCH(310,Translations!$A:$A,0), MATCH('Project Information'!$C$4,Translations!$D$1:$ZZ$1,0))</f>
        <v/>
      </c>
      <c r="BA246" s="38">
        <f>INDEX(Translations!$D:$ZZ, MATCH(217,Translations!$A:$A,0), MATCH('Project Information'!$C$4,Translations!$D$1:$ZZ$1,0))</f>
        <v/>
      </c>
      <c r="BB246" s="38">
        <f>INDEX(Translations!$D:$ZZ, MATCH(339,Translations!$A:$A,0), MATCH('Project Information'!$C$4,Translations!$D$1:$ZZ$1,0))</f>
        <v/>
      </c>
      <c r="BC246" s="38">
        <f>INDEX(Translations!$D:$ZZ, MATCH(79,Translations!$A:$A,0), MATCH('Project Information'!$C$4,Translations!$D$1:$ZZ$1,0))</f>
        <v/>
      </c>
      <c r="BD246" s="38">
        <f>IF(OR(TRIM("")="Evet",TRIM("")="Yes"),1,0)</f>
        <v/>
      </c>
      <c r="BE246" s="38" t="n">
        <v>1</v>
      </c>
      <c r="BF246" s="38">
        <f>BD246*BE246</f>
        <v/>
      </c>
    </row>
    <row r="247" ht="15" customHeight="1" s="39">
      <c r="AZ247" s="38">
        <f>INDEX(Translations!$D:$ZZ, MATCH(310,Translations!$A:$A,0), MATCH('Project Information'!$C$4,Translations!$D$1:$ZZ$1,0))</f>
        <v/>
      </c>
      <c r="BA247" s="38">
        <f>INDEX(Translations!$D:$ZZ, MATCH(217,Translations!$A:$A,0), MATCH('Project Information'!$C$4,Translations!$D$1:$ZZ$1,0))</f>
        <v/>
      </c>
      <c r="BB247" s="38">
        <f>INDEX(Translations!$D:$ZZ, MATCH(339,Translations!$A:$A,0), MATCH('Project Information'!$C$4,Translations!$D$1:$ZZ$1,0))</f>
        <v/>
      </c>
      <c r="BC247" s="38">
        <f>INDEX(Translations!$D:$ZZ, MATCH(82,Translations!$A:$A,0), MATCH('Project Information'!$C$4,Translations!$D$1:$ZZ$1,0))</f>
        <v/>
      </c>
      <c r="BD247" s="38">
        <f>IF(OR(TRIM("")="Evet",TRIM("")="Yes"),1,0)</f>
        <v/>
      </c>
      <c r="BE247" s="38" t="n">
        <v>0.5</v>
      </c>
      <c r="BF247" s="38">
        <f>BD247*BE247</f>
        <v/>
      </c>
    </row>
    <row r="248" ht="15" customHeight="1" s="39">
      <c r="AZ248" s="38">
        <f>INDEX(Translations!$D:$ZZ, MATCH(310,Translations!$A:$A,0), MATCH('Project Information'!$C$4,Translations!$D$1:$ZZ$1,0))</f>
        <v/>
      </c>
      <c r="BA248" s="38">
        <f>INDEX(Translations!$D:$ZZ, MATCH(217,Translations!$A:$A,0), MATCH('Project Information'!$C$4,Translations!$D$1:$ZZ$1,0))</f>
        <v/>
      </c>
      <c r="BB248" s="38">
        <f>INDEX(Translations!$D:$ZZ, MATCH(339,Translations!$A:$A,0), MATCH('Project Information'!$C$4,Translations!$D$1:$ZZ$1,0))</f>
        <v/>
      </c>
      <c r="BC248" s="38">
        <f>INDEX(Translations!$D:$ZZ, MATCH(83,Translations!$A:$A,0), MATCH('Project Information'!$C$4,Translations!$D$1:$ZZ$1,0))</f>
        <v/>
      </c>
      <c r="BD248" s="38">
        <f>IF(OR(TRIM("")="Evet",TRIM("")="Yes"),1,0)</f>
        <v/>
      </c>
      <c r="BE248" s="38" t="n">
        <v>1</v>
      </c>
      <c r="BF248" s="38">
        <f>BD248*BE248</f>
        <v/>
      </c>
    </row>
    <row r="249" ht="15" customHeight="1" s="39">
      <c r="AZ249" s="38">
        <f>INDEX(Translations!$D:$ZZ, MATCH(310,Translations!$A:$A,0), MATCH('Project Information'!$C$4,Translations!$D$1:$ZZ$1,0))</f>
        <v/>
      </c>
      <c r="BA249" s="38">
        <f>INDEX(Translations!$D:$ZZ, MATCH(284,Translations!$A:$A,0), MATCH('Project Information'!$C$4,Translations!$D$1:$ZZ$1,0))</f>
        <v/>
      </c>
      <c r="BB249" s="38">
        <f>INDEX(Translations!$D:$ZZ, MATCH(332,Translations!$A:$A,0), MATCH('Project Information'!$C$4,Translations!$D$1:$ZZ$1,0))</f>
        <v/>
      </c>
      <c r="BC249" s="38">
        <f>INDEX(Translations!$D:$ZZ, MATCH(75,Translations!$A:$A,0), MATCH('Project Information'!$C$4,Translations!$D$1:$ZZ$1,0))</f>
        <v/>
      </c>
      <c r="BD249" s="38">
        <f>MAX(N(0),0)</f>
        <v/>
      </c>
      <c r="BE249" s="38" t="n">
        <v>5</v>
      </c>
      <c r="BF249" s="38">
        <f>BD249*BE249</f>
        <v/>
      </c>
    </row>
    <row r="250" ht="15" customHeight="1" s="39">
      <c r="AZ250" s="38">
        <f>INDEX(Translations!$D:$ZZ, MATCH(310,Translations!$A:$A,0), MATCH('Project Information'!$C$4,Translations!$D$1:$ZZ$1,0))</f>
        <v/>
      </c>
      <c r="BA250" s="38">
        <f>INDEX(Translations!$D:$ZZ, MATCH(284,Translations!$A:$A,0), MATCH('Project Information'!$C$4,Translations!$D$1:$ZZ$1,0))</f>
        <v/>
      </c>
      <c r="BB250" s="38">
        <f>INDEX(Translations!$D:$ZZ, MATCH(332,Translations!$A:$A,0), MATCH('Project Information'!$C$4,Translations!$D$1:$ZZ$1,0))</f>
        <v/>
      </c>
      <c r="BC250" s="38">
        <f>INDEX(Translations!$D:$ZZ, MATCH(76,Translations!$A:$A,0), MATCH('Project Information'!$C$4,Translations!$D$1:$ZZ$1,0))</f>
        <v/>
      </c>
      <c r="BD250" s="38">
        <f>MAX(N(0),0)</f>
        <v/>
      </c>
      <c r="BE250" s="38" t="n">
        <v>5</v>
      </c>
      <c r="BF250" s="38">
        <f>BD250*BE250</f>
        <v/>
      </c>
    </row>
    <row r="251" ht="15" customHeight="1" s="39">
      <c r="AZ251" s="38">
        <f>INDEX(Translations!$D:$ZZ, MATCH(310,Translations!$A:$A,0), MATCH('Project Information'!$C$4,Translations!$D$1:$ZZ$1,0))</f>
        <v/>
      </c>
      <c r="BA251" s="38">
        <f>INDEX(Translations!$D:$ZZ, MATCH(284,Translations!$A:$A,0), MATCH('Project Information'!$C$4,Translations!$D$1:$ZZ$1,0))</f>
        <v/>
      </c>
      <c r="BB251" s="38">
        <f>INDEX(Translations!$D:$ZZ, MATCH(332,Translations!$A:$A,0), MATCH('Project Information'!$C$4,Translations!$D$1:$ZZ$1,0))</f>
        <v/>
      </c>
      <c r="BC251" s="38">
        <f>INDEX(Translations!$D:$ZZ, MATCH(78,Translations!$A:$A,0), MATCH('Project Information'!$C$4,Translations!$D$1:$ZZ$1,0))</f>
        <v/>
      </c>
      <c r="BD251" s="38">
        <f>MAX(N(0),0)</f>
        <v/>
      </c>
      <c r="BE251" s="38" t="n">
        <v>2</v>
      </c>
      <c r="BF251" s="38">
        <f>BD251*BE251</f>
        <v/>
      </c>
    </row>
    <row r="252" ht="15" customHeight="1" s="39">
      <c r="AZ252" s="38">
        <f>INDEX(Translations!$D:$ZZ, MATCH(310,Translations!$A:$A,0), MATCH('Project Information'!$C$4,Translations!$D$1:$ZZ$1,0))</f>
        <v/>
      </c>
      <c r="BA252" s="38">
        <f>INDEX(Translations!$D:$ZZ, MATCH(284,Translations!$A:$A,0), MATCH('Project Information'!$C$4,Translations!$D$1:$ZZ$1,0))</f>
        <v/>
      </c>
      <c r="BB252" s="38">
        <f>INDEX(Translations!$D:$ZZ, MATCH(332,Translations!$A:$A,0), MATCH('Project Information'!$C$4,Translations!$D$1:$ZZ$1,0))</f>
        <v/>
      </c>
      <c r="BC252" s="38">
        <f>INDEX(Translations!$D:$ZZ, MATCH(79,Translations!$A:$A,0), MATCH('Project Information'!$C$4,Translations!$D$1:$ZZ$1,0))</f>
        <v/>
      </c>
      <c r="BD252" s="38">
        <f>MAX(N(0),0)</f>
        <v/>
      </c>
      <c r="BE252" s="38" t="n">
        <v>5</v>
      </c>
      <c r="BF252" s="38">
        <f>BD252*BE252</f>
        <v/>
      </c>
    </row>
    <row r="253" ht="15" customHeight="1" s="39">
      <c r="AZ253" s="38">
        <f>INDEX(Translations!$D:$ZZ, MATCH(310,Translations!$A:$A,0), MATCH('Project Information'!$C$4,Translations!$D$1:$ZZ$1,0))</f>
        <v/>
      </c>
      <c r="BA253" s="38">
        <f>INDEX(Translations!$D:$ZZ, MATCH(284,Translations!$A:$A,0), MATCH('Project Information'!$C$4,Translations!$D$1:$ZZ$1,0))</f>
        <v/>
      </c>
      <c r="BB253" s="38">
        <f>INDEX(Translations!$D:$ZZ, MATCH(332,Translations!$A:$A,0), MATCH('Project Information'!$C$4,Translations!$D$1:$ZZ$1,0))</f>
        <v/>
      </c>
      <c r="BC253" s="38">
        <f>INDEX(Translations!$D:$ZZ, MATCH(82,Translations!$A:$A,0), MATCH('Project Information'!$C$4,Translations!$D$1:$ZZ$1,0))</f>
        <v/>
      </c>
      <c r="BD253" s="38">
        <f>MAX(N(0),0)</f>
        <v/>
      </c>
      <c r="BE253" s="38" t="n">
        <v>5</v>
      </c>
      <c r="BF253" s="38">
        <f>BD253*BE253</f>
        <v/>
      </c>
    </row>
    <row r="254" ht="15" customHeight="1" s="39">
      <c r="AZ254" s="38">
        <f>INDEX(Translations!$D:$ZZ, MATCH(310,Translations!$A:$A,0), MATCH('Project Information'!$C$4,Translations!$D$1:$ZZ$1,0))</f>
        <v/>
      </c>
      <c r="BA254" s="38">
        <f>INDEX(Translations!$D:$ZZ, MATCH(284,Translations!$A:$A,0), MATCH('Project Information'!$C$4,Translations!$D$1:$ZZ$1,0))</f>
        <v/>
      </c>
      <c r="BB254" s="38">
        <f>INDEX(Translations!$D:$ZZ, MATCH(332,Translations!$A:$A,0), MATCH('Project Information'!$C$4,Translations!$D$1:$ZZ$1,0))</f>
        <v/>
      </c>
      <c r="BC254" s="38">
        <f>INDEX(Translations!$D:$ZZ, MATCH(83,Translations!$A:$A,0), MATCH('Project Information'!$C$4,Translations!$D$1:$ZZ$1,0))</f>
        <v/>
      </c>
      <c r="BD254" s="38">
        <f>MAX(N(0),0)</f>
        <v/>
      </c>
      <c r="BE254" s="38" t="n">
        <v>5</v>
      </c>
      <c r="BF254" s="38">
        <f>BD254*BE254</f>
        <v/>
      </c>
    </row>
    <row r="255" ht="15" customHeight="1" s="39">
      <c r="AZ255" s="38">
        <f>INDEX(Translations!$D:$ZZ, MATCH(310,Translations!$A:$A,0), MATCH('Project Information'!$C$4,Translations!$D$1:$ZZ$1,0))</f>
        <v/>
      </c>
      <c r="BA255" s="38">
        <f>INDEX(Translations!$D:$ZZ, MATCH(243,Translations!$A:$A,0), MATCH('Project Information'!$C$4,Translations!$D$1:$ZZ$1,0))</f>
        <v/>
      </c>
      <c r="BB255" s="38">
        <f>INDEX(Translations!$D:$ZZ, MATCH(338,Translations!$A:$A,0), MATCH('Project Information'!$C$4,Translations!$D$1:$ZZ$1,0))</f>
        <v/>
      </c>
      <c r="BC255" s="38">
        <f>INDEX(Translations!$D:$ZZ, MATCH(75,Translations!$A:$A,0), MATCH('Project Information'!$C$4,Translations!$D$1:$ZZ$1,0))</f>
        <v/>
      </c>
      <c r="BD255" s="38">
        <f>IF(OR(TRIM(Development!$F$33)="Evet",TRIM(Development!$F$33)="Yes"),1,0)</f>
        <v/>
      </c>
      <c r="BE255" s="38" t="n">
        <v>10</v>
      </c>
      <c r="BF255" s="38">
        <f>BD255*BE255</f>
        <v/>
      </c>
    </row>
    <row r="256" ht="15" customHeight="1" s="39">
      <c r="AZ256" s="38">
        <f>INDEX(Translations!$D:$ZZ, MATCH(310,Translations!$A:$A,0), MATCH('Project Information'!$C$4,Translations!$D$1:$ZZ$1,0))</f>
        <v/>
      </c>
      <c r="BA256" s="38">
        <f>INDEX(Translations!$D:$ZZ, MATCH(243,Translations!$A:$A,0), MATCH('Project Information'!$C$4,Translations!$D$1:$ZZ$1,0))</f>
        <v/>
      </c>
      <c r="BB256" s="38">
        <f>INDEX(Translations!$D:$ZZ, MATCH(338,Translations!$A:$A,0), MATCH('Project Information'!$C$4,Translations!$D$1:$ZZ$1,0))</f>
        <v/>
      </c>
      <c r="BC256" s="38">
        <f>INDEX(Translations!$D:$ZZ, MATCH(76,Translations!$A:$A,0), MATCH('Project Information'!$C$4,Translations!$D$1:$ZZ$1,0))</f>
        <v/>
      </c>
      <c r="BD256" s="38">
        <f>IF(OR(TRIM(Development!$F$33)="Evet",TRIM(Development!$F$33)="Yes"),1,0)</f>
        <v/>
      </c>
      <c r="BE256" s="38" t="n">
        <v>1</v>
      </c>
      <c r="BF256" s="38">
        <f>BD256*BE256</f>
        <v/>
      </c>
    </row>
    <row r="257" ht="15" customHeight="1" s="39">
      <c r="AZ257" s="38">
        <f>INDEX(Translations!$D:$ZZ, MATCH(310,Translations!$A:$A,0), MATCH('Project Information'!$C$4,Translations!$D$1:$ZZ$1,0))</f>
        <v/>
      </c>
      <c r="BA257" s="38">
        <f>INDEX(Translations!$D:$ZZ, MATCH(243,Translations!$A:$A,0), MATCH('Project Information'!$C$4,Translations!$D$1:$ZZ$1,0))</f>
        <v/>
      </c>
      <c r="BB257" s="38">
        <f>INDEX(Translations!$D:$ZZ, MATCH(338,Translations!$A:$A,0), MATCH('Project Information'!$C$4,Translations!$D$1:$ZZ$1,0))</f>
        <v/>
      </c>
      <c r="BC257" s="38">
        <f>INDEX(Translations!$D:$ZZ, MATCH(82,Translations!$A:$A,0), MATCH('Project Information'!$C$4,Translations!$D$1:$ZZ$1,0))</f>
        <v/>
      </c>
      <c r="BD257" s="38">
        <f>IF(OR(TRIM(Development!$F$33)="Evet",TRIM(Development!$F$33)="Yes"),1,0)</f>
        <v/>
      </c>
      <c r="BE257" s="38" t="n">
        <v>1</v>
      </c>
      <c r="BF257" s="38">
        <f>BD257*BE257</f>
        <v/>
      </c>
    </row>
    <row r="258" ht="15" customHeight="1" s="39">
      <c r="AZ258" s="38">
        <f>INDEX(Translations!$D:$ZZ, MATCH(310,Translations!$A:$A,0), MATCH('Project Information'!$C$4,Translations!$D$1:$ZZ$1,0))</f>
        <v/>
      </c>
      <c r="BA258" s="38">
        <f>INDEX(Translations!$D:$ZZ, MATCH(243,Translations!$A:$A,0), MATCH('Project Information'!$C$4,Translations!$D$1:$ZZ$1,0))</f>
        <v/>
      </c>
      <c r="BB258" s="38">
        <f>INDEX(Translations!$D:$ZZ, MATCH(338,Translations!$A:$A,0), MATCH('Project Information'!$C$4,Translations!$D$1:$ZZ$1,0))</f>
        <v/>
      </c>
      <c r="BC258" s="38">
        <f>INDEX(Translations!$D:$ZZ, MATCH(83,Translations!$A:$A,0), MATCH('Project Information'!$C$4,Translations!$D$1:$ZZ$1,0))</f>
        <v/>
      </c>
      <c r="BD258" s="38">
        <f>IF(OR(TRIM(Development!$F$33)="Evet",TRIM(Development!$F$33)="Yes"),1,0)</f>
        <v/>
      </c>
      <c r="BE258" s="38" t="n">
        <v>3</v>
      </c>
      <c r="BF258" s="38">
        <f>BD258*BE258</f>
        <v/>
      </c>
    </row>
    <row r="259" ht="15" customHeight="1" s="39">
      <c r="AZ259" s="38">
        <f>INDEX(Translations!$D:$ZZ, MATCH(310,Translations!$A:$A,0), MATCH('Project Information'!$C$4,Translations!$D$1:$ZZ$1,0))</f>
        <v/>
      </c>
      <c r="BA259" s="38">
        <f>INDEX(Translations!$D:$ZZ, MATCH(286,Translations!$A:$A,0), MATCH('Project Information'!$C$4,Translations!$D$1:$ZZ$1,0))</f>
        <v/>
      </c>
      <c r="BB259" s="38">
        <f>INDEX(Translations!$D:$ZZ, MATCH(337,Translations!$A:$A,0), MATCH('Project Information'!$C$4,Translations!$D$1:$ZZ$1,0))</f>
        <v/>
      </c>
      <c r="BC259" s="38">
        <f>INDEX(Translations!$D:$ZZ, MATCH(75,Translations!$A:$A,0), MATCH('Project Information'!$C$4,Translations!$D$1:$ZZ$1,0))</f>
        <v/>
      </c>
      <c r="BD259" s="38">
        <f>IF(OR(TRIM("")="Evet",TRIM("")="Yes"),1,0)</f>
        <v/>
      </c>
      <c r="BE259" s="38" t="n">
        <v>2</v>
      </c>
      <c r="BF259" s="38">
        <f>BD259*BE259</f>
        <v/>
      </c>
    </row>
    <row r="260" ht="15" customHeight="1" s="39">
      <c r="AZ260" s="38">
        <f>INDEX(Translations!$D:$ZZ, MATCH(310,Translations!$A:$A,0), MATCH('Project Information'!$C$4,Translations!$D$1:$ZZ$1,0))</f>
        <v/>
      </c>
      <c r="BA260" s="38">
        <f>INDEX(Translations!$D:$ZZ, MATCH(286,Translations!$A:$A,0), MATCH('Project Information'!$C$4,Translations!$D$1:$ZZ$1,0))</f>
        <v/>
      </c>
      <c r="BB260" s="38">
        <f>INDEX(Translations!$D:$ZZ, MATCH(337,Translations!$A:$A,0), MATCH('Project Information'!$C$4,Translations!$D$1:$ZZ$1,0))</f>
        <v/>
      </c>
      <c r="BC260" s="38">
        <f>INDEX(Translations!$D:$ZZ, MATCH(76,Translations!$A:$A,0), MATCH('Project Information'!$C$4,Translations!$D$1:$ZZ$1,0))</f>
        <v/>
      </c>
      <c r="BD260" s="38">
        <f>IF(OR(TRIM("")="Evet",TRIM("")="Yes"),1,0)</f>
        <v/>
      </c>
      <c r="BE260" s="38" t="n">
        <v>1</v>
      </c>
      <c r="BF260" s="38">
        <f>BD260*BE260</f>
        <v/>
      </c>
    </row>
    <row r="261" ht="15" customHeight="1" s="39">
      <c r="AZ261" s="38">
        <f>INDEX(Translations!$D:$ZZ, MATCH(310,Translations!$A:$A,0), MATCH('Project Information'!$C$4,Translations!$D$1:$ZZ$1,0))</f>
        <v/>
      </c>
      <c r="BA261" s="38">
        <f>INDEX(Translations!$D:$ZZ, MATCH(286,Translations!$A:$A,0), MATCH('Project Information'!$C$4,Translations!$D$1:$ZZ$1,0))</f>
        <v/>
      </c>
      <c r="BB261" s="38">
        <f>INDEX(Translations!$D:$ZZ, MATCH(337,Translations!$A:$A,0), MATCH('Project Information'!$C$4,Translations!$D$1:$ZZ$1,0))</f>
        <v/>
      </c>
      <c r="BC261" s="38">
        <f>INDEX(Translations!$D:$ZZ, MATCH(78,Translations!$A:$A,0), MATCH('Project Information'!$C$4,Translations!$D$1:$ZZ$1,0))</f>
        <v/>
      </c>
      <c r="BD261" s="38">
        <f>IF(OR(TRIM("")="Evet",TRIM("")="Yes"),1,0)</f>
        <v/>
      </c>
      <c r="BE261" s="38" t="n">
        <v>2</v>
      </c>
      <c r="BF261" s="38">
        <f>BD261*BE261</f>
        <v/>
      </c>
    </row>
    <row r="262" ht="15" customHeight="1" s="39">
      <c r="AZ262" s="38">
        <f>INDEX(Translations!$D:$ZZ, MATCH(310,Translations!$A:$A,0), MATCH('Project Information'!$C$4,Translations!$D$1:$ZZ$1,0))</f>
        <v/>
      </c>
      <c r="BA262" s="38">
        <f>INDEX(Translations!$D:$ZZ, MATCH(286,Translations!$A:$A,0), MATCH('Project Information'!$C$4,Translations!$D$1:$ZZ$1,0))</f>
        <v/>
      </c>
      <c r="BB262" s="38">
        <f>INDEX(Translations!$D:$ZZ, MATCH(337,Translations!$A:$A,0), MATCH('Project Information'!$C$4,Translations!$D$1:$ZZ$1,0))</f>
        <v/>
      </c>
      <c r="BC262" s="38">
        <f>INDEX(Translations!$D:$ZZ, MATCH(79,Translations!$A:$A,0), MATCH('Project Information'!$C$4,Translations!$D$1:$ZZ$1,0))</f>
        <v/>
      </c>
      <c r="BD262" s="38">
        <f>IF(OR(TRIM("")="Evet",TRIM("")="Yes"),1,0)</f>
        <v/>
      </c>
      <c r="BE262" s="38" t="n">
        <v>2</v>
      </c>
      <c r="BF262" s="38">
        <f>BD262*BE262</f>
        <v/>
      </c>
    </row>
    <row r="263" ht="15" customHeight="1" s="39">
      <c r="AZ263" s="38">
        <f>INDEX(Translations!$D:$ZZ, MATCH(310,Translations!$A:$A,0), MATCH('Project Information'!$C$4,Translations!$D$1:$ZZ$1,0))</f>
        <v/>
      </c>
      <c r="BA263" s="38">
        <f>INDEX(Translations!$D:$ZZ, MATCH(286,Translations!$A:$A,0), MATCH('Project Information'!$C$4,Translations!$D$1:$ZZ$1,0))</f>
        <v/>
      </c>
      <c r="BB263" s="38">
        <f>INDEX(Translations!$D:$ZZ, MATCH(337,Translations!$A:$A,0), MATCH('Project Information'!$C$4,Translations!$D$1:$ZZ$1,0))</f>
        <v/>
      </c>
      <c r="BC263" s="38">
        <f>INDEX(Translations!$D:$ZZ, MATCH(80,Translations!$A:$A,0), MATCH('Project Information'!$C$4,Translations!$D$1:$ZZ$1,0))</f>
        <v/>
      </c>
      <c r="BD263" s="38">
        <f>IF(OR(TRIM("")="Evet",TRIM("")="Yes"),1,0)</f>
        <v/>
      </c>
      <c r="BE263" s="38" t="n">
        <v>2</v>
      </c>
      <c r="BF263" s="38">
        <f>BD263*BE263</f>
        <v/>
      </c>
    </row>
    <row r="264" ht="15" customHeight="1" s="39">
      <c r="AZ264" s="38">
        <f>INDEX(Translations!$D:$ZZ, MATCH(310,Translations!$A:$A,0), MATCH('Project Information'!$C$4,Translations!$D$1:$ZZ$1,0))</f>
        <v/>
      </c>
      <c r="BA264" s="38">
        <f>INDEX(Translations!$D:$ZZ, MATCH(286,Translations!$A:$A,0), MATCH('Project Information'!$C$4,Translations!$D$1:$ZZ$1,0))</f>
        <v/>
      </c>
      <c r="BB264" s="38">
        <f>INDEX(Translations!$D:$ZZ, MATCH(337,Translations!$A:$A,0), MATCH('Project Information'!$C$4,Translations!$D$1:$ZZ$1,0))</f>
        <v/>
      </c>
      <c r="BC264" s="38">
        <f>INDEX(Translations!$D:$ZZ, MATCH(82,Translations!$A:$A,0), MATCH('Project Information'!$C$4,Translations!$D$1:$ZZ$1,0))</f>
        <v/>
      </c>
      <c r="BD264" s="38">
        <f>IF(OR(TRIM("")="Evet",TRIM("")="Yes"),1,0)</f>
        <v/>
      </c>
      <c r="BE264" s="38" t="n">
        <v>0.5</v>
      </c>
      <c r="BF264" s="38">
        <f>BD264*BE264</f>
        <v/>
      </c>
    </row>
    <row r="265" ht="15" customHeight="1" s="39">
      <c r="AZ265" s="38">
        <f>INDEX(Translations!$D:$ZZ, MATCH(310,Translations!$A:$A,0), MATCH('Project Information'!$C$4,Translations!$D$1:$ZZ$1,0))</f>
        <v/>
      </c>
      <c r="BA265" s="38">
        <f>INDEX(Translations!$D:$ZZ, MATCH(286,Translations!$A:$A,0), MATCH('Project Information'!$C$4,Translations!$D$1:$ZZ$1,0))</f>
        <v/>
      </c>
      <c r="BB265" s="38">
        <f>INDEX(Translations!$D:$ZZ, MATCH(337,Translations!$A:$A,0), MATCH('Project Information'!$C$4,Translations!$D$1:$ZZ$1,0))</f>
        <v/>
      </c>
      <c r="BC265" s="38">
        <f>INDEX(Translations!$D:$ZZ, MATCH(83,Translations!$A:$A,0), MATCH('Project Information'!$C$4,Translations!$D$1:$ZZ$1,0))</f>
        <v/>
      </c>
      <c r="BD265" s="38">
        <f>IF(OR(TRIM("")="Evet",TRIM("")="Yes"),1,0)</f>
        <v/>
      </c>
      <c r="BE265" s="38" t="n">
        <v>1</v>
      </c>
      <c r="BF265" s="38">
        <f>BD265*BE265</f>
        <v/>
      </c>
    </row>
    <row r="266" ht="15" customHeight="1" s="39">
      <c r="AZ266" s="38">
        <f>INDEX(Translations!$D:$ZZ, MATCH(310,Translations!$A:$A,0), MATCH('Project Information'!$C$4,Translations!$D$1:$ZZ$1,0))</f>
        <v/>
      </c>
      <c r="BA266" s="38">
        <f>INDEX(Translations!$D:$ZZ, MATCH(286,Translations!$A:$A,0), MATCH('Project Information'!$C$4,Translations!$D$1:$ZZ$1,0))</f>
        <v/>
      </c>
      <c r="BB266" s="38">
        <f>INDEX(Translations!$D:$ZZ, MATCH(337,Translations!$A:$A,0), MATCH('Project Information'!$C$4,Translations!$D$1:$ZZ$1,0))</f>
        <v/>
      </c>
      <c r="BC266" s="38">
        <f>INDEX(Translations!$D:$ZZ, MATCH(85,Translations!$A:$A,0), MATCH('Project Information'!$C$4,Translations!$D$1:$ZZ$1,0))</f>
        <v/>
      </c>
      <c r="BD266" s="38">
        <f>IF(OR(TRIM("")="Evet",TRIM("")="Yes"),1,0)</f>
        <v/>
      </c>
      <c r="BE266" s="38" t="n">
        <v>1</v>
      </c>
      <c r="BF266" s="38">
        <f>BD266*BE266</f>
        <v/>
      </c>
    </row>
    <row r="267" ht="15" customHeight="1" s="39">
      <c r="AZ267" s="38">
        <f>INDEX(Translations!$D:$ZZ, MATCH(310,Translations!$A:$A,0), MATCH('Project Information'!$C$4,Translations!$D$1:$ZZ$1,0))</f>
        <v/>
      </c>
      <c r="BA267" s="38">
        <f>INDEX(Translations!$D:$ZZ, MATCH(286,Translations!$A:$A,0), MATCH('Project Information'!$C$4,Translations!$D$1:$ZZ$1,0))</f>
        <v/>
      </c>
      <c r="BB267" s="38">
        <f>INDEX(Translations!$D:$ZZ, MATCH(337,Translations!$A:$A,0), MATCH('Project Information'!$C$4,Translations!$D$1:$ZZ$1,0))</f>
        <v/>
      </c>
      <c r="BC267" s="38">
        <f>INDEX(Translations!$D:$ZZ, MATCH(86,Translations!$A:$A,0), MATCH('Project Information'!$C$4,Translations!$D$1:$ZZ$1,0))</f>
        <v/>
      </c>
      <c r="BD267" s="38">
        <f>IF(OR(TRIM("")="Evet",TRIM("")="Yes"),1,0)</f>
        <v/>
      </c>
      <c r="BE267" s="38" t="n">
        <v>2</v>
      </c>
      <c r="BF267" s="38">
        <f>BD267*BE267</f>
        <v/>
      </c>
    </row>
    <row r="268" ht="15" customHeight="1" s="39">
      <c r="AZ268" s="38">
        <f>INDEX(Translations!$D:$ZZ, MATCH(310,Translations!$A:$A,0), MATCH('Project Information'!$C$4,Translations!$D$1:$ZZ$1,0))</f>
        <v/>
      </c>
      <c r="BA268" s="38">
        <f>INDEX(Translations!$D:$ZZ, MATCH(286,Translations!$A:$A,0), MATCH('Project Information'!$C$4,Translations!$D$1:$ZZ$1,0))</f>
        <v/>
      </c>
      <c r="BB268" s="38">
        <f>INDEX(Translations!$D:$ZZ, MATCH(337,Translations!$A:$A,0), MATCH('Project Information'!$C$4,Translations!$D$1:$ZZ$1,0))</f>
        <v/>
      </c>
      <c r="BC268" s="38">
        <f>INDEX(Translations!$D:$ZZ, MATCH(87,Translations!$A:$A,0), MATCH('Project Information'!$C$4,Translations!$D$1:$ZZ$1,0))</f>
        <v/>
      </c>
      <c r="BD268" s="38">
        <f>IF(OR(TRIM("")="Evet",TRIM("")="Yes"),1,0)</f>
        <v/>
      </c>
      <c r="BE268" s="38" t="n">
        <v>2</v>
      </c>
      <c r="BF268" s="38">
        <f>BD268*BE268</f>
        <v/>
      </c>
    </row>
    <row r="269" ht="15" customHeight="1" s="39">
      <c r="AZ269" s="38">
        <f>INDEX(Translations!$D:$ZZ, MATCH(310,Translations!$A:$A,0), MATCH('Project Information'!$C$4,Translations!$D$1:$ZZ$1,0))</f>
        <v/>
      </c>
      <c r="BA269" s="38">
        <f>INDEX(Translations!$D:$ZZ, MATCH(257,Translations!$A:$A,0), MATCH('Project Information'!$C$4,Translations!$D$1:$ZZ$1,0))</f>
        <v/>
      </c>
      <c r="BB269" s="38">
        <f>INDEX(Translations!$D:$ZZ, MATCH(344,Translations!$A:$A,0), MATCH('Project Information'!$C$4,Translations!$D$1:$ZZ$1,0))</f>
        <v/>
      </c>
      <c r="BC269" s="38">
        <f>INDEX(Translations!$D:$ZZ, MATCH(75,Translations!$A:$A,0), MATCH('Project Information'!$C$4,Translations!$D$1:$ZZ$1,0))</f>
        <v/>
      </c>
      <c r="BD269" s="38">
        <f>IF(OR(TRIM("")="Evet",TRIM("")="Yes"),1,0)</f>
        <v/>
      </c>
      <c r="BE269" s="38" t="n">
        <v>4</v>
      </c>
      <c r="BF269" s="38">
        <f>BD269*BE269</f>
        <v/>
      </c>
    </row>
    <row r="270" ht="15" customHeight="1" s="39">
      <c r="AZ270" s="38">
        <f>INDEX(Translations!$D:$ZZ, MATCH(310,Translations!$A:$A,0), MATCH('Project Information'!$C$4,Translations!$D$1:$ZZ$1,0))</f>
        <v/>
      </c>
      <c r="BA270" s="38">
        <f>INDEX(Translations!$D:$ZZ, MATCH(257,Translations!$A:$A,0), MATCH('Project Information'!$C$4,Translations!$D$1:$ZZ$1,0))</f>
        <v/>
      </c>
      <c r="BB270" s="38">
        <f>INDEX(Translations!$D:$ZZ, MATCH(344,Translations!$A:$A,0), MATCH('Project Information'!$C$4,Translations!$D$1:$ZZ$1,0))</f>
        <v/>
      </c>
      <c r="BC270" s="38">
        <f>INDEX(Translations!$D:$ZZ, MATCH(76,Translations!$A:$A,0), MATCH('Project Information'!$C$4,Translations!$D$1:$ZZ$1,0))</f>
        <v/>
      </c>
      <c r="BD270" s="38">
        <f>IF(OR(TRIM("")="Evet",TRIM("")="Yes"),1,0)</f>
        <v/>
      </c>
      <c r="BE270" s="38" t="n">
        <v>2</v>
      </c>
      <c r="BF270" s="38">
        <f>BD270*BE270</f>
        <v/>
      </c>
    </row>
    <row r="271" ht="15" customHeight="1" s="39">
      <c r="AZ271" s="38">
        <f>INDEX(Translations!$D:$ZZ, MATCH(310,Translations!$A:$A,0), MATCH('Project Information'!$C$4,Translations!$D$1:$ZZ$1,0))</f>
        <v/>
      </c>
      <c r="BA271" s="38">
        <f>INDEX(Translations!$D:$ZZ, MATCH(257,Translations!$A:$A,0), MATCH('Project Information'!$C$4,Translations!$D$1:$ZZ$1,0))</f>
        <v/>
      </c>
      <c r="BB271" s="38">
        <f>INDEX(Translations!$D:$ZZ, MATCH(344,Translations!$A:$A,0), MATCH('Project Information'!$C$4,Translations!$D$1:$ZZ$1,0))</f>
        <v/>
      </c>
      <c r="BC271" s="38">
        <f>INDEX(Translations!$D:$ZZ, MATCH(78,Translations!$A:$A,0), MATCH('Project Information'!$C$4,Translations!$D$1:$ZZ$1,0))</f>
        <v/>
      </c>
      <c r="BD271" s="38">
        <f>IF(OR(TRIM("")="Evet",TRIM("")="Yes"),1,0)</f>
        <v/>
      </c>
      <c r="BE271" s="38" t="n">
        <v>1</v>
      </c>
      <c r="BF271" s="38">
        <f>BD271*BE271</f>
        <v/>
      </c>
    </row>
    <row r="272" ht="15" customHeight="1" s="39">
      <c r="AZ272" s="38">
        <f>INDEX(Translations!$D:$ZZ, MATCH(310,Translations!$A:$A,0), MATCH('Project Information'!$C$4,Translations!$D$1:$ZZ$1,0))</f>
        <v/>
      </c>
      <c r="BA272" s="38">
        <f>INDEX(Translations!$D:$ZZ, MATCH(257,Translations!$A:$A,0), MATCH('Project Information'!$C$4,Translations!$D$1:$ZZ$1,0))</f>
        <v/>
      </c>
      <c r="BB272" s="38">
        <f>INDEX(Translations!$D:$ZZ, MATCH(344,Translations!$A:$A,0), MATCH('Project Information'!$C$4,Translations!$D$1:$ZZ$1,0))</f>
        <v/>
      </c>
      <c r="BC272" s="38">
        <f>INDEX(Translations!$D:$ZZ, MATCH(79,Translations!$A:$A,0), MATCH('Project Information'!$C$4,Translations!$D$1:$ZZ$1,0))</f>
        <v/>
      </c>
      <c r="BD272" s="38">
        <f>IF(OR(TRIM("")="Evet",TRIM("")="Yes"),1,0)</f>
        <v/>
      </c>
      <c r="BE272" s="38" t="n">
        <v>2</v>
      </c>
      <c r="BF272" s="38">
        <f>BD272*BE272</f>
        <v/>
      </c>
    </row>
    <row r="273" ht="15" customHeight="1" s="39">
      <c r="AZ273" s="38">
        <f>INDEX(Translations!$D:$ZZ, MATCH(310,Translations!$A:$A,0), MATCH('Project Information'!$C$4,Translations!$D$1:$ZZ$1,0))</f>
        <v/>
      </c>
      <c r="BA273" s="38">
        <f>INDEX(Translations!$D:$ZZ, MATCH(257,Translations!$A:$A,0), MATCH('Project Information'!$C$4,Translations!$D$1:$ZZ$1,0))</f>
        <v/>
      </c>
      <c r="BB273" s="38">
        <f>INDEX(Translations!$D:$ZZ, MATCH(344,Translations!$A:$A,0), MATCH('Project Information'!$C$4,Translations!$D$1:$ZZ$1,0))</f>
        <v/>
      </c>
      <c r="BC273" s="38">
        <f>INDEX(Translations!$D:$ZZ, MATCH(82,Translations!$A:$A,0), MATCH('Project Information'!$C$4,Translations!$D$1:$ZZ$1,0))</f>
        <v/>
      </c>
      <c r="BD273" s="38">
        <f>IF(OR(TRIM("")="Evet",TRIM("")="Yes"),1,0)</f>
        <v/>
      </c>
      <c r="BE273" s="38" t="n">
        <v>1</v>
      </c>
      <c r="BF273" s="38">
        <f>BD273*BE273</f>
        <v/>
      </c>
    </row>
    <row r="274" ht="15" customHeight="1" s="39">
      <c r="AZ274" s="38">
        <f>INDEX(Translations!$D:$ZZ, MATCH(310,Translations!$A:$A,0), MATCH('Project Information'!$C$4,Translations!$D$1:$ZZ$1,0))</f>
        <v/>
      </c>
      <c r="BA274" s="38">
        <f>INDEX(Translations!$D:$ZZ, MATCH(257,Translations!$A:$A,0), MATCH('Project Information'!$C$4,Translations!$D$1:$ZZ$1,0))</f>
        <v/>
      </c>
      <c r="BB274" s="38">
        <f>INDEX(Translations!$D:$ZZ, MATCH(344,Translations!$A:$A,0), MATCH('Project Information'!$C$4,Translations!$D$1:$ZZ$1,0))</f>
        <v/>
      </c>
      <c r="BC274" s="38">
        <f>INDEX(Translations!$D:$ZZ, MATCH(83,Translations!$A:$A,0), MATCH('Project Information'!$C$4,Translations!$D$1:$ZZ$1,0))</f>
        <v/>
      </c>
      <c r="BD274" s="38">
        <f>IF(OR(TRIM("")="Evet",TRIM("")="Yes"),1,0)</f>
        <v/>
      </c>
      <c r="BE274" s="38" t="n">
        <v>2</v>
      </c>
      <c r="BF274" s="38">
        <f>BD274*BE274</f>
        <v/>
      </c>
    </row>
    <row r="275" ht="15" customHeight="1" s="39">
      <c r="AZ275" s="38">
        <f>INDEX(Translations!$D:$ZZ, MATCH(310,Translations!$A:$A,0), MATCH('Project Information'!$C$4,Translations!$D$1:$ZZ$1,0))</f>
        <v/>
      </c>
      <c r="BA275" s="38">
        <f>INDEX(Translations!$D:$ZZ, MATCH(253,Translations!$A:$A,0), MATCH('Project Information'!$C$4,Translations!$D$1:$ZZ$1,0))</f>
        <v/>
      </c>
      <c r="BB275" s="38">
        <f>INDEX(Translations!$D:$ZZ, MATCH(343,Translations!$A:$A,0), MATCH('Project Information'!$C$4,Translations!$D$1:$ZZ$1,0))</f>
        <v/>
      </c>
      <c r="BC275" s="38">
        <f>INDEX(Translations!$D:$ZZ, MATCH(75,Translations!$A:$A,0), MATCH('Project Information'!$C$4,Translations!$D$1:$ZZ$1,0))</f>
        <v/>
      </c>
      <c r="BD275" s="38">
        <f>IF(OR(TRIM("")="Evet",TRIM("")="Yes"),1,0)</f>
        <v/>
      </c>
      <c r="BE275" s="38" t="n">
        <v>4</v>
      </c>
      <c r="BF275" s="38">
        <f>BD275*BE275</f>
        <v/>
      </c>
    </row>
    <row r="276" ht="15" customHeight="1" s="39">
      <c r="AZ276" s="38">
        <f>INDEX(Translations!$D:$ZZ, MATCH(310,Translations!$A:$A,0), MATCH('Project Information'!$C$4,Translations!$D$1:$ZZ$1,0))</f>
        <v/>
      </c>
      <c r="BA276" s="38">
        <f>INDEX(Translations!$D:$ZZ, MATCH(253,Translations!$A:$A,0), MATCH('Project Information'!$C$4,Translations!$D$1:$ZZ$1,0))</f>
        <v/>
      </c>
      <c r="BB276" s="38">
        <f>INDEX(Translations!$D:$ZZ, MATCH(343,Translations!$A:$A,0), MATCH('Project Information'!$C$4,Translations!$D$1:$ZZ$1,0))</f>
        <v/>
      </c>
      <c r="BC276" s="38">
        <f>INDEX(Translations!$D:$ZZ, MATCH(76,Translations!$A:$A,0), MATCH('Project Information'!$C$4,Translations!$D$1:$ZZ$1,0))</f>
        <v/>
      </c>
      <c r="BD276" s="38">
        <f>IF(OR(TRIM("")="Evet",TRIM("")="Yes"),1,0)</f>
        <v/>
      </c>
      <c r="BE276" s="38" t="n">
        <v>2</v>
      </c>
      <c r="BF276" s="38">
        <f>BD276*BE276</f>
        <v/>
      </c>
    </row>
    <row r="277" ht="15" customHeight="1" s="39">
      <c r="AZ277" s="38">
        <f>INDEX(Translations!$D:$ZZ, MATCH(310,Translations!$A:$A,0), MATCH('Project Information'!$C$4,Translations!$D$1:$ZZ$1,0))</f>
        <v/>
      </c>
      <c r="BA277" s="38">
        <f>INDEX(Translations!$D:$ZZ, MATCH(253,Translations!$A:$A,0), MATCH('Project Information'!$C$4,Translations!$D$1:$ZZ$1,0))</f>
        <v/>
      </c>
      <c r="BB277" s="38">
        <f>INDEX(Translations!$D:$ZZ, MATCH(343,Translations!$A:$A,0), MATCH('Project Information'!$C$4,Translations!$D$1:$ZZ$1,0))</f>
        <v/>
      </c>
      <c r="BC277" s="38">
        <f>INDEX(Translations!$D:$ZZ, MATCH(78,Translations!$A:$A,0), MATCH('Project Information'!$C$4,Translations!$D$1:$ZZ$1,0))</f>
        <v/>
      </c>
      <c r="BD277" s="38">
        <f>IF(OR(TRIM("")="Evet",TRIM("")="Yes"),1,0)</f>
        <v/>
      </c>
      <c r="BE277" s="38" t="n">
        <v>1</v>
      </c>
      <c r="BF277" s="38">
        <f>BD277*BE277</f>
        <v/>
      </c>
    </row>
    <row r="278" ht="15" customHeight="1" s="39">
      <c r="AZ278" s="38">
        <f>INDEX(Translations!$D:$ZZ, MATCH(310,Translations!$A:$A,0), MATCH('Project Information'!$C$4,Translations!$D$1:$ZZ$1,0))</f>
        <v/>
      </c>
      <c r="BA278" s="38">
        <f>INDEX(Translations!$D:$ZZ, MATCH(253,Translations!$A:$A,0), MATCH('Project Information'!$C$4,Translations!$D$1:$ZZ$1,0))</f>
        <v/>
      </c>
      <c r="BB278" s="38">
        <f>INDEX(Translations!$D:$ZZ, MATCH(343,Translations!$A:$A,0), MATCH('Project Information'!$C$4,Translations!$D$1:$ZZ$1,0))</f>
        <v/>
      </c>
      <c r="BC278" s="38">
        <f>INDEX(Translations!$D:$ZZ, MATCH(79,Translations!$A:$A,0), MATCH('Project Information'!$C$4,Translations!$D$1:$ZZ$1,0))</f>
        <v/>
      </c>
      <c r="BD278" s="38">
        <f>IF(OR(TRIM("")="Evet",TRIM("")="Yes"),1,0)</f>
        <v/>
      </c>
      <c r="BE278" s="38" t="n">
        <v>2</v>
      </c>
      <c r="BF278" s="38">
        <f>BD278*BE278</f>
        <v/>
      </c>
    </row>
    <row r="279" ht="15" customHeight="1" s="39">
      <c r="AZ279" s="38">
        <f>INDEX(Translations!$D:$ZZ, MATCH(310,Translations!$A:$A,0), MATCH('Project Information'!$C$4,Translations!$D$1:$ZZ$1,0))</f>
        <v/>
      </c>
      <c r="BA279" s="38">
        <f>INDEX(Translations!$D:$ZZ, MATCH(253,Translations!$A:$A,0), MATCH('Project Information'!$C$4,Translations!$D$1:$ZZ$1,0))</f>
        <v/>
      </c>
      <c r="BB279" s="38">
        <f>INDEX(Translations!$D:$ZZ, MATCH(343,Translations!$A:$A,0), MATCH('Project Information'!$C$4,Translations!$D$1:$ZZ$1,0))</f>
        <v/>
      </c>
      <c r="BC279" s="38">
        <f>INDEX(Translations!$D:$ZZ, MATCH(82,Translations!$A:$A,0), MATCH('Project Information'!$C$4,Translations!$D$1:$ZZ$1,0))</f>
        <v/>
      </c>
      <c r="BD279" s="38">
        <f>IF(OR(TRIM("")="Evet",TRIM("")="Yes"),1,0)</f>
        <v/>
      </c>
      <c r="BE279" s="38" t="n">
        <v>1</v>
      </c>
      <c r="BF279" s="38">
        <f>BD279*BE279</f>
        <v/>
      </c>
    </row>
    <row r="280" ht="15" customHeight="1" s="39">
      <c r="AZ280" s="38">
        <f>INDEX(Translations!$D:$ZZ, MATCH(310,Translations!$A:$A,0), MATCH('Project Information'!$C$4,Translations!$D$1:$ZZ$1,0))</f>
        <v/>
      </c>
      <c r="BA280" s="38">
        <f>INDEX(Translations!$D:$ZZ, MATCH(253,Translations!$A:$A,0), MATCH('Project Information'!$C$4,Translations!$D$1:$ZZ$1,0))</f>
        <v/>
      </c>
      <c r="BB280" s="38">
        <f>INDEX(Translations!$D:$ZZ, MATCH(343,Translations!$A:$A,0), MATCH('Project Information'!$C$4,Translations!$D$1:$ZZ$1,0))</f>
        <v/>
      </c>
      <c r="BC280" s="38">
        <f>INDEX(Translations!$D:$ZZ, MATCH(83,Translations!$A:$A,0), MATCH('Project Information'!$C$4,Translations!$D$1:$ZZ$1,0))</f>
        <v/>
      </c>
      <c r="BD280" s="38">
        <f>IF(OR(TRIM("")="Evet",TRIM("")="Yes"),1,0)</f>
        <v/>
      </c>
      <c r="BE280" s="38" t="n">
        <v>2</v>
      </c>
      <c r="BF280" s="38">
        <f>BD280*BE280</f>
        <v/>
      </c>
    </row>
    <row r="281" ht="15" customHeight="1" s="39">
      <c r="AZ281" s="38">
        <f>INDEX(Translations!$D:$ZZ, MATCH(310,Translations!$A:$A,0), MATCH('Project Information'!$C$4,Translations!$D$1:$ZZ$1,0))</f>
        <v/>
      </c>
      <c r="BA281" s="38">
        <f>INDEX(Translations!$D:$ZZ, MATCH(195,Translations!$A:$A,0), MATCH('Project Information'!$C$4,Translations!$D$1:$ZZ$1,0))</f>
        <v/>
      </c>
      <c r="BB281" s="38">
        <f>INDEX(Translations!$D:$ZZ, MATCH(346,Translations!$A:$A,0), MATCH('Project Information'!$C$4,Translations!$D$1:$ZZ$1,0))</f>
        <v/>
      </c>
      <c r="BC281" s="38">
        <f>INDEX(Translations!$D:$ZZ, MATCH(83,Translations!$A:$A,0), MATCH('Project Information'!$C$4,Translations!$D$1:$ZZ$1,0))</f>
        <v/>
      </c>
      <c r="BD281" s="38">
        <f>IF(OR(TRIM("")="Evet",TRIM("")="Yes"),1,0)</f>
        <v/>
      </c>
      <c r="BE281" s="38" t="n">
        <v>5</v>
      </c>
      <c r="BF281" s="38">
        <f>BD281*BE281</f>
        <v/>
      </c>
    </row>
    <row r="282" ht="15" customHeight="1" s="39">
      <c r="AZ282" s="38">
        <f>INDEX(Translations!$D:$ZZ, MATCH(310,Translations!$A:$A,0), MATCH('Project Information'!$C$4,Translations!$D$1:$ZZ$1,0))</f>
        <v/>
      </c>
      <c r="BA282" s="38">
        <f>INDEX(Translations!$D:$ZZ, MATCH(207,Translations!$A:$A,0), MATCH('Project Information'!$C$4,Translations!$D$1:$ZZ$1,0))</f>
        <v/>
      </c>
      <c r="BB282" s="38">
        <f>INDEX(Translations!$D:$ZZ, MATCH(341,Translations!$A:$A,0), MATCH('Project Information'!$C$4,Translations!$D$1:$ZZ$1,0))</f>
        <v/>
      </c>
      <c r="BC282" s="38">
        <f>INDEX(Translations!$D:$ZZ, MATCH(75,Translations!$A:$A,0), MATCH('Project Information'!$C$4,Translations!$D$1:$ZZ$1,0))</f>
        <v/>
      </c>
      <c r="BD282" s="38">
        <f>IF(OR(TRIM("")="Evet",TRIM("")="Yes"),1,0)</f>
        <v/>
      </c>
      <c r="BE282" s="38" t="n">
        <v>-4</v>
      </c>
      <c r="BF282" s="38">
        <f>BD282*BE282</f>
        <v/>
      </c>
    </row>
    <row r="283" ht="15" customHeight="1" s="39">
      <c r="AZ283" s="38">
        <f>INDEX(Translations!$D:$ZZ, MATCH(310,Translations!$A:$A,0), MATCH('Project Information'!$C$4,Translations!$D$1:$ZZ$1,0))</f>
        <v/>
      </c>
      <c r="BA283" s="38">
        <f>INDEX(Translations!$D:$ZZ, MATCH(207,Translations!$A:$A,0), MATCH('Project Information'!$C$4,Translations!$D$1:$ZZ$1,0))</f>
        <v/>
      </c>
      <c r="BB283" s="38">
        <f>INDEX(Translations!$D:$ZZ, MATCH(341,Translations!$A:$A,0), MATCH('Project Information'!$C$4,Translations!$D$1:$ZZ$1,0))</f>
        <v/>
      </c>
      <c r="BC283" s="38">
        <f>INDEX(Translations!$D:$ZZ, MATCH(76,Translations!$A:$A,0), MATCH('Project Information'!$C$4,Translations!$D$1:$ZZ$1,0))</f>
        <v/>
      </c>
      <c r="BD283" s="38">
        <f>IF(OR(TRIM("")="Evet",TRIM("")="Yes"),1,0)</f>
        <v/>
      </c>
      <c r="BE283" s="38" t="n">
        <v>-1</v>
      </c>
      <c r="BF283" s="38">
        <f>BD283*BE283</f>
        <v/>
      </c>
    </row>
    <row r="284" ht="15" customHeight="1" s="39">
      <c r="AZ284" s="38">
        <f>INDEX(Translations!$D:$ZZ, MATCH(310,Translations!$A:$A,0), MATCH('Project Information'!$C$4,Translations!$D$1:$ZZ$1,0))</f>
        <v/>
      </c>
      <c r="BA284" s="38">
        <f>INDEX(Translations!$D:$ZZ, MATCH(207,Translations!$A:$A,0), MATCH('Project Information'!$C$4,Translations!$D$1:$ZZ$1,0))</f>
        <v/>
      </c>
      <c r="BB284" s="38">
        <f>INDEX(Translations!$D:$ZZ, MATCH(341,Translations!$A:$A,0), MATCH('Project Information'!$C$4,Translations!$D$1:$ZZ$1,0))</f>
        <v/>
      </c>
      <c r="BC284" s="38">
        <f>INDEX(Translations!$D:$ZZ, MATCH(78,Translations!$A:$A,0), MATCH('Project Information'!$C$4,Translations!$D$1:$ZZ$1,0))</f>
        <v/>
      </c>
      <c r="BD284" s="38">
        <f>IF(OR(TRIM("")="Evet",TRIM("")="Yes"),1,0)</f>
        <v/>
      </c>
      <c r="BE284" s="38" t="n">
        <v>-2</v>
      </c>
      <c r="BF284" s="38">
        <f>BD284*BE284</f>
        <v/>
      </c>
    </row>
    <row r="285" ht="15" customHeight="1" s="39">
      <c r="AZ285" s="38">
        <f>INDEX(Translations!$D:$ZZ, MATCH(310,Translations!$A:$A,0), MATCH('Project Information'!$C$4,Translations!$D$1:$ZZ$1,0))</f>
        <v/>
      </c>
      <c r="BA285" s="38">
        <f>INDEX(Translations!$D:$ZZ, MATCH(207,Translations!$A:$A,0), MATCH('Project Information'!$C$4,Translations!$D$1:$ZZ$1,0))</f>
        <v/>
      </c>
      <c r="BB285" s="38">
        <f>INDEX(Translations!$D:$ZZ, MATCH(341,Translations!$A:$A,0), MATCH('Project Information'!$C$4,Translations!$D$1:$ZZ$1,0))</f>
        <v/>
      </c>
      <c r="BC285" s="38">
        <f>INDEX(Translations!$D:$ZZ, MATCH(79,Translations!$A:$A,0), MATCH('Project Information'!$C$4,Translations!$D$1:$ZZ$1,0))</f>
        <v/>
      </c>
      <c r="BD285" s="38">
        <f>IF(OR(TRIM("")="Evet",TRIM("")="Yes"),1,0)</f>
        <v/>
      </c>
      <c r="BE285" s="38" t="n">
        <v>-1</v>
      </c>
      <c r="BF285" s="38">
        <f>BD285*BE285</f>
        <v/>
      </c>
    </row>
    <row r="286" ht="15" customHeight="1" s="39">
      <c r="AZ286" s="38">
        <f>INDEX(Translations!$D:$ZZ, MATCH(310,Translations!$A:$A,0), MATCH('Project Information'!$C$4,Translations!$D$1:$ZZ$1,0))</f>
        <v/>
      </c>
      <c r="BA286" s="38">
        <f>INDEX(Translations!$D:$ZZ, MATCH(207,Translations!$A:$A,0), MATCH('Project Information'!$C$4,Translations!$D$1:$ZZ$1,0))</f>
        <v/>
      </c>
      <c r="BB286" s="38">
        <f>INDEX(Translations!$D:$ZZ, MATCH(341,Translations!$A:$A,0), MATCH('Project Information'!$C$4,Translations!$D$1:$ZZ$1,0))</f>
        <v/>
      </c>
      <c r="BC286" s="38">
        <f>INDEX(Translations!$D:$ZZ, MATCH(82,Translations!$A:$A,0), MATCH('Project Information'!$C$4,Translations!$D$1:$ZZ$1,0))</f>
        <v/>
      </c>
      <c r="BD286" s="38">
        <f>IF(OR(TRIM("")="Evet",TRIM("")="Yes"),1,0)</f>
        <v/>
      </c>
      <c r="BE286" s="38" t="n">
        <v>-1</v>
      </c>
      <c r="BF286" s="38">
        <f>BD286*BE286</f>
        <v/>
      </c>
    </row>
    <row r="287" ht="15" customHeight="1" s="39">
      <c r="AZ287" s="38">
        <f>INDEX(Translations!$D:$ZZ, MATCH(310,Translations!$A:$A,0), MATCH('Project Information'!$C$4,Translations!$D$1:$ZZ$1,0))</f>
        <v/>
      </c>
      <c r="BA287" s="38">
        <f>INDEX(Translations!$D:$ZZ, MATCH(207,Translations!$A:$A,0), MATCH('Project Information'!$C$4,Translations!$D$1:$ZZ$1,0))</f>
        <v/>
      </c>
      <c r="BB287" s="38">
        <f>INDEX(Translations!$D:$ZZ, MATCH(341,Translations!$A:$A,0), MATCH('Project Information'!$C$4,Translations!$D$1:$ZZ$1,0))</f>
        <v/>
      </c>
      <c r="BC287" s="38">
        <f>INDEX(Translations!$D:$ZZ, MATCH(83,Translations!$A:$A,0), MATCH('Project Information'!$C$4,Translations!$D$1:$ZZ$1,0))</f>
        <v/>
      </c>
      <c r="BD287" s="38">
        <f>IF(OR(TRIM("")="Evet",TRIM("")="Yes"),1,0)</f>
        <v/>
      </c>
      <c r="BE287" s="38" t="n">
        <v>-1</v>
      </c>
      <c r="BF287" s="38">
        <f>BD287*BE287</f>
        <v/>
      </c>
    </row>
    <row r="288" ht="15" customHeight="1" s="39">
      <c r="AZ288" s="38">
        <f>INDEX(Translations!$D:$ZZ, MATCH(305,Translations!$A:$A,0), MATCH('Project Information'!$C$4,Translations!$D$1:$ZZ$1,0))</f>
        <v/>
      </c>
      <c r="BA288" s="38" t="inlineStr">
        <is>
          <t>PPDS</t>
        </is>
      </c>
      <c r="BB288" s="38">
        <f>INDEX(Translations!$D:$ZZ, MATCH(338,Translations!$A:$A,0), MATCH('Project Information'!$C$4,Translations!$D$1:$ZZ$1,0))</f>
        <v/>
      </c>
      <c r="BC288" s="38">
        <f>INDEX(Translations!$D:$ZZ, MATCH(75,Translations!$A:$A,0), MATCH('Project Information'!$C$4,Translations!$D$1:$ZZ$1,0))</f>
        <v/>
      </c>
      <c r="BD288" s="38">
        <f>IF(OR(TRIM("")="Evet",TRIM("")="Yes"),1,0)</f>
        <v/>
      </c>
      <c r="BE288" s="38" t="n">
        <v>3</v>
      </c>
      <c r="BF288" s="38">
        <f>BD288*BE288</f>
        <v/>
      </c>
    </row>
    <row r="289" ht="15" customHeight="1" s="39">
      <c r="AZ289" s="38">
        <f>INDEX(Translations!$D:$ZZ, MATCH(305,Translations!$A:$A,0), MATCH('Project Information'!$C$4,Translations!$D$1:$ZZ$1,0))</f>
        <v/>
      </c>
      <c r="BA289" s="38" t="inlineStr">
        <is>
          <t>PPDS</t>
        </is>
      </c>
      <c r="BB289" s="38">
        <f>INDEX(Translations!$D:$ZZ, MATCH(338,Translations!$A:$A,0), MATCH('Project Information'!$C$4,Translations!$D$1:$ZZ$1,0))</f>
        <v/>
      </c>
      <c r="BC289" s="38">
        <f>INDEX(Translations!$D:$ZZ, MATCH(76,Translations!$A:$A,0), MATCH('Project Information'!$C$4,Translations!$D$1:$ZZ$1,0))</f>
        <v/>
      </c>
      <c r="BD289" s="38">
        <f>IF(OR(TRIM("")="Evet",TRIM("")="Yes"),1,0)</f>
        <v/>
      </c>
      <c r="BE289" s="38" t="n">
        <v>1</v>
      </c>
      <c r="BF289" s="38">
        <f>BD289*BE289</f>
        <v/>
      </c>
    </row>
    <row r="290" ht="15" customHeight="1" s="39">
      <c r="AZ290" s="38">
        <f>INDEX(Translations!$D:$ZZ, MATCH(305,Translations!$A:$A,0), MATCH('Project Information'!$C$4,Translations!$D$1:$ZZ$1,0))</f>
        <v/>
      </c>
      <c r="BA290" s="38" t="inlineStr">
        <is>
          <t>PPDS</t>
        </is>
      </c>
      <c r="BB290" s="38">
        <f>INDEX(Translations!$D:$ZZ, MATCH(338,Translations!$A:$A,0), MATCH('Project Information'!$C$4,Translations!$D$1:$ZZ$1,0))</f>
        <v/>
      </c>
      <c r="BC290" s="38">
        <f>INDEX(Translations!$D:$ZZ, MATCH(78,Translations!$A:$A,0), MATCH('Project Information'!$C$4,Translations!$D$1:$ZZ$1,0))</f>
        <v/>
      </c>
      <c r="BD290" s="38">
        <f>IF(OR(TRIM("")="Evet",TRIM("")="Yes"),1,0)</f>
        <v/>
      </c>
      <c r="BE290" s="38" t="n">
        <v>1</v>
      </c>
      <c r="BF290" s="38">
        <f>BD290*BE290</f>
        <v/>
      </c>
    </row>
    <row r="291" ht="15" customHeight="1" s="39">
      <c r="AZ291" s="38">
        <f>INDEX(Translations!$D:$ZZ, MATCH(305,Translations!$A:$A,0), MATCH('Project Information'!$C$4,Translations!$D$1:$ZZ$1,0))</f>
        <v/>
      </c>
      <c r="BA291" s="38" t="inlineStr">
        <is>
          <t>PPDS</t>
        </is>
      </c>
      <c r="BB291" s="38">
        <f>INDEX(Translations!$D:$ZZ, MATCH(338,Translations!$A:$A,0), MATCH('Project Information'!$C$4,Translations!$D$1:$ZZ$1,0))</f>
        <v/>
      </c>
      <c r="BC291" s="38">
        <f>INDEX(Translations!$D:$ZZ, MATCH(79,Translations!$A:$A,0), MATCH('Project Information'!$C$4,Translations!$D$1:$ZZ$1,0))</f>
        <v/>
      </c>
      <c r="BD291" s="38">
        <f>IF(OR(TRIM("")="Evet",TRIM("")="Yes"),1,0)</f>
        <v/>
      </c>
      <c r="BE291" s="38" t="n">
        <v>1</v>
      </c>
      <c r="BF291" s="38">
        <f>BD291*BE291</f>
        <v/>
      </c>
    </row>
    <row r="292" ht="15" customHeight="1" s="39">
      <c r="AZ292" s="38">
        <f>INDEX(Translations!$D:$ZZ, MATCH(310,Translations!$A:$A,0), MATCH('Project Information'!$C$4,Translations!$D$1:$ZZ$1,0))</f>
        <v/>
      </c>
      <c r="BA292" s="38">
        <f>INDEX(Translations!$D:$ZZ, MATCH(289,Translations!$A:$A,0), MATCH('Project Information'!$C$4,Translations!$D$1:$ZZ$1,0))</f>
        <v/>
      </c>
      <c r="BB292" s="38">
        <f>INDEX(Translations!$D:$ZZ, MATCH(333,Translations!$A:$A,0), MATCH('Project Information'!$C$4,Translations!$D$1:$ZZ$1,0))</f>
        <v/>
      </c>
      <c r="BC292" s="38">
        <f>INDEX(Translations!$D:$ZZ, MATCH(75,Translations!$A:$A,0), MATCH('Project Information'!$C$4,Translations!$D$1:$ZZ$1,0))</f>
        <v/>
      </c>
      <c r="BD292" s="38">
        <f>MAX(N(0),0)</f>
        <v/>
      </c>
      <c r="BE292" s="38" t="n">
        <v>2</v>
      </c>
      <c r="BF292" s="38">
        <f>BD292*BE292</f>
        <v/>
      </c>
    </row>
    <row r="293" ht="15" customHeight="1" s="39">
      <c r="AZ293" s="38">
        <f>INDEX(Translations!$D:$ZZ, MATCH(310,Translations!$A:$A,0), MATCH('Project Information'!$C$4,Translations!$D$1:$ZZ$1,0))</f>
        <v/>
      </c>
      <c r="BA293" s="38">
        <f>INDEX(Translations!$D:$ZZ, MATCH(289,Translations!$A:$A,0), MATCH('Project Information'!$C$4,Translations!$D$1:$ZZ$1,0))</f>
        <v/>
      </c>
      <c r="BB293" s="38">
        <f>INDEX(Translations!$D:$ZZ, MATCH(333,Translations!$A:$A,0), MATCH('Project Information'!$C$4,Translations!$D$1:$ZZ$1,0))</f>
        <v/>
      </c>
      <c r="BC293" s="38">
        <f>INDEX(Translations!$D:$ZZ, MATCH(78,Translations!$A:$A,0), MATCH('Project Information'!$C$4,Translations!$D$1:$ZZ$1,0))</f>
        <v/>
      </c>
      <c r="BD293" s="38">
        <f>MAX(N(0),0)</f>
        <v/>
      </c>
      <c r="BE293" s="38" t="n">
        <v>1</v>
      </c>
      <c r="BF293" s="38">
        <f>BD293*BE293</f>
        <v/>
      </c>
    </row>
    <row r="294" ht="15" customHeight="1" s="39">
      <c r="AZ294" s="38">
        <f>INDEX(Translations!$D:$ZZ, MATCH(310,Translations!$A:$A,0), MATCH('Project Information'!$C$4,Translations!$D$1:$ZZ$1,0))</f>
        <v/>
      </c>
      <c r="BA294" s="38">
        <f>INDEX(Translations!$D:$ZZ, MATCH(289,Translations!$A:$A,0), MATCH('Project Information'!$C$4,Translations!$D$1:$ZZ$1,0))</f>
        <v/>
      </c>
      <c r="BB294" s="38">
        <f>INDEX(Translations!$D:$ZZ, MATCH(333,Translations!$A:$A,0), MATCH('Project Information'!$C$4,Translations!$D$1:$ZZ$1,0))</f>
        <v/>
      </c>
      <c r="BC294" s="38">
        <f>INDEX(Translations!$D:$ZZ, MATCH(79,Translations!$A:$A,0), MATCH('Project Information'!$C$4,Translations!$D$1:$ZZ$1,0))</f>
        <v/>
      </c>
      <c r="BD294" s="38">
        <f>MAX(N(0),0)</f>
        <v/>
      </c>
      <c r="BE294" s="38" t="n">
        <v>0.5</v>
      </c>
      <c r="BF294" s="38">
        <f>BD294*BE294</f>
        <v/>
      </c>
    </row>
    <row r="295" ht="15" customHeight="1" s="39">
      <c r="AZ295" s="38">
        <f>INDEX(Translations!$D:$ZZ, MATCH(310,Translations!$A:$A,0), MATCH('Project Information'!$C$4,Translations!$D$1:$ZZ$1,0))</f>
        <v/>
      </c>
      <c r="BA295" s="38">
        <f>INDEX(Translations!$D:$ZZ, MATCH(289,Translations!$A:$A,0), MATCH('Project Information'!$C$4,Translations!$D$1:$ZZ$1,0))</f>
        <v/>
      </c>
      <c r="BB295" s="38">
        <f>INDEX(Translations!$D:$ZZ, MATCH(333,Translations!$A:$A,0), MATCH('Project Information'!$C$4,Translations!$D$1:$ZZ$1,0))</f>
        <v/>
      </c>
      <c r="BC295" s="38">
        <f>INDEX(Translations!$D:$ZZ, MATCH(82,Translations!$A:$A,0), MATCH('Project Information'!$C$4,Translations!$D$1:$ZZ$1,0))</f>
        <v/>
      </c>
      <c r="BD295" s="38">
        <f>MAX(N(0),0)</f>
        <v/>
      </c>
      <c r="BE295" s="38" t="n">
        <v>0.5</v>
      </c>
      <c r="BF295" s="38">
        <f>BD295*BE295</f>
        <v/>
      </c>
    </row>
    <row r="296" ht="15" customHeight="1" s="39">
      <c r="AZ296" s="38">
        <f>INDEX(Translations!$D:$ZZ, MATCH(310,Translations!$A:$A,0), MATCH('Project Information'!$C$4,Translations!$D$1:$ZZ$1,0))</f>
        <v/>
      </c>
      <c r="BA296" s="38">
        <f>INDEX(Translations!$D:$ZZ, MATCH(289,Translations!$A:$A,0), MATCH('Project Information'!$C$4,Translations!$D$1:$ZZ$1,0))</f>
        <v/>
      </c>
      <c r="BB296" s="38">
        <f>INDEX(Translations!$D:$ZZ, MATCH(333,Translations!$A:$A,0), MATCH('Project Information'!$C$4,Translations!$D$1:$ZZ$1,0))</f>
        <v/>
      </c>
      <c r="BC296" s="38">
        <f>INDEX(Translations!$D:$ZZ, MATCH(83,Translations!$A:$A,0), MATCH('Project Information'!$C$4,Translations!$D$1:$ZZ$1,0))</f>
        <v/>
      </c>
      <c r="BD296" s="38">
        <f>MAX(N(0),0)</f>
        <v/>
      </c>
      <c r="BE296" s="38" t="n">
        <v>0.5</v>
      </c>
      <c r="BF296" s="38">
        <f>BD296*BE296</f>
        <v/>
      </c>
    </row>
    <row r="297" ht="15" customHeight="1" s="39">
      <c r="AZ297" s="38">
        <f>INDEX(Translations!$D:$ZZ, MATCH(310,Translations!$A:$A,0), MATCH('Project Information'!$C$4,Translations!$D$1:$ZZ$1,0))</f>
        <v/>
      </c>
      <c r="BA297" s="38">
        <f>INDEX(Translations!$D:$ZZ, MATCH(289,Translations!$A:$A,0), MATCH('Project Information'!$C$4,Translations!$D$1:$ZZ$1,0))</f>
        <v/>
      </c>
      <c r="BB297" s="38">
        <f>INDEX(Translations!$D:$ZZ, MATCH(333,Translations!$A:$A,0), MATCH('Project Information'!$C$4,Translations!$D$1:$ZZ$1,0))</f>
        <v/>
      </c>
      <c r="BC297" s="38">
        <f>INDEX(Translations!$D:$ZZ, MATCH(86,Translations!$A:$A,0), MATCH('Project Information'!$C$4,Translations!$D$1:$ZZ$1,0))</f>
        <v/>
      </c>
      <c r="BD297" s="38">
        <f>MAX(N(0),0)</f>
        <v/>
      </c>
      <c r="BE297" s="38" t="n">
        <v>1</v>
      </c>
      <c r="BF297" s="38">
        <f>BD297*BE297</f>
        <v/>
      </c>
    </row>
    <row r="298" ht="15" customHeight="1" s="39">
      <c r="AZ298" s="38">
        <f>INDEX(Translations!$D:$ZZ, MATCH(310,Translations!$A:$A,0), MATCH('Project Information'!$C$4,Translations!$D$1:$ZZ$1,0))</f>
        <v/>
      </c>
      <c r="BA298" s="38">
        <f>INDEX(Translations!$D:$ZZ, MATCH(289,Translations!$A:$A,0), MATCH('Project Information'!$C$4,Translations!$D$1:$ZZ$1,0))</f>
        <v/>
      </c>
      <c r="BB298" s="38">
        <f>INDEX(Translations!$D:$ZZ, MATCH(333,Translations!$A:$A,0), MATCH('Project Information'!$C$4,Translations!$D$1:$ZZ$1,0))</f>
        <v/>
      </c>
      <c r="BC298" s="38">
        <f>INDEX(Translations!$D:$ZZ, MATCH(87,Translations!$A:$A,0), MATCH('Project Information'!$C$4,Translations!$D$1:$ZZ$1,0))</f>
        <v/>
      </c>
      <c r="BD298" s="38">
        <f>MAX(N(0),0)</f>
        <v/>
      </c>
      <c r="BE298" s="38" t="n">
        <v>2</v>
      </c>
      <c r="BF298" s="38">
        <f>BD298*BE298</f>
        <v/>
      </c>
    </row>
    <row r="299" ht="15" customHeight="1" s="39">
      <c r="AZ299" s="38">
        <f>INDEX(Translations!$D:$ZZ, MATCH(310,Translations!$A:$A,0), MATCH('Project Information'!$C$4,Translations!$D$1:$ZZ$1,0))</f>
        <v/>
      </c>
      <c r="BA299" s="38">
        <f>INDEX(Translations!$D:$ZZ, MATCH(222,Translations!$A:$A,0), MATCH('Project Information'!$C$4,Translations!$D$1:$ZZ$1,0))</f>
        <v/>
      </c>
      <c r="BB299" s="38">
        <f>INDEX(Translations!$D:$ZZ, MATCH(339,Translations!$A:$A,0), MATCH('Project Information'!$C$4,Translations!$D$1:$ZZ$1,0))</f>
        <v/>
      </c>
      <c r="BC299" s="38">
        <f>INDEX(Translations!$D:$ZZ, MATCH(75,Translations!$A:$A,0), MATCH('Project Information'!$C$4,Translations!$D$1:$ZZ$1,0))</f>
        <v/>
      </c>
      <c r="BD299" s="38">
        <f>MAX(N(0),0)</f>
        <v/>
      </c>
      <c r="BE299" s="38" t="n">
        <v>2</v>
      </c>
      <c r="BF299" s="38">
        <f>BD299*BE299</f>
        <v/>
      </c>
    </row>
    <row r="300" ht="15" customHeight="1" s="39">
      <c r="AZ300" s="38">
        <f>INDEX(Translations!$D:$ZZ, MATCH(310,Translations!$A:$A,0), MATCH('Project Information'!$C$4,Translations!$D$1:$ZZ$1,0))</f>
        <v/>
      </c>
      <c r="BA300" s="38">
        <f>INDEX(Translations!$D:$ZZ, MATCH(222,Translations!$A:$A,0), MATCH('Project Information'!$C$4,Translations!$D$1:$ZZ$1,0))</f>
        <v/>
      </c>
      <c r="BB300" s="38">
        <f>INDEX(Translations!$D:$ZZ, MATCH(339,Translations!$A:$A,0), MATCH('Project Information'!$C$4,Translations!$D$1:$ZZ$1,0))</f>
        <v/>
      </c>
      <c r="BC300" s="38">
        <f>INDEX(Translations!$D:$ZZ, MATCH(78,Translations!$A:$A,0), MATCH('Project Information'!$C$4,Translations!$D$1:$ZZ$1,0))</f>
        <v/>
      </c>
      <c r="BD300" s="38">
        <f>MAX(N(0),0)</f>
        <v/>
      </c>
      <c r="BE300" s="38" t="n">
        <v>1</v>
      </c>
      <c r="BF300" s="38">
        <f>BD300*BE300</f>
        <v/>
      </c>
    </row>
    <row r="301" ht="15" customHeight="1" s="39">
      <c r="AZ301" s="38">
        <f>INDEX(Translations!$D:$ZZ, MATCH(310,Translations!$A:$A,0), MATCH('Project Information'!$C$4,Translations!$D$1:$ZZ$1,0))</f>
        <v/>
      </c>
      <c r="BA301" s="38">
        <f>INDEX(Translations!$D:$ZZ, MATCH(222,Translations!$A:$A,0), MATCH('Project Information'!$C$4,Translations!$D$1:$ZZ$1,0))</f>
        <v/>
      </c>
      <c r="BB301" s="38">
        <f>INDEX(Translations!$D:$ZZ, MATCH(339,Translations!$A:$A,0), MATCH('Project Information'!$C$4,Translations!$D$1:$ZZ$1,0))</f>
        <v/>
      </c>
      <c r="BC301" s="38">
        <f>INDEX(Translations!$D:$ZZ, MATCH(79,Translations!$A:$A,0), MATCH('Project Information'!$C$4,Translations!$D$1:$ZZ$1,0))</f>
        <v/>
      </c>
      <c r="BD301" s="38">
        <f>MAX(N(0),0)</f>
        <v/>
      </c>
      <c r="BE301" s="38" t="n">
        <v>0.5</v>
      </c>
      <c r="BF301" s="38">
        <f>BD301*BE301</f>
        <v/>
      </c>
    </row>
    <row r="302" ht="15" customHeight="1" s="39">
      <c r="AZ302" s="38">
        <f>INDEX(Translations!$D:$ZZ, MATCH(310,Translations!$A:$A,0), MATCH('Project Information'!$C$4,Translations!$D$1:$ZZ$1,0))</f>
        <v/>
      </c>
      <c r="BA302" s="38">
        <f>INDEX(Translations!$D:$ZZ, MATCH(222,Translations!$A:$A,0), MATCH('Project Information'!$C$4,Translations!$D$1:$ZZ$1,0))</f>
        <v/>
      </c>
      <c r="BB302" s="38">
        <f>INDEX(Translations!$D:$ZZ, MATCH(339,Translations!$A:$A,0), MATCH('Project Information'!$C$4,Translations!$D$1:$ZZ$1,0))</f>
        <v/>
      </c>
      <c r="BC302" s="38">
        <f>INDEX(Translations!$D:$ZZ, MATCH(82,Translations!$A:$A,0), MATCH('Project Information'!$C$4,Translations!$D$1:$ZZ$1,0))</f>
        <v/>
      </c>
      <c r="BD302" s="38">
        <f>MAX(N(0),0)</f>
        <v/>
      </c>
      <c r="BE302" s="38" t="n">
        <v>0.5</v>
      </c>
      <c r="BF302" s="38">
        <f>BD302*BE302</f>
        <v/>
      </c>
    </row>
    <row r="303" ht="15" customHeight="1" s="39">
      <c r="AZ303" s="38">
        <f>INDEX(Translations!$D:$ZZ, MATCH(310,Translations!$A:$A,0), MATCH('Project Information'!$C$4,Translations!$D$1:$ZZ$1,0))</f>
        <v/>
      </c>
      <c r="BA303" s="38">
        <f>INDEX(Translations!$D:$ZZ, MATCH(222,Translations!$A:$A,0), MATCH('Project Information'!$C$4,Translations!$D$1:$ZZ$1,0))</f>
        <v/>
      </c>
      <c r="BB303" s="38">
        <f>INDEX(Translations!$D:$ZZ, MATCH(339,Translations!$A:$A,0), MATCH('Project Information'!$C$4,Translations!$D$1:$ZZ$1,0))</f>
        <v/>
      </c>
      <c r="BC303" s="38">
        <f>INDEX(Translations!$D:$ZZ, MATCH(83,Translations!$A:$A,0), MATCH('Project Information'!$C$4,Translations!$D$1:$ZZ$1,0))</f>
        <v/>
      </c>
      <c r="BD303" s="38">
        <f>MAX(N(0),0)</f>
        <v/>
      </c>
      <c r="BE303" s="38" t="n">
        <v>0.5</v>
      </c>
      <c r="BF303" s="38">
        <f>BD303*BE303</f>
        <v/>
      </c>
    </row>
    <row r="304" ht="15" customHeight="1" s="39">
      <c r="AZ304" s="38">
        <f>INDEX(Translations!$D:$ZZ, MATCH(310,Translations!$A:$A,0), MATCH('Project Information'!$C$4,Translations!$D$1:$ZZ$1,0))</f>
        <v/>
      </c>
      <c r="BA304" s="38">
        <f>INDEX(Translations!$D:$ZZ, MATCH(222,Translations!$A:$A,0), MATCH('Project Information'!$C$4,Translations!$D$1:$ZZ$1,0))</f>
        <v/>
      </c>
      <c r="BB304" s="38">
        <f>INDEX(Translations!$D:$ZZ, MATCH(339,Translations!$A:$A,0), MATCH('Project Information'!$C$4,Translations!$D$1:$ZZ$1,0))</f>
        <v/>
      </c>
      <c r="BC304" s="38">
        <f>INDEX(Translations!$D:$ZZ, MATCH(86,Translations!$A:$A,0), MATCH('Project Information'!$C$4,Translations!$D$1:$ZZ$1,0))</f>
        <v/>
      </c>
      <c r="BD304" s="38">
        <f>MAX(N(0),0)</f>
        <v/>
      </c>
      <c r="BE304" s="38" t="n">
        <v>1</v>
      </c>
      <c r="BF304" s="38">
        <f>BD304*BE304</f>
        <v/>
      </c>
    </row>
    <row r="305" ht="15" customHeight="1" s="39">
      <c r="AZ305" s="38">
        <f>INDEX(Translations!$D:$ZZ, MATCH(310,Translations!$A:$A,0), MATCH('Project Information'!$C$4,Translations!$D$1:$ZZ$1,0))</f>
        <v/>
      </c>
      <c r="BA305" s="38">
        <f>INDEX(Translations!$D:$ZZ, MATCH(222,Translations!$A:$A,0), MATCH('Project Information'!$C$4,Translations!$D$1:$ZZ$1,0))</f>
        <v/>
      </c>
      <c r="BB305" s="38">
        <f>INDEX(Translations!$D:$ZZ, MATCH(339,Translations!$A:$A,0), MATCH('Project Information'!$C$4,Translations!$D$1:$ZZ$1,0))</f>
        <v/>
      </c>
      <c r="BC305" s="38">
        <f>INDEX(Translations!$D:$ZZ, MATCH(87,Translations!$A:$A,0), MATCH('Project Information'!$C$4,Translations!$D$1:$ZZ$1,0))</f>
        <v/>
      </c>
      <c r="BD305" s="38">
        <f>MAX(N(0),0)</f>
        <v/>
      </c>
      <c r="BE305" s="38" t="n">
        <v>2</v>
      </c>
      <c r="BF305" s="38">
        <f>BD305*BE305</f>
        <v/>
      </c>
    </row>
    <row r="306" ht="15" customHeight="1" s="39">
      <c r="AZ306" s="38">
        <f>INDEX(Translations!$D:$ZZ, MATCH(310,Translations!$A:$A,0), MATCH('Project Information'!$C$4,Translations!$D$1:$ZZ$1,0))</f>
        <v/>
      </c>
      <c r="BA306" s="38">
        <f>INDEX(Translations!$D:$ZZ, MATCH(199,Translations!$A:$A,0), MATCH('Project Information'!$C$4,Translations!$D$1:$ZZ$1,0))</f>
        <v/>
      </c>
      <c r="BB306" s="38">
        <f>INDEX(Translations!$D:$ZZ, MATCH(346,Translations!$A:$A,0), MATCH('Project Information'!$C$4,Translations!$D$1:$ZZ$1,0))</f>
        <v/>
      </c>
      <c r="BC306" s="38">
        <f>INDEX(Translations!$D:$ZZ, MATCH(83,Translations!$A:$A,0), MATCH('Project Information'!$C$4,Translations!$D$1:$ZZ$1,0))</f>
        <v/>
      </c>
      <c r="BD306" s="38">
        <f>IF(OR(TRIM("")="Evet",TRIM("")="Yes"),1,0)</f>
        <v/>
      </c>
      <c r="BE306" s="38" t="n">
        <v>5</v>
      </c>
      <c r="BF306" s="38">
        <f>BD306*BE306</f>
        <v/>
      </c>
    </row>
    <row r="307" ht="15" customHeight="1" s="39">
      <c r="AZ307" s="38">
        <f>INDEX(Translations!$D:$ZZ, MATCH(305,Translations!$A:$A,0), MATCH('Project Information'!$C$4,Translations!$D$1:$ZZ$1,0))</f>
        <v/>
      </c>
      <c r="BA307" s="38">
        <f>INDEX(Translations!$D:$ZZ, MATCH(28,Translations!$A:$A,0), MATCH('Project Information'!$C$4,Translations!$D$1:$ZZ$1,0))</f>
        <v/>
      </c>
      <c r="BB307" s="38">
        <f>INDEX(Translations!$D:$ZZ, MATCH(339,Translations!$A:$A,0), MATCH('Project Information'!$C$4,Translations!$D$1:$ZZ$1,0))</f>
        <v/>
      </c>
      <c r="BC307" s="38">
        <f>INDEX(Translations!$D:$ZZ, MATCH(75,Translations!$A:$A,0), MATCH('Project Information'!$C$4,Translations!$D$1:$ZZ$1,0))</f>
        <v/>
      </c>
      <c r="BD307" s="38">
        <f>MAX(N(Scope!$G$17)-1,0)</f>
        <v/>
      </c>
      <c r="BE307" s="38" t="n">
        <v>2</v>
      </c>
      <c r="BF307" s="38">
        <f>BD307*BE307</f>
        <v/>
      </c>
    </row>
    <row r="308" ht="15" customHeight="1" s="39">
      <c r="AZ308" s="38">
        <f>INDEX(Translations!$D:$ZZ, MATCH(305,Translations!$A:$A,0), MATCH('Project Information'!$C$4,Translations!$D$1:$ZZ$1,0))</f>
        <v/>
      </c>
      <c r="BA308" s="38">
        <f>INDEX(Translations!$D:$ZZ, MATCH(28,Translations!$A:$A,0), MATCH('Project Information'!$C$4,Translations!$D$1:$ZZ$1,0))</f>
        <v/>
      </c>
      <c r="BB308" s="38">
        <f>INDEX(Translations!$D:$ZZ, MATCH(339,Translations!$A:$A,0), MATCH('Project Information'!$C$4,Translations!$D$1:$ZZ$1,0))</f>
        <v/>
      </c>
      <c r="BC308" s="38">
        <f>INDEX(Translations!$D:$ZZ, MATCH(76,Translations!$A:$A,0), MATCH('Project Information'!$C$4,Translations!$D$1:$ZZ$1,0))</f>
        <v/>
      </c>
      <c r="BD308" s="38">
        <f>MAX(N(Scope!$G$17)-1,0)</f>
        <v/>
      </c>
      <c r="BE308" s="38" t="n">
        <v>1</v>
      </c>
      <c r="BF308" s="38">
        <f>BD308*BE308</f>
        <v/>
      </c>
    </row>
    <row r="309" ht="15" customHeight="1" s="39">
      <c r="AZ309" s="38">
        <f>INDEX(Translations!$D:$ZZ, MATCH(305,Translations!$A:$A,0), MATCH('Project Information'!$C$4,Translations!$D$1:$ZZ$1,0))</f>
        <v/>
      </c>
      <c r="BA309" s="38">
        <f>INDEX(Translations!$D:$ZZ, MATCH(28,Translations!$A:$A,0), MATCH('Project Information'!$C$4,Translations!$D$1:$ZZ$1,0))</f>
        <v/>
      </c>
      <c r="BB309" s="38">
        <f>INDEX(Translations!$D:$ZZ, MATCH(339,Translations!$A:$A,0), MATCH('Project Information'!$C$4,Translations!$D$1:$ZZ$1,0))</f>
        <v/>
      </c>
      <c r="BC309" s="38">
        <f>INDEX(Translations!$D:$ZZ, MATCH(78,Translations!$A:$A,0), MATCH('Project Information'!$C$4,Translations!$D$1:$ZZ$1,0))</f>
        <v/>
      </c>
      <c r="BD309" s="38">
        <f>MAX(N(Scope!$G$17)-1,0)</f>
        <v/>
      </c>
      <c r="BE309" s="38" t="n">
        <v>1</v>
      </c>
      <c r="BF309" s="38">
        <f>BD309*BE309</f>
        <v/>
      </c>
    </row>
    <row r="310" ht="15" customHeight="1" s="39">
      <c r="AZ310" s="38">
        <f>INDEX(Translations!$D:$ZZ, MATCH(305,Translations!$A:$A,0), MATCH('Project Information'!$C$4,Translations!$D$1:$ZZ$1,0))</f>
        <v/>
      </c>
      <c r="BA310" s="38">
        <f>INDEX(Translations!$D:$ZZ, MATCH(28,Translations!$A:$A,0), MATCH('Project Information'!$C$4,Translations!$D$1:$ZZ$1,0))</f>
        <v/>
      </c>
      <c r="BB310" s="38">
        <f>INDEX(Translations!$D:$ZZ, MATCH(339,Translations!$A:$A,0), MATCH('Project Information'!$C$4,Translations!$D$1:$ZZ$1,0))</f>
        <v/>
      </c>
      <c r="BC310" s="38">
        <f>INDEX(Translations!$D:$ZZ, MATCH(79,Translations!$A:$A,0), MATCH('Project Information'!$C$4,Translations!$D$1:$ZZ$1,0))</f>
        <v/>
      </c>
      <c r="BD310" s="38">
        <f>MAX(N(Scope!$G$17)-1,0)</f>
        <v/>
      </c>
      <c r="BE310" s="38" t="n">
        <v>0.5</v>
      </c>
      <c r="BF310" s="38">
        <f>BD310*BE310</f>
        <v/>
      </c>
    </row>
    <row r="311" ht="15" customHeight="1" s="39">
      <c r="AZ311" s="38">
        <f>INDEX(Translations!$D:$ZZ, MATCH(305,Translations!$A:$A,0), MATCH('Project Information'!$C$4,Translations!$D$1:$ZZ$1,0))</f>
        <v/>
      </c>
      <c r="BA311" s="38">
        <f>INDEX(Translations!$D:$ZZ, MATCH(28,Translations!$A:$A,0), MATCH('Project Information'!$C$4,Translations!$D$1:$ZZ$1,0))</f>
        <v/>
      </c>
      <c r="BB311" s="38">
        <f>INDEX(Translations!$D:$ZZ, MATCH(339,Translations!$A:$A,0), MATCH('Project Information'!$C$4,Translations!$D$1:$ZZ$1,0))</f>
        <v/>
      </c>
      <c r="BC311" s="38">
        <f>INDEX(Translations!$D:$ZZ, MATCH(82,Translations!$A:$A,0), MATCH('Project Information'!$C$4,Translations!$D$1:$ZZ$1,0))</f>
        <v/>
      </c>
      <c r="BD311" s="38">
        <f>MAX(N(Scope!$G$17)-1,0)</f>
        <v/>
      </c>
      <c r="BE311" s="38" t="n">
        <v>0.5</v>
      </c>
      <c r="BF311" s="38">
        <f>BD311*BE311</f>
        <v/>
      </c>
    </row>
    <row r="312" ht="15" customHeight="1" s="39">
      <c r="AZ312" s="38">
        <f>INDEX(Translations!$D:$ZZ, MATCH(305,Translations!$A:$A,0), MATCH('Project Information'!$C$4,Translations!$D$1:$ZZ$1,0))</f>
        <v/>
      </c>
      <c r="BA312" s="38">
        <f>INDEX(Translations!$D:$ZZ, MATCH(28,Translations!$A:$A,0), MATCH('Project Information'!$C$4,Translations!$D$1:$ZZ$1,0))</f>
        <v/>
      </c>
      <c r="BB312" s="38">
        <f>INDEX(Translations!$D:$ZZ, MATCH(339,Translations!$A:$A,0), MATCH('Project Information'!$C$4,Translations!$D$1:$ZZ$1,0))</f>
        <v/>
      </c>
      <c r="BC312" s="38">
        <f>INDEX(Translations!$D:$ZZ, MATCH(83,Translations!$A:$A,0), MATCH('Project Information'!$C$4,Translations!$D$1:$ZZ$1,0))</f>
        <v/>
      </c>
      <c r="BD312" s="38">
        <f>MAX(N(Scope!$G$17)-1,0)</f>
        <v/>
      </c>
      <c r="BE312" s="38" t="n">
        <v>1</v>
      </c>
      <c r="BF312" s="38">
        <f>BD312*BE312</f>
        <v/>
      </c>
    </row>
    <row r="313" ht="15" customHeight="1" s="39">
      <c r="AZ313" s="38">
        <f>INDEX(Translations!$D:$ZZ, MATCH(305,Translations!$A:$A,0), MATCH('Project Information'!$C$4,Translations!$D$1:$ZZ$1,0))</f>
        <v/>
      </c>
      <c r="BA313" s="38">
        <f>INDEX(Translations!$D:$ZZ, MATCH(28,Translations!$A:$A,0), MATCH('Project Information'!$C$4,Translations!$D$1:$ZZ$1,0))</f>
        <v/>
      </c>
      <c r="BB313" s="38">
        <f>INDEX(Translations!$D:$ZZ, MATCH(339,Translations!$A:$A,0), MATCH('Project Information'!$C$4,Translations!$D$1:$ZZ$1,0))</f>
        <v/>
      </c>
      <c r="BC313" s="38">
        <f>INDEX(Translations!$D:$ZZ, MATCH(84,Translations!$A:$A,0), MATCH('Project Information'!$C$4,Translations!$D$1:$ZZ$1,0))</f>
        <v/>
      </c>
      <c r="BD313" s="38">
        <f>MAX(N(Scope!$G$17)-1,0)</f>
        <v/>
      </c>
      <c r="BE313" s="38" t="n">
        <v>0.125</v>
      </c>
      <c r="BF313" s="38">
        <f>BD313*BE313</f>
        <v/>
      </c>
    </row>
    <row r="314" ht="15" customHeight="1" s="39">
      <c r="AZ314" s="38">
        <f>INDEX(Translations!$D:$ZZ, MATCH(310,Translations!$A:$A,0), MATCH('Project Information'!$C$4,Translations!$D$1:$ZZ$1,0))</f>
        <v/>
      </c>
      <c r="BA314" s="38">
        <f>INDEX(Translations!$D:$ZZ, MATCH(164,Translations!$A:$A,0), MATCH('Project Information'!$C$4,Translations!$D$1:$ZZ$1,0))</f>
        <v/>
      </c>
      <c r="BB314" s="38">
        <f>INDEX(Translations!$D:$ZZ, MATCH(333,Translations!$A:$A,0), MATCH('Project Information'!$C$4,Translations!$D$1:$ZZ$1,0))</f>
        <v/>
      </c>
      <c r="BC314" s="38">
        <f>INDEX(Translations!$D:$ZZ, MATCH(78,Translations!$A:$A,0), MATCH('Project Information'!$C$4,Translations!$D$1:$ZZ$1,0))</f>
        <v/>
      </c>
      <c r="BD314" s="38">
        <f>MAX(N(Scope!$G$14)-1,0)</f>
        <v/>
      </c>
      <c r="BE314" s="38" t="n">
        <v>1</v>
      </c>
      <c r="BF314" s="38">
        <f>BD314*BE314</f>
        <v/>
      </c>
    </row>
    <row r="315" ht="15" customHeight="1" s="39">
      <c r="AZ315" s="38">
        <f>INDEX(Translations!$D:$ZZ, MATCH(310,Translations!$A:$A,0), MATCH('Project Information'!$C$4,Translations!$D$1:$ZZ$1,0))</f>
        <v/>
      </c>
      <c r="BA315" s="38">
        <f>INDEX(Translations!$D:$ZZ, MATCH(164,Translations!$A:$A,0), MATCH('Project Information'!$C$4,Translations!$D$1:$ZZ$1,0))</f>
        <v/>
      </c>
      <c r="BB315" s="38">
        <f>INDEX(Translations!$D:$ZZ, MATCH(333,Translations!$A:$A,0), MATCH('Project Information'!$C$4,Translations!$D$1:$ZZ$1,0))</f>
        <v/>
      </c>
      <c r="BC315" s="38">
        <f>INDEX(Translations!$D:$ZZ, MATCH(79,Translations!$A:$A,0), MATCH('Project Information'!$C$4,Translations!$D$1:$ZZ$1,0))</f>
        <v/>
      </c>
      <c r="BD315" s="38">
        <f>MAX(N(Scope!$G$14)-1,0)</f>
        <v/>
      </c>
      <c r="BE315" s="38" t="n">
        <v>1</v>
      </c>
      <c r="BF315" s="38">
        <f>BD315*BE315</f>
        <v/>
      </c>
    </row>
    <row r="316" ht="15" customHeight="1" s="39">
      <c r="AZ316" s="38">
        <f>INDEX(Translations!$D:$ZZ, MATCH(310,Translations!$A:$A,0), MATCH('Project Information'!$C$4,Translations!$D$1:$ZZ$1,0))</f>
        <v/>
      </c>
      <c r="BA316" s="38">
        <f>INDEX(Translations!$D:$ZZ, MATCH(164,Translations!$A:$A,0), MATCH('Project Information'!$C$4,Translations!$D$1:$ZZ$1,0))</f>
        <v/>
      </c>
      <c r="BB316" s="38">
        <f>INDEX(Translations!$D:$ZZ, MATCH(333,Translations!$A:$A,0), MATCH('Project Information'!$C$4,Translations!$D$1:$ZZ$1,0))</f>
        <v/>
      </c>
      <c r="BC316" s="38">
        <f>INDEX(Translations!$D:$ZZ, MATCH(82,Translations!$A:$A,0), MATCH('Project Information'!$C$4,Translations!$D$1:$ZZ$1,0))</f>
        <v/>
      </c>
      <c r="BD316" s="38">
        <f>MAX(N(Scope!$G$14)-1,0)</f>
        <v/>
      </c>
      <c r="BE316" s="38" t="n">
        <v>0.5</v>
      </c>
      <c r="BF316" s="38">
        <f>BD316*BE316</f>
        <v/>
      </c>
    </row>
    <row r="317" ht="15" customHeight="1" s="39">
      <c r="AZ317" s="38">
        <f>INDEX(Translations!$D:$ZZ, MATCH(310,Translations!$A:$A,0), MATCH('Project Information'!$C$4,Translations!$D$1:$ZZ$1,0))</f>
        <v/>
      </c>
      <c r="BA317" s="38">
        <f>INDEX(Translations!$D:$ZZ, MATCH(164,Translations!$A:$A,0), MATCH('Project Information'!$C$4,Translations!$D$1:$ZZ$1,0))</f>
        <v/>
      </c>
      <c r="BB317" s="38">
        <f>INDEX(Translations!$D:$ZZ, MATCH(333,Translations!$A:$A,0), MATCH('Project Information'!$C$4,Translations!$D$1:$ZZ$1,0))</f>
        <v/>
      </c>
      <c r="BC317" s="38">
        <f>INDEX(Translations!$D:$ZZ, MATCH(83,Translations!$A:$A,0), MATCH('Project Information'!$C$4,Translations!$D$1:$ZZ$1,0))</f>
        <v/>
      </c>
      <c r="BD317" s="38">
        <f>MAX(N(Scope!$G$14)-1,0)</f>
        <v/>
      </c>
      <c r="BE317" s="38" t="n">
        <v>0.5</v>
      </c>
      <c r="BF317" s="38">
        <f>BD317*BE317</f>
        <v/>
      </c>
    </row>
    <row r="318" ht="15" customHeight="1" s="39">
      <c r="AZ318" s="38">
        <f>INDEX(Translations!$D:$ZZ, MATCH(310,Translations!$A:$A,0), MATCH('Project Information'!$C$4,Translations!$D$1:$ZZ$1,0))</f>
        <v/>
      </c>
      <c r="BA318" s="38">
        <f>INDEX(Translations!$D:$ZZ, MATCH(164,Translations!$A:$A,0), MATCH('Project Information'!$C$4,Translations!$D$1:$ZZ$1,0))</f>
        <v/>
      </c>
      <c r="BB318" s="38">
        <f>INDEX(Translations!$D:$ZZ, MATCH(333,Translations!$A:$A,0), MATCH('Project Information'!$C$4,Translations!$D$1:$ZZ$1,0))</f>
        <v/>
      </c>
      <c r="BC318" s="38">
        <f>INDEX(Translations!$D:$ZZ, MATCH(84,Translations!$A:$A,0), MATCH('Project Information'!$C$4,Translations!$D$1:$ZZ$1,0))</f>
        <v/>
      </c>
      <c r="BD318" s="38">
        <f>MAX(N(Scope!$G$14)-1,0)</f>
        <v/>
      </c>
      <c r="BE318" s="38" t="n">
        <v>0.125</v>
      </c>
      <c r="BF318" s="38">
        <f>BD318*BE318</f>
        <v/>
      </c>
    </row>
    <row r="319" ht="15" customHeight="1" s="39">
      <c r="AZ319" s="38">
        <f>INDEX(Translations!$D:$ZZ, MATCH(310,Translations!$A:$A,0), MATCH('Project Information'!$C$4,Translations!$D$1:$ZZ$1,0))</f>
        <v/>
      </c>
      <c r="BA319" s="38">
        <f>INDEX(Translations!$D:$ZZ, MATCH(164,Translations!$A:$A,0), MATCH('Project Information'!$C$4,Translations!$D$1:$ZZ$1,0))</f>
        <v/>
      </c>
      <c r="BB319" s="38">
        <f>INDEX(Translations!$D:$ZZ, MATCH(332,Translations!$A:$A,0), MATCH('Project Information'!$C$4,Translations!$D$1:$ZZ$1,0))</f>
        <v/>
      </c>
      <c r="BC319" s="38">
        <f>INDEX(Translations!$D:$ZZ, MATCH(78,Translations!$A:$A,0), MATCH('Project Information'!$C$4,Translations!$D$1:$ZZ$1,0))</f>
        <v/>
      </c>
      <c r="BD319" s="38">
        <f>MAX(N(Scope!$G$14)-1,0)</f>
        <v/>
      </c>
      <c r="BE319" s="38" t="n">
        <v>1</v>
      </c>
      <c r="BF319" s="38">
        <f>BD319*BE319</f>
        <v/>
      </c>
    </row>
    <row r="320" ht="15" customHeight="1" s="39">
      <c r="AZ320" s="38">
        <f>INDEX(Translations!$D:$ZZ, MATCH(310,Translations!$A:$A,0), MATCH('Project Information'!$C$4,Translations!$D$1:$ZZ$1,0))</f>
        <v/>
      </c>
      <c r="BA320" s="38">
        <f>INDEX(Translations!$D:$ZZ, MATCH(164,Translations!$A:$A,0), MATCH('Project Information'!$C$4,Translations!$D$1:$ZZ$1,0))</f>
        <v/>
      </c>
      <c r="BB320" s="38">
        <f>INDEX(Translations!$D:$ZZ, MATCH(332,Translations!$A:$A,0), MATCH('Project Information'!$C$4,Translations!$D$1:$ZZ$1,0))</f>
        <v/>
      </c>
      <c r="BC320" s="38">
        <f>INDEX(Translations!$D:$ZZ, MATCH(79,Translations!$A:$A,0), MATCH('Project Information'!$C$4,Translations!$D$1:$ZZ$1,0))</f>
        <v/>
      </c>
      <c r="BD320" s="38">
        <f>MAX(N(Scope!$G$14)-1,0)</f>
        <v/>
      </c>
      <c r="BE320" s="38" t="n">
        <v>1</v>
      </c>
      <c r="BF320" s="38">
        <f>BD320*BE320</f>
        <v/>
      </c>
    </row>
    <row r="321" ht="15" customHeight="1" s="39">
      <c r="AZ321" s="38">
        <f>INDEX(Translations!$D:$ZZ, MATCH(310,Translations!$A:$A,0), MATCH('Project Information'!$C$4,Translations!$D$1:$ZZ$1,0))</f>
        <v/>
      </c>
      <c r="BA321" s="38">
        <f>INDEX(Translations!$D:$ZZ, MATCH(164,Translations!$A:$A,0), MATCH('Project Information'!$C$4,Translations!$D$1:$ZZ$1,0))</f>
        <v/>
      </c>
      <c r="BB321" s="38">
        <f>INDEX(Translations!$D:$ZZ, MATCH(332,Translations!$A:$A,0), MATCH('Project Information'!$C$4,Translations!$D$1:$ZZ$1,0))</f>
        <v/>
      </c>
      <c r="BC321" s="38">
        <f>INDEX(Translations!$D:$ZZ, MATCH(82,Translations!$A:$A,0), MATCH('Project Information'!$C$4,Translations!$D$1:$ZZ$1,0))</f>
        <v/>
      </c>
      <c r="BD321" s="38">
        <f>MAX(N(Scope!$G$14)-1,0)</f>
        <v/>
      </c>
      <c r="BE321" s="38" t="n">
        <v>0.5</v>
      </c>
      <c r="BF321" s="38">
        <f>BD321*BE321</f>
        <v/>
      </c>
    </row>
    <row r="322" ht="15" customHeight="1" s="39">
      <c r="AZ322" s="38">
        <f>INDEX(Translations!$D:$ZZ, MATCH(310,Translations!$A:$A,0), MATCH('Project Information'!$C$4,Translations!$D$1:$ZZ$1,0))</f>
        <v/>
      </c>
      <c r="BA322" s="38">
        <f>INDEX(Translations!$D:$ZZ, MATCH(164,Translations!$A:$A,0), MATCH('Project Information'!$C$4,Translations!$D$1:$ZZ$1,0))</f>
        <v/>
      </c>
      <c r="BB322" s="38">
        <f>INDEX(Translations!$D:$ZZ, MATCH(332,Translations!$A:$A,0), MATCH('Project Information'!$C$4,Translations!$D$1:$ZZ$1,0))</f>
        <v/>
      </c>
      <c r="BC322" s="38">
        <f>INDEX(Translations!$D:$ZZ, MATCH(83,Translations!$A:$A,0), MATCH('Project Information'!$C$4,Translations!$D$1:$ZZ$1,0))</f>
        <v/>
      </c>
      <c r="BD322" s="38">
        <f>MAX(N(Scope!$G$14)-1,0)</f>
        <v/>
      </c>
      <c r="BE322" s="38" t="n">
        <v>0.5</v>
      </c>
      <c r="BF322" s="38">
        <f>BD322*BE322</f>
        <v/>
      </c>
    </row>
    <row r="323" ht="15" customHeight="1" s="39">
      <c r="AZ323" s="38">
        <f>INDEX(Translations!$D:$ZZ, MATCH(310,Translations!$A:$A,0), MATCH('Project Information'!$C$4,Translations!$D$1:$ZZ$1,0))</f>
        <v/>
      </c>
      <c r="BA323" s="38">
        <f>INDEX(Translations!$D:$ZZ, MATCH(164,Translations!$A:$A,0), MATCH('Project Information'!$C$4,Translations!$D$1:$ZZ$1,0))</f>
        <v/>
      </c>
      <c r="BB323" s="38">
        <f>INDEX(Translations!$D:$ZZ, MATCH(332,Translations!$A:$A,0), MATCH('Project Information'!$C$4,Translations!$D$1:$ZZ$1,0))</f>
        <v/>
      </c>
      <c r="BC323" s="38">
        <f>INDEX(Translations!$D:$ZZ, MATCH(84,Translations!$A:$A,0), MATCH('Project Information'!$C$4,Translations!$D$1:$ZZ$1,0))</f>
        <v/>
      </c>
      <c r="BD323" s="38">
        <f>MAX(N(Scope!$G$14)-1,0)</f>
        <v/>
      </c>
      <c r="BE323" s="38" t="n">
        <v>0.125</v>
      </c>
      <c r="BF323" s="38">
        <f>BD323*BE323</f>
        <v/>
      </c>
    </row>
    <row r="324" ht="15" customHeight="1" s="39">
      <c r="AZ324" s="38">
        <f>INDEX(Translations!$D:$ZZ, MATCH(310,Translations!$A:$A,0), MATCH('Project Information'!$C$4,Translations!$D$1:$ZZ$1,0))</f>
        <v/>
      </c>
      <c r="BA324" s="38">
        <f>INDEX(Translations!$D:$ZZ, MATCH(164,Translations!$A:$A,0), MATCH('Project Information'!$C$4,Translations!$D$1:$ZZ$1,0))</f>
        <v/>
      </c>
      <c r="BB324" s="38">
        <f>INDEX(Translations!$D:$ZZ, MATCH(337,Translations!$A:$A,0), MATCH('Project Information'!$C$4,Translations!$D$1:$ZZ$1,0))</f>
        <v/>
      </c>
      <c r="BC324" s="38">
        <f>INDEX(Translations!$D:$ZZ, MATCH(78,Translations!$A:$A,0), MATCH('Project Information'!$C$4,Translations!$D$1:$ZZ$1,0))</f>
        <v/>
      </c>
      <c r="BD324" s="38">
        <f>MAX(N(Scope!$G$14)-1,0)</f>
        <v/>
      </c>
      <c r="BE324" s="38" t="n">
        <v>1</v>
      </c>
      <c r="BF324" s="38">
        <f>BD324*BE324</f>
        <v/>
      </c>
    </row>
    <row r="325" ht="15" customHeight="1" s="39">
      <c r="AZ325" s="38">
        <f>INDEX(Translations!$D:$ZZ, MATCH(310,Translations!$A:$A,0), MATCH('Project Information'!$C$4,Translations!$D$1:$ZZ$1,0))</f>
        <v/>
      </c>
      <c r="BA325" s="38">
        <f>INDEX(Translations!$D:$ZZ, MATCH(164,Translations!$A:$A,0), MATCH('Project Information'!$C$4,Translations!$D$1:$ZZ$1,0))</f>
        <v/>
      </c>
      <c r="BB325" s="38">
        <f>INDEX(Translations!$D:$ZZ, MATCH(337,Translations!$A:$A,0), MATCH('Project Information'!$C$4,Translations!$D$1:$ZZ$1,0))</f>
        <v/>
      </c>
      <c r="BC325" s="38">
        <f>INDEX(Translations!$D:$ZZ, MATCH(79,Translations!$A:$A,0), MATCH('Project Information'!$C$4,Translations!$D$1:$ZZ$1,0))</f>
        <v/>
      </c>
      <c r="BD325" s="38">
        <f>MAX(N(Scope!$G$14)-1,0)</f>
        <v/>
      </c>
      <c r="BE325" s="38" t="n">
        <v>1</v>
      </c>
      <c r="BF325" s="38">
        <f>BD325*BE325</f>
        <v/>
      </c>
    </row>
    <row r="326" ht="15" customHeight="1" s="39">
      <c r="AZ326" s="38">
        <f>INDEX(Translations!$D:$ZZ, MATCH(310,Translations!$A:$A,0), MATCH('Project Information'!$C$4,Translations!$D$1:$ZZ$1,0))</f>
        <v/>
      </c>
      <c r="BA326" s="38">
        <f>INDEX(Translations!$D:$ZZ, MATCH(164,Translations!$A:$A,0), MATCH('Project Information'!$C$4,Translations!$D$1:$ZZ$1,0))</f>
        <v/>
      </c>
      <c r="BB326" s="38">
        <f>INDEX(Translations!$D:$ZZ, MATCH(337,Translations!$A:$A,0), MATCH('Project Information'!$C$4,Translations!$D$1:$ZZ$1,0))</f>
        <v/>
      </c>
      <c r="BC326" s="38">
        <f>INDEX(Translations!$D:$ZZ, MATCH(82,Translations!$A:$A,0), MATCH('Project Information'!$C$4,Translations!$D$1:$ZZ$1,0))</f>
        <v/>
      </c>
      <c r="BD326" s="38">
        <f>MAX(N(Scope!$G$14)-1,0)</f>
        <v/>
      </c>
      <c r="BE326" s="38" t="n">
        <v>0.5</v>
      </c>
      <c r="BF326" s="38">
        <f>BD326*BE326</f>
        <v/>
      </c>
    </row>
    <row r="327" ht="15" customHeight="1" s="39">
      <c r="AZ327" s="38">
        <f>INDEX(Translations!$D:$ZZ, MATCH(310,Translations!$A:$A,0), MATCH('Project Information'!$C$4,Translations!$D$1:$ZZ$1,0))</f>
        <v/>
      </c>
      <c r="BA327" s="38">
        <f>INDEX(Translations!$D:$ZZ, MATCH(164,Translations!$A:$A,0), MATCH('Project Information'!$C$4,Translations!$D$1:$ZZ$1,0))</f>
        <v/>
      </c>
      <c r="BB327" s="38">
        <f>INDEX(Translations!$D:$ZZ, MATCH(337,Translations!$A:$A,0), MATCH('Project Information'!$C$4,Translations!$D$1:$ZZ$1,0))</f>
        <v/>
      </c>
      <c r="BC327" s="38">
        <f>INDEX(Translations!$D:$ZZ, MATCH(83,Translations!$A:$A,0), MATCH('Project Information'!$C$4,Translations!$D$1:$ZZ$1,0))</f>
        <v/>
      </c>
      <c r="BD327" s="38">
        <f>MAX(N(Scope!$G$14)-1,0)</f>
        <v/>
      </c>
      <c r="BE327" s="38" t="n">
        <v>0.5</v>
      </c>
      <c r="BF327" s="38">
        <f>BD327*BE327</f>
        <v/>
      </c>
    </row>
    <row r="328" ht="15" customHeight="1" s="39">
      <c r="AZ328" s="38">
        <f>INDEX(Translations!$D:$ZZ, MATCH(310,Translations!$A:$A,0), MATCH('Project Information'!$C$4,Translations!$D$1:$ZZ$1,0))</f>
        <v/>
      </c>
      <c r="BA328" s="38">
        <f>INDEX(Translations!$D:$ZZ, MATCH(164,Translations!$A:$A,0), MATCH('Project Information'!$C$4,Translations!$D$1:$ZZ$1,0))</f>
        <v/>
      </c>
      <c r="BB328" s="38">
        <f>INDEX(Translations!$D:$ZZ, MATCH(337,Translations!$A:$A,0), MATCH('Project Information'!$C$4,Translations!$D$1:$ZZ$1,0))</f>
        <v/>
      </c>
      <c r="BC328" s="38">
        <f>INDEX(Translations!$D:$ZZ, MATCH(84,Translations!$A:$A,0), MATCH('Project Information'!$C$4,Translations!$D$1:$ZZ$1,0))</f>
        <v/>
      </c>
      <c r="BD328" s="38">
        <f>MAX(N(Scope!$G$14)-1,0)</f>
        <v/>
      </c>
      <c r="BE328" s="38" t="n">
        <v>0.125</v>
      </c>
      <c r="BF328" s="38">
        <f>BD328*BE328</f>
        <v/>
      </c>
    </row>
    <row r="329" ht="15" customHeight="1" s="39">
      <c r="AZ329" s="38">
        <f>INDEX(Translations!$D:$ZZ, MATCH(310,Translations!$A:$A,0), MATCH('Project Information'!$C$4,Translations!$D$1:$ZZ$1,0))</f>
        <v/>
      </c>
      <c r="BA329" s="38">
        <f>INDEX(Translations!$D:$ZZ, MATCH(164,Translations!$A:$A,0), MATCH('Project Information'!$C$4,Translations!$D$1:$ZZ$1,0))</f>
        <v/>
      </c>
      <c r="BB329" s="38">
        <f>INDEX(Translations!$D:$ZZ, MATCH(339,Translations!$A:$A,0), MATCH('Project Information'!$C$4,Translations!$D$1:$ZZ$1,0))</f>
        <v/>
      </c>
      <c r="BC329" s="38">
        <f>INDEX(Translations!$D:$ZZ, MATCH(78,Translations!$A:$A,0), MATCH('Project Information'!$C$4,Translations!$D$1:$ZZ$1,0))</f>
        <v/>
      </c>
      <c r="BD329" s="38">
        <f>MAX(N(Scope!$G$14)-1,0)</f>
        <v/>
      </c>
      <c r="BE329" s="38" t="n">
        <v>1</v>
      </c>
      <c r="BF329" s="38">
        <f>BD329*BE329</f>
        <v/>
      </c>
    </row>
    <row r="330" ht="15" customHeight="1" s="39">
      <c r="AZ330" s="38">
        <f>INDEX(Translations!$D:$ZZ, MATCH(310,Translations!$A:$A,0), MATCH('Project Information'!$C$4,Translations!$D$1:$ZZ$1,0))</f>
        <v/>
      </c>
      <c r="BA330" s="38">
        <f>INDEX(Translations!$D:$ZZ, MATCH(164,Translations!$A:$A,0), MATCH('Project Information'!$C$4,Translations!$D$1:$ZZ$1,0))</f>
        <v/>
      </c>
      <c r="BB330" s="38">
        <f>INDEX(Translations!$D:$ZZ, MATCH(339,Translations!$A:$A,0), MATCH('Project Information'!$C$4,Translations!$D$1:$ZZ$1,0))</f>
        <v/>
      </c>
      <c r="BC330" s="38">
        <f>INDEX(Translations!$D:$ZZ, MATCH(79,Translations!$A:$A,0), MATCH('Project Information'!$C$4,Translations!$D$1:$ZZ$1,0))</f>
        <v/>
      </c>
      <c r="BD330" s="38">
        <f>MAX(N(Scope!$G$14)-1,0)</f>
        <v/>
      </c>
      <c r="BE330" s="38" t="n">
        <v>1</v>
      </c>
      <c r="BF330" s="38">
        <f>BD330*BE330</f>
        <v/>
      </c>
    </row>
    <row r="331" ht="15" customHeight="1" s="39">
      <c r="AZ331" s="38">
        <f>INDEX(Translations!$D:$ZZ, MATCH(310,Translations!$A:$A,0), MATCH('Project Information'!$C$4,Translations!$D$1:$ZZ$1,0))</f>
        <v/>
      </c>
      <c r="BA331" s="38">
        <f>INDEX(Translations!$D:$ZZ, MATCH(164,Translations!$A:$A,0), MATCH('Project Information'!$C$4,Translations!$D$1:$ZZ$1,0))</f>
        <v/>
      </c>
      <c r="BB331" s="38">
        <f>INDEX(Translations!$D:$ZZ, MATCH(339,Translations!$A:$A,0), MATCH('Project Information'!$C$4,Translations!$D$1:$ZZ$1,0))</f>
        <v/>
      </c>
      <c r="BC331" s="38">
        <f>INDEX(Translations!$D:$ZZ, MATCH(82,Translations!$A:$A,0), MATCH('Project Information'!$C$4,Translations!$D$1:$ZZ$1,0))</f>
        <v/>
      </c>
      <c r="BD331" s="38">
        <f>MAX(N(Scope!$G$14)-1,0)</f>
        <v/>
      </c>
      <c r="BE331" s="38" t="n">
        <v>0.5</v>
      </c>
      <c r="BF331" s="38">
        <f>BD331*BE331</f>
        <v/>
      </c>
    </row>
    <row r="332" ht="15" customHeight="1" s="39">
      <c r="AZ332" s="38">
        <f>INDEX(Translations!$D:$ZZ, MATCH(310,Translations!$A:$A,0), MATCH('Project Information'!$C$4,Translations!$D$1:$ZZ$1,0))</f>
        <v/>
      </c>
      <c r="BA332" s="38">
        <f>INDEX(Translations!$D:$ZZ, MATCH(164,Translations!$A:$A,0), MATCH('Project Information'!$C$4,Translations!$D$1:$ZZ$1,0))</f>
        <v/>
      </c>
      <c r="BB332" s="38">
        <f>INDEX(Translations!$D:$ZZ, MATCH(339,Translations!$A:$A,0), MATCH('Project Information'!$C$4,Translations!$D$1:$ZZ$1,0))</f>
        <v/>
      </c>
      <c r="BC332" s="38">
        <f>INDEX(Translations!$D:$ZZ, MATCH(83,Translations!$A:$A,0), MATCH('Project Information'!$C$4,Translations!$D$1:$ZZ$1,0))</f>
        <v/>
      </c>
      <c r="BD332" s="38">
        <f>MAX(N(Scope!$G$14)-1,0)</f>
        <v/>
      </c>
      <c r="BE332" s="38" t="n">
        <v>0.5</v>
      </c>
      <c r="BF332" s="38">
        <f>BD332*BE332</f>
        <v/>
      </c>
    </row>
    <row r="333" ht="15" customHeight="1" s="39">
      <c r="AZ333" s="38">
        <f>INDEX(Translations!$D:$ZZ, MATCH(310,Translations!$A:$A,0), MATCH('Project Information'!$C$4,Translations!$D$1:$ZZ$1,0))</f>
        <v/>
      </c>
      <c r="BA333" s="38">
        <f>INDEX(Translations!$D:$ZZ, MATCH(164,Translations!$A:$A,0), MATCH('Project Information'!$C$4,Translations!$D$1:$ZZ$1,0))</f>
        <v/>
      </c>
      <c r="BB333" s="38">
        <f>INDEX(Translations!$D:$ZZ, MATCH(339,Translations!$A:$A,0), MATCH('Project Information'!$C$4,Translations!$D$1:$ZZ$1,0))</f>
        <v/>
      </c>
      <c r="BC333" s="38">
        <f>INDEX(Translations!$D:$ZZ, MATCH(84,Translations!$A:$A,0), MATCH('Project Information'!$C$4,Translations!$D$1:$ZZ$1,0))</f>
        <v/>
      </c>
      <c r="BD333" s="38">
        <f>MAX(N(Scope!$G$14)-1,0)</f>
        <v/>
      </c>
      <c r="BE333" s="38" t="n">
        <v>0.125</v>
      </c>
      <c r="BF333" s="38">
        <f>BD333*BE333</f>
        <v/>
      </c>
    </row>
    <row r="334" ht="15" customHeight="1" s="39">
      <c r="AZ334" s="38">
        <f>INDEX(Translations!$D:$ZZ, MATCH(310,Translations!$A:$A,0), MATCH('Project Information'!$C$4,Translations!$D$1:$ZZ$1,0))</f>
        <v/>
      </c>
      <c r="BA334" s="38">
        <f>INDEX(Translations!$D:$ZZ, MATCH(164,Translations!$A:$A,0), MATCH('Project Information'!$C$4,Translations!$D$1:$ZZ$1,0))</f>
        <v/>
      </c>
      <c r="BB334" s="38">
        <f>INDEX(Translations!$D:$ZZ, MATCH(334,Translations!$A:$A,0), MATCH('Project Information'!$C$4,Translations!$D$1:$ZZ$1,0))</f>
        <v/>
      </c>
      <c r="BC334" s="38">
        <f>INDEX(Translations!$D:$ZZ, MATCH(78,Translations!$A:$A,0), MATCH('Project Information'!$C$4,Translations!$D$1:$ZZ$1,0))</f>
        <v/>
      </c>
      <c r="BD334" s="38">
        <f>MAX(N(Scope!$G$14)-1,0)</f>
        <v/>
      </c>
      <c r="BE334" s="38" t="n">
        <v>1</v>
      </c>
      <c r="BF334" s="38">
        <f>BD334*BE334</f>
        <v/>
      </c>
    </row>
    <row r="335" ht="15" customHeight="1" s="39">
      <c r="AZ335" s="38">
        <f>INDEX(Translations!$D:$ZZ, MATCH(310,Translations!$A:$A,0), MATCH('Project Information'!$C$4,Translations!$D$1:$ZZ$1,0))</f>
        <v/>
      </c>
      <c r="BA335" s="38">
        <f>INDEX(Translations!$D:$ZZ, MATCH(164,Translations!$A:$A,0), MATCH('Project Information'!$C$4,Translations!$D$1:$ZZ$1,0))</f>
        <v/>
      </c>
      <c r="BB335" s="38">
        <f>INDEX(Translations!$D:$ZZ, MATCH(334,Translations!$A:$A,0), MATCH('Project Information'!$C$4,Translations!$D$1:$ZZ$1,0))</f>
        <v/>
      </c>
      <c r="BC335" s="38">
        <f>INDEX(Translations!$D:$ZZ, MATCH(79,Translations!$A:$A,0), MATCH('Project Information'!$C$4,Translations!$D$1:$ZZ$1,0))</f>
        <v/>
      </c>
      <c r="BD335" s="38">
        <f>MAX(N(Scope!$G$14)-1,0)</f>
        <v/>
      </c>
      <c r="BE335" s="38" t="n">
        <v>1</v>
      </c>
      <c r="BF335" s="38">
        <f>BD335*BE335</f>
        <v/>
      </c>
    </row>
    <row r="336" ht="15" customHeight="1" s="39">
      <c r="AZ336" s="38">
        <f>INDEX(Translations!$D:$ZZ, MATCH(310,Translations!$A:$A,0), MATCH('Project Information'!$C$4,Translations!$D$1:$ZZ$1,0))</f>
        <v/>
      </c>
      <c r="BA336" s="38">
        <f>INDEX(Translations!$D:$ZZ, MATCH(164,Translations!$A:$A,0), MATCH('Project Information'!$C$4,Translations!$D$1:$ZZ$1,0))</f>
        <v/>
      </c>
      <c r="BB336" s="38">
        <f>INDEX(Translations!$D:$ZZ, MATCH(334,Translations!$A:$A,0), MATCH('Project Information'!$C$4,Translations!$D$1:$ZZ$1,0))</f>
        <v/>
      </c>
      <c r="BC336" s="38">
        <f>INDEX(Translations!$D:$ZZ, MATCH(82,Translations!$A:$A,0), MATCH('Project Information'!$C$4,Translations!$D$1:$ZZ$1,0))</f>
        <v/>
      </c>
      <c r="BD336" s="38">
        <f>MAX(N(Scope!$G$14)-1,0)</f>
        <v/>
      </c>
      <c r="BE336" s="38" t="n">
        <v>0.5</v>
      </c>
      <c r="BF336" s="38">
        <f>BD336*BE336</f>
        <v/>
      </c>
    </row>
    <row r="337" ht="15" customHeight="1" s="39">
      <c r="AZ337" s="38">
        <f>INDEX(Translations!$D:$ZZ, MATCH(310,Translations!$A:$A,0), MATCH('Project Information'!$C$4,Translations!$D$1:$ZZ$1,0))</f>
        <v/>
      </c>
      <c r="BA337" s="38">
        <f>INDEX(Translations!$D:$ZZ, MATCH(164,Translations!$A:$A,0), MATCH('Project Information'!$C$4,Translations!$D$1:$ZZ$1,0))</f>
        <v/>
      </c>
      <c r="BB337" s="38">
        <f>INDEX(Translations!$D:$ZZ, MATCH(334,Translations!$A:$A,0), MATCH('Project Information'!$C$4,Translations!$D$1:$ZZ$1,0))</f>
        <v/>
      </c>
      <c r="BC337" s="38">
        <f>INDEX(Translations!$D:$ZZ, MATCH(83,Translations!$A:$A,0), MATCH('Project Information'!$C$4,Translations!$D$1:$ZZ$1,0))</f>
        <v/>
      </c>
      <c r="BD337" s="38">
        <f>MAX(N(Scope!$G$14)-1,0)</f>
        <v/>
      </c>
      <c r="BE337" s="38" t="n">
        <v>0.5</v>
      </c>
      <c r="BF337" s="38">
        <f>BD337*BE337</f>
        <v/>
      </c>
    </row>
    <row r="338" ht="15" customHeight="1" s="39">
      <c r="AZ338" s="38">
        <f>INDEX(Translations!$D:$ZZ, MATCH(310,Translations!$A:$A,0), MATCH('Project Information'!$C$4,Translations!$D$1:$ZZ$1,0))</f>
        <v/>
      </c>
      <c r="BA338" s="38">
        <f>INDEX(Translations!$D:$ZZ, MATCH(164,Translations!$A:$A,0), MATCH('Project Information'!$C$4,Translations!$D$1:$ZZ$1,0))</f>
        <v/>
      </c>
      <c r="BB338" s="38">
        <f>INDEX(Translations!$D:$ZZ, MATCH(334,Translations!$A:$A,0), MATCH('Project Information'!$C$4,Translations!$D$1:$ZZ$1,0))</f>
        <v/>
      </c>
      <c r="BC338" s="38">
        <f>INDEX(Translations!$D:$ZZ, MATCH(84,Translations!$A:$A,0), MATCH('Project Information'!$C$4,Translations!$D$1:$ZZ$1,0))</f>
        <v/>
      </c>
      <c r="BD338" s="38">
        <f>MAX(N(Scope!$G$14)-1,0)</f>
        <v/>
      </c>
      <c r="BE338" s="38" t="n">
        <v>0.125</v>
      </c>
      <c r="BF338" s="38">
        <f>BD338*BE338</f>
        <v/>
      </c>
    </row>
    <row r="339" ht="15" customHeight="1" s="39">
      <c r="AZ339" s="38">
        <f>INDEX(Translations!$D:$ZZ, MATCH(310,Translations!$A:$A,0), MATCH('Project Information'!$C$4,Translations!$D$1:$ZZ$1,0))</f>
        <v/>
      </c>
      <c r="BA339" s="38">
        <f>INDEX(Translations!$D:$ZZ, MATCH(187,Translations!$A:$A,0), MATCH('Project Information'!$C$4,Translations!$D$1:$ZZ$1,0))</f>
        <v/>
      </c>
      <c r="BB339" s="38">
        <f>INDEX(Translations!$D:$ZZ, MATCH(332,Translations!$A:$A,0), MATCH('Project Information'!$C$4,Translations!$D$1:$ZZ$1,0))</f>
        <v/>
      </c>
      <c r="BC339" s="38">
        <f>INDEX(Translations!$D:$ZZ, MATCH(78,Translations!$A:$A,0), MATCH('Project Information'!$C$4,Translations!$D$1:$ZZ$1,0))</f>
        <v/>
      </c>
      <c r="BD339" s="38">
        <f>MAX(N(0)-1,0)</f>
        <v/>
      </c>
      <c r="BE339" s="38" t="n">
        <v>1</v>
      </c>
      <c r="BF339" s="38">
        <f>BD339*BE339</f>
        <v/>
      </c>
    </row>
    <row r="340" ht="15" customHeight="1" s="39">
      <c r="AZ340" s="38">
        <f>INDEX(Translations!$D:$ZZ, MATCH(310,Translations!$A:$A,0), MATCH('Project Information'!$C$4,Translations!$D$1:$ZZ$1,0))</f>
        <v/>
      </c>
      <c r="BA340" s="38">
        <f>INDEX(Translations!$D:$ZZ, MATCH(187,Translations!$A:$A,0), MATCH('Project Information'!$C$4,Translations!$D$1:$ZZ$1,0))</f>
        <v/>
      </c>
      <c r="BB340" s="38">
        <f>INDEX(Translations!$D:$ZZ, MATCH(332,Translations!$A:$A,0), MATCH('Project Information'!$C$4,Translations!$D$1:$ZZ$1,0))</f>
        <v/>
      </c>
      <c r="BC340" s="38">
        <f>INDEX(Translations!$D:$ZZ, MATCH(80,Translations!$A:$A,0), MATCH('Project Information'!$C$4,Translations!$D$1:$ZZ$1,0))</f>
        <v/>
      </c>
      <c r="BD340" s="38">
        <f>MAX(N(0)-1,0)</f>
        <v/>
      </c>
      <c r="BE340" s="38" t="n">
        <v>2</v>
      </c>
      <c r="BF340" s="38">
        <f>BD340*BE340</f>
        <v/>
      </c>
    </row>
    <row r="341" ht="15" customHeight="1" s="39">
      <c r="AZ341" s="38">
        <f>INDEX(Translations!$D:$ZZ, MATCH(310,Translations!$A:$A,0), MATCH('Project Information'!$C$4,Translations!$D$1:$ZZ$1,0))</f>
        <v/>
      </c>
      <c r="BA341" s="38">
        <f>INDEX(Translations!$D:$ZZ, MATCH(187,Translations!$A:$A,0), MATCH('Project Information'!$C$4,Translations!$D$1:$ZZ$1,0))</f>
        <v/>
      </c>
      <c r="BB341" s="38">
        <f>INDEX(Translations!$D:$ZZ, MATCH(333,Translations!$A:$A,0), MATCH('Project Information'!$C$4,Translations!$D$1:$ZZ$1,0))</f>
        <v/>
      </c>
      <c r="BC341" s="38">
        <f>INDEX(Translations!$D:$ZZ, MATCH(78,Translations!$A:$A,0), MATCH('Project Information'!$C$4,Translations!$D$1:$ZZ$1,0))</f>
        <v/>
      </c>
      <c r="BD341" s="38">
        <f>MAX(N(0)-1,0)</f>
        <v/>
      </c>
      <c r="BE341" s="38" t="n">
        <v>1</v>
      </c>
      <c r="BF341" s="38">
        <f>BD341*BE341</f>
        <v/>
      </c>
    </row>
    <row r="342" ht="15" customHeight="1" s="39">
      <c r="AZ342" s="38">
        <f>INDEX(Translations!$D:$ZZ, MATCH(310,Translations!$A:$A,0), MATCH('Project Information'!$C$4,Translations!$D$1:$ZZ$1,0))</f>
        <v/>
      </c>
      <c r="BA342" s="38">
        <f>INDEX(Translations!$D:$ZZ, MATCH(187,Translations!$A:$A,0), MATCH('Project Information'!$C$4,Translations!$D$1:$ZZ$1,0))</f>
        <v/>
      </c>
      <c r="BB342" s="38">
        <f>INDEX(Translations!$D:$ZZ, MATCH(333,Translations!$A:$A,0), MATCH('Project Information'!$C$4,Translations!$D$1:$ZZ$1,0))</f>
        <v/>
      </c>
      <c r="BC342" s="38">
        <f>INDEX(Translations!$D:$ZZ, MATCH(80,Translations!$A:$A,0), MATCH('Project Information'!$C$4,Translations!$D$1:$ZZ$1,0))</f>
        <v/>
      </c>
      <c r="BD342" s="38">
        <f>MAX(N(0)-1,0)</f>
        <v/>
      </c>
      <c r="BE342" s="38" t="n">
        <v>2</v>
      </c>
      <c r="BF342" s="38">
        <f>BD342*BE342</f>
        <v/>
      </c>
    </row>
    <row r="343" ht="15" customHeight="1" s="39">
      <c r="AZ343" s="38">
        <f>INDEX(Translations!$D:$ZZ, MATCH(310,Translations!$A:$A,0), MATCH('Project Information'!$C$4,Translations!$D$1:$ZZ$1,0))</f>
        <v/>
      </c>
      <c r="BA343" s="38">
        <f>INDEX(Translations!$D:$ZZ, MATCH(187,Translations!$A:$A,0), MATCH('Project Information'!$C$4,Translations!$D$1:$ZZ$1,0))</f>
        <v/>
      </c>
      <c r="BB343" s="38">
        <f>INDEX(Translations!$D:$ZZ, MATCH(334,Translations!$A:$A,0), MATCH('Project Information'!$C$4,Translations!$D$1:$ZZ$1,0))</f>
        <v/>
      </c>
      <c r="BC343" s="38">
        <f>INDEX(Translations!$D:$ZZ, MATCH(78,Translations!$A:$A,0), MATCH('Project Information'!$C$4,Translations!$D$1:$ZZ$1,0))</f>
        <v/>
      </c>
      <c r="BD343" s="38">
        <f>MAX(N(0)-1,0)</f>
        <v/>
      </c>
      <c r="BE343" s="38" t="n">
        <v>1</v>
      </c>
      <c r="BF343" s="38">
        <f>BD343*BE343</f>
        <v/>
      </c>
    </row>
    <row r="344" ht="15" customHeight="1" s="39">
      <c r="AZ344" s="38">
        <f>INDEX(Translations!$D:$ZZ, MATCH(310,Translations!$A:$A,0), MATCH('Project Information'!$C$4,Translations!$D$1:$ZZ$1,0))</f>
        <v/>
      </c>
      <c r="BA344" s="38">
        <f>INDEX(Translations!$D:$ZZ, MATCH(187,Translations!$A:$A,0), MATCH('Project Information'!$C$4,Translations!$D$1:$ZZ$1,0))</f>
        <v/>
      </c>
      <c r="BB344" s="38">
        <f>INDEX(Translations!$D:$ZZ, MATCH(334,Translations!$A:$A,0), MATCH('Project Information'!$C$4,Translations!$D$1:$ZZ$1,0))</f>
        <v/>
      </c>
      <c r="BC344" s="38">
        <f>INDEX(Translations!$D:$ZZ, MATCH(80,Translations!$A:$A,0), MATCH('Project Information'!$C$4,Translations!$D$1:$ZZ$1,0))</f>
        <v/>
      </c>
      <c r="BD344" s="38">
        <f>MAX(N(0)-1,0)</f>
        <v/>
      </c>
      <c r="BE344" s="38" t="n">
        <v>2</v>
      </c>
      <c r="BF344" s="38">
        <f>BD344*BE344</f>
        <v/>
      </c>
    </row>
    <row r="345" ht="15" customHeight="1" s="39">
      <c r="AZ345" s="38">
        <f>INDEX(Translations!$D:$ZZ, MATCH(310,Translations!$A:$A,0), MATCH('Project Information'!$C$4,Translations!$D$1:$ZZ$1,0))</f>
        <v/>
      </c>
      <c r="BA345" s="38">
        <f>INDEX(Translations!$D:$ZZ, MATCH(187,Translations!$A:$A,0), MATCH('Project Information'!$C$4,Translations!$D$1:$ZZ$1,0))</f>
        <v/>
      </c>
      <c r="BB345" s="38">
        <f>INDEX(Translations!$D:$ZZ, MATCH(335,Translations!$A:$A,0), MATCH('Project Information'!$C$4,Translations!$D$1:$ZZ$1,0))</f>
        <v/>
      </c>
      <c r="BC345" s="38">
        <f>INDEX(Translations!$D:$ZZ, MATCH(78,Translations!$A:$A,0), MATCH('Project Information'!$C$4,Translations!$D$1:$ZZ$1,0))</f>
        <v/>
      </c>
      <c r="BD345" s="38">
        <f>MAX(N(0)-1,0)</f>
        <v/>
      </c>
      <c r="BE345" s="38" t="n">
        <v>1</v>
      </c>
      <c r="BF345" s="38">
        <f>BD345*BE345</f>
        <v/>
      </c>
    </row>
    <row r="346" ht="15" customHeight="1" s="39">
      <c r="AZ346" s="38">
        <f>INDEX(Translations!$D:$ZZ, MATCH(310,Translations!$A:$A,0), MATCH('Project Information'!$C$4,Translations!$D$1:$ZZ$1,0))</f>
        <v/>
      </c>
      <c r="BA346" s="38">
        <f>INDEX(Translations!$D:$ZZ, MATCH(187,Translations!$A:$A,0), MATCH('Project Information'!$C$4,Translations!$D$1:$ZZ$1,0))</f>
        <v/>
      </c>
      <c r="BB346" s="38">
        <f>INDEX(Translations!$D:$ZZ, MATCH(335,Translations!$A:$A,0), MATCH('Project Information'!$C$4,Translations!$D$1:$ZZ$1,0))</f>
        <v/>
      </c>
      <c r="BC346" s="38">
        <f>INDEX(Translations!$D:$ZZ, MATCH(80,Translations!$A:$A,0), MATCH('Project Information'!$C$4,Translations!$D$1:$ZZ$1,0))</f>
        <v/>
      </c>
      <c r="BD346" s="38">
        <f>MAX(N(0)-1,0)</f>
        <v/>
      </c>
      <c r="BE346" s="38" t="n">
        <v>2</v>
      </c>
      <c r="BF346" s="38">
        <f>BD346*BE346</f>
        <v/>
      </c>
    </row>
    <row r="347" ht="15" customHeight="1" s="39">
      <c r="AZ347" s="38">
        <f>INDEX(Translations!$D:$ZZ, MATCH(310,Translations!$A:$A,0), MATCH('Project Information'!$C$4,Translations!$D$1:$ZZ$1,0))</f>
        <v/>
      </c>
      <c r="BA347" s="38">
        <f>INDEX(Translations!$D:$ZZ, MATCH(187,Translations!$A:$A,0), MATCH('Project Information'!$C$4,Translations!$D$1:$ZZ$1,0))</f>
        <v/>
      </c>
      <c r="BB347" s="38">
        <f>INDEX(Translations!$D:$ZZ, MATCH(336,Translations!$A:$A,0), MATCH('Project Information'!$C$4,Translations!$D$1:$ZZ$1,0))</f>
        <v/>
      </c>
      <c r="BC347" s="38">
        <f>INDEX(Translations!$D:$ZZ, MATCH(78,Translations!$A:$A,0), MATCH('Project Information'!$C$4,Translations!$D$1:$ZZ$1,0))</f>
        <v/>
      </c>
      <c r="BD347" s="38">
        <f>MAX(N(0)-1,0)</f>
        <v/>
      </c>
      <c r="BE347" s="38" t="n">
        <v>1</v>
      </c>
      <c r="BF347" s="38">
        <f>BD347*BE347</f>
        <v/>
      </c>
    </row>
    <row r="348" ht="15" customHeight="1" s="39">
      <c r="AZ348" s="38">
        <f>INDEX(Translations!$D:$ZZ, MATCH(310,Translations!$A:$A,0), MATCH('Project Information'!$C$4,Translations!$D$1:$ZZ$1,0))</f>
        <v/>
      </c>
      <c r="BA348" s="38">
        <f>INDEX(Translations!$D:$ZZ, MATCH(187,Translations!$A:$A,0), MATCH('Project Information'!$C$4,Translations!$D$1:$ZZ$1,0))</f>
        <v/>
      </c>
      <c r="BB348" s="38">
        <f>INDEX(Translations!$D:$ZZ, MATCH(336,Translations!$A:$A,0), MATCH('Project Information'!$C$4,Translations!$D$1:$ZZ$1,0))</f>
        <v/>
      </c>
      <c r="BC348" s="38">
        <f>INDEX(Translations!$D:$ZZ, MATCH(80,Translations!$A:$A,0), MATCH('Project Information'!$C$4,Translations!$D$1:$ZZ$1,0))</f>
        <v/>
      </c>
      <c r="BD348" s="38">
        <f>MAX(N(0)-1,0)</f>
        <v/>
      </c>
      <c r="BE348" s="38" t="n">
        <v>2</v>
      </c>
      <c r="BF348" s="38">
        <f>BD348*BE348</f>
        <v/>
      </c>
    </row>
    <row r="349" ht="15" customHeight="1" s="39">
      <c r="AZ349" s="38">
        <f>INDEX(Translations!$D:$ZZ, MATCH(310,Translations!$A:$A,0), MATCH('Project Information'!$C$4,Translations!$D$1:$ZZ$1,0))</f>
        <v/>
      </c>
      <c r="BA349" s="38">
        <f>INDEX(Translations!$D:$ZZ, MATCH(187,Translations!$A:$A,0), MATCH('Project Information'!$C$4,Translations!$D$1:$ZZ$1,0))</f>
        <v/>
      </c>
      <c r="BB349" s="38">
        <f>INDEX(Translations!$D:$ZZ, MATCH(337,Translations!$A:$A,0), MATCH('Project Information'!$C$4,Translations!$D$1:$ZZ$1,0))</f>
        <v/>
      </c>
      <c r="BC349" s="38">
        <f>INDEX(Translations!$D:$ZZ, MATCH(78,Translations!$A:$A,0), MATCH('Project Information'!$C$4,Translations!$D$1:$ZZ$1,0))</f>
        <v/>
      </c>
      <c r="BD349" s="38">
        <f>MAX(N(0)-1,0)</f>
        <v/>
      </c>
      <c r="BE349" s="38" t="n">
        <v>1</v>
      </c>
      <c r="BF349" s="38">
        <f>BD349*BE349</f>
        <v/>
      </c>
    </row>
    <row r="350" ht="15" customHeight="1" s="39">
      <c r="AZ350" s="38">
        <f>INDEX(Translations!$D:$ZZ, MATCH(310,Translations!$A:$A,0), MATCH('Project Information'!$C$4,Translations!$D$1:$ZZ$1,0))</f>
        <v/>
      </c>
      <c r="BA350" s="38">
        <f>INDEX(Translations!$D:$ZZ, MATCH(187,Translations!$A:$A,0), MATCH('Project Information'!$C$4,Translations!$D$1:$ZZ$1,0))</f>
        <v/>
      </c>
      <c r="BB350" s="38">
        <f>INDEX(Translations!$D:$ZZ, MATCH(337,Translations!$A:$A,0), MATCH('Project Information'!$C$4,Translations!$D$1:$ZZ$1,0))</f>
        <v/>
      </c>
      <c r="BC350" s="38">
        <f>INDEX(Translations!$D:$ZZ, MATCH(80,Translations!$A:$A,0), MATCH('Project Information'!$C$4,Translations!$D$1:$ZZ$1,0))</f>
        <v/>
      </c>
      <c r="BD350" s="38">
        <f>MAX(N(0)-1,0)</f>
        <v/>
      </c>
      <c r="BE350" s="38" t="n">
        <v>2</v>
      </c>
      <c r="BF350" s="38">
        <f>BD350*BE350</f>
        <v/>
      </c>
    </row>
    <row r="351" ht="15" customHeight="1" s="39">
      <c r="AZ351" s="38">
        <f>INDEX(Translations!$D:$ZZ, MATCH(310,Translations!$A:$A,0), MATCH('Project Information'!$C$4,Translations!$D$1:$ZZ$1,0))</f>
        <v/>
      </c>
      <c r="BA351" s="38">
        <f>INDEX(Translations!$D:$ZZ, MATCH(187,Translations!$A:$A,0), MATCH('Project Information'!$C$4,Translations!$D$1:$ZZ$1,0))</f>
        <v/>
      </c>
      <c r="BB351" s="38">
        <f>INDEX(Translations!$D:$ZZ, MATCH(338,Translations!$A:$A,0), MATCH('Project Information'!$C$4,Translations!$D$1:$ZZ$1,0))</f>
        <v/>
      </c>
      <c r="BC351" s="38">
        <f>INDEX(Translations!$D:$ZZ, MATCH(78,Translations!$A:$A,0), MATCH('Project Information'!$C$4,Translations!$D$1:$ZZ$1,0))</f>
        <v/>
      </c>
      <c r="BD351" s="38">
        <f>MAX(N(0)-1,0)</f>
        <v/>
      </c>
      <c r="BE351" s="38" t="n">
        <v>1</v>
      </c>
      <c r="BF351" s="38">
        <f>BD351*BE351</f>
        <v/>
      </c>
    </row>
    <row r="352" ht="15" customHeight="1" s="39">
      <c r="AZ352" s="38">
        <f>INDEX(Translations!$D:$ZZ, MATCH(310,Translations!$A:$A,0), MATCH('Project Information'!$C$4,Translations!$D$1:$ZZ$1,0))</f>
        <v/>
      </c>
      <c r="BA352" s="38">
        <f>INDEX(Translations!$D:$ZZ, MATCH(187,Translations!$A:$A,0), MATCH('Project Information'!$C$4,Translations!$D$1:$ZZ$1,0))</f>
        <v/>
      </c>
      <c r="BB352" s="38">
        <f>INDEX(Translations!$D:$ZZ, MATCH(338,Translations!$A:$A,0), MATCH('Project Information'!$C$4,Translations!$D$1:$ZZ$1,0))</f>
        <v/>
      </c>
      <c r="BC352" s="38">
        <f>INDEX(Translations!$D:$ZZ, MATCH(80,Translations!$A:$A,0), MATCH('Project Information'!$C$4,Translations!$D$1:$ZZ$1,0))</f>
        <v/>
      </c>
      <c r="BD352" s="38">
        <f>MAX(N(0)-1,0)</f>
        <v/>
      </c>
      <c r="BE352" s="38" t="n">
        <v>2</v>
      </c>
      <c r="BF352" s="38">
        <f>BD352*BE352</f>
        <v/>
      </c>
    </row>
    <row r="353" ht="15" customHeight="1" s="39">
      <c r="AZ353" s="38">
        <f>INDEX(Translations!$D:$ZZ, MATCH(310,Translations!$A:$A,0), MATCH('Project Information'!$C$4,Translations!$D$1:$ZZ$1,0))</f>
        <v/>
      </c>
      <c r="BA353" s="38">
        <f>INDEX(Translations!$D:$ZZ, MATCH(187,Translations!$A:$A,0), MATCH('Project Information'!$C$4,Translations!$D$1:$ZZ$1,0))</f>
        <v/>
      </c>
      <c r="BB353" s="38">
        <f>INDEX(Translations!$D:$ZZ, MATCH(339,Translations!$A:$A,0), MATCH('Project Information'!$C$4,Translations!$D$1:$ZZ$1,0))</f>
        <v/>
      </c>
      <c r="BC353" s="38">
        <f>INDEX(Translations!$D:$ZZ, MATCH(78,Translations!$A:$A,0), MATCH('Project Information'!$C$4,Translations!$D$1:$ZZ$1,0))</f>
        <v/>
      </c>
      <c r="BD353" s="38">
        <f>MAX(N(0)-1,0)</f>
        <v/>
      </c>
      <c r="BE353" s="38" t="n">
        <v>1</v>
      </c>
      <c r="BF353" s="38">
        <f>BD353*BE353</f>
        <v/>
      </c>
    </row>
    <row r="354" ht="15" customHeight="1" s="39">
      <c r="AZ354" s="38">
        <f>INDEX(Translations!$D:$ZZ, MATCH(310,Translations!$A:$A,0), MATCH('Project Information'!$C$4,Translations!$D$1:$ZZ$1,0))</f>
        <v/>
      </c>
      <c r="BA354" s="38">
        <f>INDEX(Translations!$D:$ZZ, MATCH(187,Translations!$A:$A,0), MATCH('Project Information'!$C$4,Translations!$D$1:$ZZ$1,0))</f>
        <v/>
      </c>
      <c r="BB354" s="38">
        <f>INDEX(Translations!$D:$ZZ, MATCH(339,Translations!$A:$A,0), MATCH('Project Information'!$C$4,Translations!$D$1:$ZZ$1,0))</f>
        <v/>
      </c>
      <c r="BC354" s="38">
        <f>INDEX(Translations!$D:$ZZ, MATCH(80,Translations!$A:$A,0), MATCH('Project Information'!$C$4,Translations!$D$1:$ZZ$1,0))</f>
        <v/>
      </c>
      <c r="BD354" s="38">
        <f>MAX(N(0)-1,0)</f>
        <v/>
      </c>
      <c r="BE354" s="38" t="n">
        <v>2</v>
      </c>
      <c r="BF354" s="38">
        <f>BD354*BE354</f>
        <v/>
      </c>
    </row>
    <row r="355" ht="15" customHeight="1" s="39">
      <c r="AZ355" s="38">
        <f>INDEX(Translations!$D:$ZZ, MATCH(310,Translations!$A:$A,0), MATCH('Project Information'!$C$4,Translations!$D$1:$ZZ$1,0))</f>
        <v/>
      </c>
      <c r="BA355" s="38">
        <f>INDEX(Translations!$D:$ZZ, MATCH(187,Translations!$A:$A,0), MATCH('Project Information'!$C$4,Translations!$D$1:$ZZ$1,0))</f>
        <v/>
      </c>
      <c r="BB355" s="38">
        <f>INDEX(Translations!$D:$ZZ, MATCH(340,Translations!$A:$A,0), MATCH('Project Information'!$C$4,Translations!$D$1:$ZZ$1,0))</f>
        <v/>
      </c>
      <c r="BC355" s="38">
        <f>INDEX(Translations!$D:$ZZ, MATCH(78,Translations!$A:$A,0), MATCH('Project Information'!$C$4,Translations!$D$1:$ZZ$1,0))</f>
        <v/>
      </c>
      <c r="BD355" s="38">
        <f>MAX(N(0)-1,0)</f>
        <v/>
      </c>
      <c r="BE355" s="38" t="n">
        <v>1</v>
      </c>
      <c r="BF355" s="38">
        <f>BD355*BE355</f>
        <v/>
      </c>
    </row>
    <row r="356" ht="15" customHeight="1" s="39">
      <c r="AZ356" s="38">
        <f>INDEX(Translations!$D:$ZZ, MATCH(310,Translations!$A:$A,0), MATCH('Project Information'!$C$4,Translations!$D$1:$ZZ$1,0))</f>
        <v/>
      </c>
      <c r="BA356" s="38">
        <f>INDEX(Translations!$D:$ZZ, MATCH(187,Translations!$A:$A,0), MATCH('Project Information'!$C$4,Translations!$D$1:$ZZ$1,0))</f>
        <v/>
      </c>
      <c r="BB356" s="38">
        <f>INDEX(Translations!$D:$ZZ, MATCH(340,Translations!$A:$A,0), MATCH('Project Information'!$C$4,Translations!$D$1:$ZZ$1,0))</f>
        <v/>
      </c>
      <c r="BC356" s="38">
        <f>INDEX(Translations!$D:$ZZ, MATCH(80,Translations!$A:$A,0), MATCH('Project Information'!$C$4,Translations!$D$1:$ZZ$1,0))</f>
        <v/>
      </c>
      <c r="BD356" s="38">
        <f>MAX(N(0)-1,0)</f>
        <v/>
      </c>
      <c r="BE356" s="38" t="n">
        <v>2</v>
      </c>
      <c r="BF356" s="38">
        <f>BD356*BE356</f>
        <v/>
      </c>
    </row>
    <row r="357" ht="15" customHeight="1" s="39">
      <c r="AZ357" s="38">
        <f>INDEX(Translations!$D:$ZZ, MATCH(310,Translations!$A:$A,0), MATCH('Project Information'!$C$4,Translations!$D$1:$ZZ$1,0))</f>
        <v/>
      </c>
      <c r="BA357" s="38">
        <f>INDEX(Translations!$D:$ZZ, MATCH(187,Translations!$A:$A,0), MATCH('Project Information'!$C$4,Translations!$D$1:$ZZ$1,0))</f>
        <v/>
      </c>
      <c r="BB357" s="38">
        <f>INDEX(Translations!$D:$ZZ, MATCH(341,Translations!$A:$A,0), MATCH('Project Information'!$C$4,Translations!$D$1:$ZZ$1,0))</f>
        <v/>
      </c>
      <c r="BC357" s="38">
        <f>INDEX(Translations!$D:$ZZ, MATCH(78,Translations!$A:$A,0), MATCH('Project Information'!$C$4,Translations!$D$1:$ZZ$1,0))</f>
        <v/>
      </c>
      <c r="BD357" s="38">
        <f>MAX(N(0)-1,0)</f>
        <v/>
      </c>
      <c r="BE357" s="38" t="n">
        <v>1</v>
      </c>
      <c r="BF357" s="38">
        <f>BD357*BE357</f>
        <v/>
      </c>
    </row>
    <row r="358" ht="15" customHeight="1" s="39">
      <c r="AZ358" s="38">
        <f>INDEX(Translations!$D:$ZZ, MATCH(310,Translations!$A:$A,0), MATCH('Project Information'!$C$4,Translations!$D$1:$ZZ$1,0))</f>
        <v/>
      </c>
      <c r="BA358" s="38">
        <f>INDEX(Translations!$D:$ZZ, MATCH(187,Translations!$A:$A,0), MATCH('Project Information'!$C$4,Translations!$D$1:$ZZ$1,0))</f>
        <v/>
      </c>
      <c r="BB358" s="38">
        <f>INDEX(Translations!$D:$ZZ, MATCH(341,Translations!$A:$A,0), MATCH('Project Information'!$C$4,Translations!$D$1:$ZZ$1,0))</f>
        <v/>
      </c>
      <c r="BC358" s="38">
        <f>INDEX(Translations!$D:$ZZ, MATCH(80,Translations!$A:$A,0), MATCH('Project Information'!$C$4,Translations!$D$1:$ZZ$1,0))</f>
        <v/>
      </c>
      <c r="BD358" s="38">
        <f>MAX(N(0)-1,0)</f>
        <v/>
      </c>
      <c r="BE358" s="38" t="n">
        <v>2</v>
      </c>
      <c r="BF358" s="38">
        <f>BD358*BE358</f>
        <v/>
      </c>
    </row>
    <row r="359" ht="15" customHeight="1" s="39">
      <c r="AZ359" s="38">
        <f>INDEX(Translations!$D:$ZZ, MATCH(310,Translations!$A:$A,0), MATCH('Project Information'!$C$4,Translations!$D$1:$ZZ$1,0))</f>
        <v/>
      </c>
      <c r="BA359" s="38">
        <f>INDEX(Translations!$D:$ZZ, MATCH(187,Translations!$A:$A,0), MATCH('Project Information'!$C$4,Translations!$D$1:$ZZ$1,0))</f>
        <v/>
      </c>
      <c r="BB359" s="38">
        <f>INDEX(Translations!$D:$ZZ, MATCH(342,Translations!$A:$A,0), MATCH('Project Information'!$C$4,Translations!$D$1:$ZZ$1,0))</f>
        <v/>
      </c>
      <c r="BC359" s="38">
        <f>INDEX(Translations!$D:$ZZ, MATCH(78,Translations!$A:$A,0), MATCH('Project Information'!$C$4,Translations!$D$1:$ZZ$1,0))</f>
        <v/>
      </c>
      <c r="BD359" s="38">
        <f>MAX(N(0)-1,0)</f>
        <v/>
      </c>
      <c r="BE359" s="38" t="n">
        <v>1</v>
      </c>
      <c r="BF359" s="38">
        <f>BD359*BE359</f>
        <v/>
      </c>
    </row>
    <row r="360" ht="15" customHeight="1" s="39">
      <c r="AZ360" s="38">
        <f>INDEX(Translations!$D:$ZZ, MATCH(310,Translations!$A:$A,0), MATCH('Project Information'!$C$4,Translations!$D$1:$ZZ$1,0))</f>
        <v/>
      </c>
      <c r="BA360" s="38">
        <f>INDEX(Translations!$D:$ZZ, MATCH(187,Translations!$A:$A,0), MATCH('Project Information'!$C$4,Translations!$D$1:$ZZ$1,0))</f>
        <v/>
      </c>
      <c r="BB360" s="38">
        <f>INDEX(Translations!$D:$ZZ, MATCH(342,Translations!$A:$A,0), MATCH('Project Information'!$C$4,Translations!$D$1:$ZZ$1,0))</f>
        <v/>
      </c>
      <c r="BC360" s="38">
        <f>INDEX(Translations!$D:$ZZ, MATCH(80,Translations!$A:$A,0), MATCH('Project Information'!$C$4,Translations!$D$1:$ZZ$1,0))</f>
        <v/>
      </c>
      <c r="BD360" s="38">
        <f>MAX(N(0)-1,0)</f>
        <v/>
      </c>
      <c r="BE360" s="38" t="n">
        <v>2</v>
      </c>
      <c r="BF360" s="38">
        <f>BD360*BE360</f>
        <v/>
      </c>
    </row>
    <row r="361" ht="15" customHeight="1" s="39">
      <c r="AZ361" s="38">
        <f>INDEX(Translations!$D:$ZZ, MATCH(310,Translations!$A:$A,0), MATCH('Project Information'!$C$4,Translations!$D$1:$ZZ$1,0))</f>
        <v/>
      </c>
      <c r="BA361" s="38">
        <f>INDEX(Translations!$D:$ZZ, MATCH(187,Translations!$A:$A,0), MATCH('Project Information'!$C$4,Translations!$D$1:$ZZ$1,0))</f>
        <v/>
      </c>
      <c r="BB361" s="38">
        <f>INDEX(Translations!$D:$ZZ, MATCH(343,Translations!$A:$A,0), MATCH('Project Information'!$C$4,Translations!$D$1:$ZZ$1,0))</f>
        <v/>
      </c>
      <c r="BC361" s="38">
        <f>INDEX(Translations!$D:$ZZ, MATCH(78,Translations!$A:$A,0), MATCH('Project Information'!$C$4,Translations!$D$1:$ZZ$1,0))</f>
        <v/>
      </c>
      <c r="BD361" s="38">
        <f>MAX(N(0)-1,0)</f>
        <v/>
      </c>
      <c r="BE361" s="38" t="n">
        <v>1</v>
      </c>
      <c r="BF361" s="38">
        <f>BD361*BE361</f>
        <v/>
      </c>
    </row>
    <row r="362" ht="15" customHeight="1" s="39">
      <c r="AZ362" s="38">
        <f>INDEX(Translations!$D:$ZZ, MATCH(310,Translations!$A:$A,0), MATCH('Project Information'!$C$4,Translations!$D$1:$ZZ$1,0))</f>
        <v/>
      </c>
      <c r="BA362" s="38">
        <f>INDEX(Translations!$D:$ZZ, MATCH(187,Translations!$A:$A,0), MATCH('Project Information'!$C$4,Translations!$D$1:$ZZ$1,0))</f>
        <v/>
      </c>
      <c r="BB362" s="38">
        <f>INDEX(Translations!$D:$ZZ, MATCH(343,Translations!$A:$A,0), MATCH('Project Information'!$C$4,Translations!$D$1:$ZZ$1,0))</f>
        <v/>
      </c>
      <c r="BC362" s="38">
        <f>INDEX(Translations!$D:$ZZ, MATCH(80,Translations!$A:$A,0), MATCH('Project Information'!$C$4,Translations!$D$1:$ZZ$1,0))</f>
        <v/>
      </c>
      <c r="BD362" s="38">
        <f>MAX(N(0)-1,0)</f>
        <v/>
      </c>
      <c r="BE362" s="38" t="n">
        <v>2</v>
      </c>
      <c r="BF362" s="38">
        <f>BD362*BE362</f>
        <v/>
      </c>
    </row>
    <row r="363" ht="15" customHeight="1" s="39">
      <c r="AZ363" s="38">
        <f>INDEX(Translations!$D:$ZZ, MATCH(310,Translations!$A:$A,0), MATCH('Project Information'!$C$4,Translations!$D$1:$ZZ$1,0))</f>
        <v/>
      </c>
      <c r="BA363" s="38">
        <f>INDEX(Translations!$D:$ZZ, MATCH(187,Translations!$A:$A,0), MATCH('Project Information'!$C$4,Translations!$D$1:$ZZ$1,0))</f>
        <v/>
      </c>
      <c r="BB363" s="38">
        <f>INDEX(Translations!$D:$ZZ, MATCH(344,Translations!$A:$A,0), MATCH('Project Information'!$C$4,Translations!$D$1:$ZZ$1,0))</f>
        <v/>
      </c>
      <c r="BC363" s="38">
        <f>INDEX(Translations!$D:$ZZ, MATCH(78,Translations!$A:$A,0), MATCH('Project Information'!$C$4,Translations!$D$1:$ZZ$1,0))</f>
        <v/>
      </c>
      <c r="BD363" s="38">
        <f>MAX(N(0)-1,0)</f>
        <v/>
      </c>
      <c r="BE363" s="38" t="n">
        <v>1</v>
      </c>
      <c r="BF363" s="38">
        <f>BD363*BE363</f>
        <v/>
      </c>
    </row>
    <row r="364" ht="15" customHeight="1" s="39">
      <c r="AZ364" s="38">
        <f>INDEX(Translations!$D:$ZZ, MATCH(310,Translations!$A:$A,0), MATCH('Project Information'!$C$4,Translations!$D$1:$ZZ$1,0))</f>
        <v/>
      </c>
      <c r="BA364" s="38">
        <f>INDEX(Translations!$D:$ZZ, MATCH(187,Translations!$A:$A,0), MATCH('Project Information'!$C$4,Translations!$D$1:$ZZ$1,0))</f>
        <v/>
      </c>
      <c r="BB364" s="38">
        <f>INDEX(Translations!$D:$ZZ, MATCH(344,Translations!$A:$A,0), MATCH('Project Information'!$C$4,Translations!$D$1:$ZZ$1,0))</f>
        <v/>
      </c>
      <c r="BC364" s="38">
        <f>INDEX(Translations!$D:$ZZ, MATCH(80,Translations!$A:$A,0), MATCH('Project Information'!$C$4,Translations!$D$1:$ZZ$1,0))</f>
        <v/>
      </c>
      <c r="BD364" s="38">
        <f>MAX(N(0)-1,0)</f>
        <v/>
      </c>
      <c r="BE364" s="38" t="n">
        <v>2</v>
      </c>
      <c r="BF364" s="38">
        <f>BD364*BE364</f>
        <v/>
      </c>
    </row>
    <row r="365" ht="15" customHeight="1" s="39">
      <c r="AZ365" s="38">
        <f>INDEX(Translations!$D:$ZZ, MATCH(310,Translations!$A:$A,0), MATCH('Project Information'!$C$4,Translations!$D$1:$ZZ$1,0))</f>
        <v/>
      </c>
      <c r="BA365" s="38">
        <f>INDEX(Translations!$D:$ZZ, MATCH(187,Translations!$A:$A,0), MATCH('Project Information'!$C$4,Translations!$D$1:$ZZ$1,0))</f>
        <v/>
      </c>
      <c r="BB365" s="38">
        <f>INDEX(Translations!$D:$ZZ, MATCH(345,Translations!$A:$A,0), MATCH('Project Information'!$C$4,Translations!$D$1:$ZZ$1,0))</f>
        <v/>
      </c>
      <c r="BC365" s="38">
        <f>INDEX(Translations!$D:$ZZ, MATCH(78,Translations!$A:$A,0), MATCH('Project Information'!$C$4,Translations!$D$1:$ZZ$1,0))</f>
        <v/>
      </c>
      <c r="BD365" s="38">
        <f>MAX(N(0)-1,0)</f>
        <v/>
      </c>
      <c r="BE365" s="38" t="n">
        <v>1</v>
      </c>
      <c r="BF365" s="38">
        <f>BD365*BE365</f>
        <v/>
      </c>
    </row>
    <row r="366" ht="15" customHeight="1" s="39">
      <c r="AZ366" s="38">
        <f>INDEX(Translations!$D:$ZZ, MATCH(310,Translations!$A:$A,0), MATCH('Project Information'!$C$4,Translations!$D$1:$ZZ$1,0))</f>
        <v/>
      </c>
      <c r="BA366" s="38">
        <f>INDEX(Translations!$D:$ZZ, MATCH(187,Translations!$A:$A,0), MATCH('Project Information'!$C$4,Translations!$D$1:$ZZ$1,0))</f>
        <v/>
      </c>
      <c r="BB366" s="38">
        <f>INDEX(Translations!$D:$ZZ, MATCH(345,Translations!$A:$A,0), MATCH('Project Information'!$C$4,Translations!$D$1:$ZZ$1,0))</f>
        <v/>
      </c>
      <c r="BC366" s="38">
        <f>INDEX(Translations!$D:$ZZ, MATCH(80,Translations!$A:$A,0), MATCH('Project Information'!$C$4,Translations!$D$1:$ZZ$1,0))</f>
        <v/>
      </c>
      <c r="BD366" s="38">
        <f>MAX(N(0)-1,0)</f>
        <v/>
      </c>
      <c r="BE366" s="38" t="n">
        <v>2</v>
      </c>
      <c r="BF366" s="38">
        <f>BD366*BE366</f>
        <v/>
      </c>
    </row>
    <row r="367" ht="15" customHeight="1" s="39">
      <c r="AZ367" s="38">
        <f>INDEX(Translations!$D:$ZZ, MATCH(310,Translations!$A:$A,0), MATCH('Project Information'!$C$4,Translations!$D$1:$ZZ$1,0))</f>
        <v/>
      </c>
      <c r="BA367" s="38">
        <f>INDEX(Translations!$D:$ZZ, MATCH(191,Translations!$A:$A,0), MATCH('Project Information'!$C$4,Translations!$D$1:$ZZ$1,0))</f>
        <v/>
      </c>
      <c r="BB367" s="38">
        <f>INDEX(Translations!$D:$ZZ, MATCH(332,Translations!$A:$A,0), MATCH('Project Information'!$C$4,Translations!$D$1:$ZZ$1,0))</f>
        <v/>
      </c>
      <c r="BC367" s="38">
        <f>INDEX(Translations!$D:$ZZ, MATCH(85,Translations!$A:$A,0), MATCH('Project Information'!$C$4,Translations!$D$1:$ZZ$1,0))</f>
        <v/>
      </c>
      <c r="BD367" s="38">
        <f>MAX(N(0),0)</f>
        <v/>
      </c>
      <c r="BE367" s="38" t="n">
        <v>5</v>
      </c>
      <c r="BF367" s="38">
        <f>BD367*BE367</f>
        <v/>
      </c>
    </row>
    <row r="368" ht="15" customHeight="1" s="39">
      <c r="AZ368" s="38">
        <f>INDEX(Translations!$D:$ZZ, MATCH(310,Translations!$A:$A,0), MATCH('Project Information'!$C$4,Translations!$D$1:$ZZ$1,0))</f>
        <v/>
      </c>
      <c r="BA368" s="38">
        <f>INDEX(Translations!$D:$ZZ, MATCH(191,Translations!$A:$A,0), MATCH('Project Information'!$C$4,Translations!$D$1:$ZZ$1,0))</f>
        <v/>
      </c>
      <c r="BB368" s="38">
        <f>INDEX(Translations!$D:$ZZ, MATCH(333,Translations!$A:$A,0), MATCH('Project Information'!$C$4,Translations!$D$1:$ZZ$1,0))</f>
        <v/>
      </c>
      <c r="BC368" s="38">
        <f>INDEX(Translations!$D:$ZZ, MATCH(85,Translations!$A:$A,0), MATCH('Project Information'!$C$4,Translations!$D$1:$ZZ$1,0))</f>
        <v/>
      </c>
      <c r="BD368" s="38">
        <f>MAX(N(0),0)</f>
        <v/>
      </c>
      <c r="BE368" s="38" t="n">
        <v>5</v>
      </c>
      <c r="BF368" s="38">
        <f>BD368*BE368</f>
        <v/>
      </c>
    </row>
    <row r="369" ht="15" customHeight="1" s="39">
      <c r="AZ369" s="38">
        <f>INDEX(Translations!$D:$ZZ, MATCH(310,Translations!$A:$A,0), MATCH('Project Information'!$C$4,Translations!$D$1:$ZZ$1,0))</f>
        <v/>
      </c>
      <c r="BA369" s="38">
        <f>INDEX(Translations!$D:$ZZ, MATCH(191,Translations!$A:$A,0), MATCH('Project Information'!$C$4,Translations!$D$1:$ZZ$1,0))</f>
        <v/>
      </c>
      <c r="BB369" s="38">
        <f>INDEX(Translations!$D:$ZZ, MATCH(334,Translations!$A:$A,0), MATCH('Project Information'!$C$4,Translations!$D$1:$ZZ$1,0))</f>
        <v/>
      </c>
      <c r="BC369" s="38">
        <f>INDEX(Translations!$D:$ZZ, MATCH(85,Translations!$A:$A,0), MATCH('Project Information'!$C$4,Translations!$D$1:$ZZ$1,0))</f>
        <v/>
      </c>
      <c r="BD369" s="38">
        <f>MAX(N(0),0)</f>
        <v/>
      </c>
      <c r="BE369" s="38" t="n">
        <v>5</v>
      </c>
      <c r="BF369" s="38">
        <f>BD369*BE369</f>
        <v/>
      </c>
    </row>
    <row r="370" ht="15" customHeight="1" s="39">
      <c r="AZ370" s="38">
        <f>INDEX(Translations!$D:$ZZ, MATCH(310,Translations!$A:$A,0), MATCH('Project Information'!$C$4,Translations!$D$1:$ZZ$1,0))</f>
        <v/>
      </c>
      <c r="BA370" s="38">
        <f>INDEX(Translations!$D:$ZZ, MATCH(191,Translations!$A:$A,0), MATCH('Project Information'!$C$4,Translations!$D$1:$ZZ$1,0))</f>
        <v/>
      </c>
      <c r="BB370" s="38">
        <f>INDEX(Translations!$D:$ZZ, MATCH(335,Translations!$A:$A,0), MATCH('Project Information'!$C$4,Translations!$D$1:$ZZ$1,0))</f>
        <v/>
      </c>
      <c r="BC370" s="38">
        <f>INDEX(Translations!$D:$ZZ, MATCH(85,Translations!$A:$A,0), MATCH('Project Information'!$C$4,Translations!$D$1:$ZZ$1,0))</f>
        <v/>
      </c>
      <c r="BD370" s="38">
        <f>MAX(N(0),0)</f>
        <v/>
      </c>
      <c r="BE370" s="38" t="n">
        <v>5</v>
      </c>
      <c r="BF370" s="38">
        <f>BD370*BE370</f>
        <v/>
      </c>
    </row>
    <row r="371" ht="15" customHeight="1" s="39">
      <c r="AZ371" s="38">
        <f>INDEX(Translations!$D:$ZZ, MATCH(310,Translations!$A:$A,0), MATCH('Project Information'!$C$4,Translations!$D$1:$ZZ$1,0))</f>
        <v/>
      </c>
      <c r="BA371" s="38">
        <f>INDEX(Translations!$D:$ZZ, MATCH(191,Translations!$A:$A,0), MATCH('Project Information'!$C$4,Translations!$D$1:$ZZ$1,0))</f>
        <v/>
      </c>
      <c r="BB371" s="38">
        <f>INDEX(Translations!$D:$ZZ, MATCH(336,Translations!$A:$A,0), MATCH('Project Information'!$C$4,Translations!$D$1:$ZZ$1,0))</f>
        <v/>
      </c>
      <c r="BC371" s="38">
        <f>INDEX(Translations!$D:$ZZ, MATCH(85,Translations!$A:$A,0), MATCH('Project Information'!$C$4,Translations!$D$1:$ZZ$1,0))</f>
        <v/>
      </c>
      <c r="BD371" s="38">
        <f>MAX(N(0),0)</f>
        <v/>
      </c>
      <c r="BE371" s="38" t="n">
        <v>5</v>
      </c>
      <c r="BF371" s="38">
        <f>BD371*BE371</f>
        <v/>
      </c>
    </row>
    <row r="372" ht="15" customHeight="1" s="39">
      <c r="AZ372" s="38">
        <f>INDEX(Translations!$D:$ZZ, MATCH(310,Translations!$A:$A,0), MATCH('Project Information'!$C$4,Translations!$D$1:$ZZ$1,0))</f>
        <v/>
      </c>
      <c r="BA372" s="38">
        <f>INDEX(Translations!$D:$ZZ, MATCH(191,Translations!$A:$A,0), MATCH('Project Information'!$C$4,Translations!$D$1:$ZZ$1,0))</f>
        <v/>
      </c>
      <c r="BB372" s="38">
        <f>INDEX(Translations!$D:$ZZ, MATCH(337,Translations!$A:$A,0), MATCH('Project Information'!$C$4,Translations!$D$1:$ZZ$1,0))</f>
        <v/>
      </c>
      <c r="BC372" s="38">
        <f>INDEX(Translations!$D:$ZZ, MATCH(85,Translations!$A:$A,0), MATCH('Project Information'!$C$4,Translations!$D$1:$ZZ$1,0))</f>
        <v/>
      </c>
      <c r="BD372" s="38">
        <f>MAX(N(0),0)</f>
        <v/>
      </c>
      <c r="BE372" s="38" t="n">
        <v>5</v>
      </c>
      <c r="BF372" s="38">
        <f>BD372*BE372</f>
        <v/>
      </c>
    </row>
    <row r="373" ht="15" customHeight="1" s="39">
      <c r="AZ373" s="38">
        <f>INDEX(Translations!$D:$ZZ, MATCH(310,Translations!$A:$A,0), MATCH('Project Information'!$C$4,Translations!$D$1:$ZZ$1,0))</f>
        <v/>
      </c>
      <c r="BA373" s="38">
        <f>INDEX(Translations!$D:$ZZ, MATCH(191,Translations!$A:$A,0), MATCH('Project Information'!$C$4,Translations!$D$1:$ZZ$1,0))</f>
        <v/>
      </c>
      <c r="BB373" s="38">
        <f>INDEX(Translations!$D:$ZZ, MATCH(338,Translations!$A:$A,0), MATCH('Project Information'!$C$4,Translations!$D$1:$ZZ$1,0))</f>
        <v/>
      </c>
      <c r="BC373" s="38">
        <f>INDEX(Translations!$D:$ZZ, MATCH(85,Translations!$A:$A,0), MATCH('Project Information'!$C$4,Translations!$D$1:$ZZ$1,0))</f>
        <v/>
      </c>
      <c r="BD373" s="38">
        <f>MAX(N(0),0)</f>
        <v/>
      </c>
      <c r="BE373" s="38" t="n">
        <v>5</v>
      </c>
      <c r="BF373" s="38">
        <f>BD373*BE373</f>
        <v/>
      </c>
    </row>
    <row r="374" ht="15" customHeight="1" s="39">
      <c r="AZ374" s="38">
        <f>INDEX(Translations!$D:$ZZ, MATCH(310,Translations!$A:$A,0), MATCH('Project Information'!$C$4,Translations!$D$1:$ZZ$1,0))</f>
        <v/>
      </c>
      <c r="BA374" s="38">
        <f>INDEX(Translations!$D:$ZZ, MATCH(191,Translations!$A:$A,0), MATCH('Project Information'!$C$4,Translations!$D$1:$ZZ$1,0))</f>
        <v/>
      </c>
      <c r="BB374" s="38">
        <f>INDEX(Translations!$D:$ZZ, MATCH(339,Translations!$A:$A,0), MATCH('Project Information'!$C$4,Translations!$D$1:$ZZ$1,0))</f>
        <v/>
      </c>
      <c r="BC374" s="38">
        <f>INDEX(Translations!$D:$ZZ, MATCH(85,Translations!$A:$A,0), MATCH('Project Information'!$C$4,Translations!$D$1:$ZZ$1,0))</f>
        <v/>
      </c>
      <c r="BD374" s="38">
        <f>MAX(N(0),0)</f>
        <v/>
      </c>
      <c r="BE374" s="38" t="n">
        <v>5</v>
      </c>
      <c r="BF374" s="38">
        <f>BD374*BE374</f>
        <v/>
      </c>
    </row>
    <row r="375" ht="15" customHeight="1" s="39">
      <c r="AZ375" s="38">
        <f>INDEX(Translations!$D:$ZZ, MATCH(310,Translations!$A:$A,0), MATCH('Project Information'!$C$4,Translations!$D$1:$ZZ$1,0))</f>
        <v/>
      </c>
      <c r="BA375" s="38">
        <f>INDEX(Translations!$D:$ZZ, MATCH(191,Translations!$A:$A,0), MATCH('Project Information'!$C$4,Translations!$D$1:$ZZ$1,0))</f>
        <v/>
      </c>
      <c r="BB375" s="38">
        <f>INDEX(Translations!$D:$ZZ, MATCH(340,Translations!$A:$A,0), MATCH('Project Information'!$C$4,Translations!$D$1:$ZZ$1,0))</f>
        <v/>
      </c>
      <c r="BC375" s="38">
        <f>INDEX(Translations!$D:$ZZ, MATCH(85,Translations!$A:$A,0), MATCH('Project Information'!$C$4,Translations!$D$1:$ZZ$1,0))</f>
        <v/>
      </c>
      <c r="BD375" s="38">
        <f>MAX(N(0),0)</f>
        <v/>
      </c>
      <c r="BE375" s="38" t="n">
        <v>5</v>
      </c>
      <c r="BF375" s="38">
        <f>BD375*BE375</f>
        <v/>
      </c>
    </row>
    <row r="376" ht="15" customHeight="1" s="39">
      <c r="AZ376" s="38">
        <f>INDEX(Translations!$D:$ZZ, MATCH(310,Translations!$A:$A,0), MATCH('Project Information'!$C$4,Translations!$D$1:$ZZ$1,0))</f>
        <v/>
      </c>
      <c r="BA376" s="38">
        <f>INDEX(Translations!$D:$ZZ, MATCH(191,Translations!$A:$A,0), MATCH('Project Information'!$C$4,Translations!$D$1:$ZZ$1,0))</f>
        <v/>
      </c>
      <c r="BB376" s="38">
        <f>INDEX(Translations!$D:$ZZ, MATCH(341,Translations!$A:$A,0), MATCH('Project Information'!$C$4,Translations!$D$1:$ZZ$1,0))</f>
        <v/>
      </c>
      <c r="BC376" s="38">
        <f>INDEX(Translations!$D:$ZZ, MATCH(85,Translations!$A:$A,0), MATCH('Project Information'!$C$4,Translations!$D$1:$ZZ$1,0))</f>
        <v/>
      </c>
      <c r="BD376" s="38">
        <f>MAX(N(0),0)</f>
        <v/>
      </c>
      <c r="BE376" s="38" t="n">
        <v>5</v>
      </c>
      <c r="BF376" s="38">
        <f>BD376*BE376</f>
        <v/>
      </c>
    </row>
    <row r="377" ht="15" customHeight="1" s="39">
      <c r="AZ377" s="38">
        <f>INDEX(Translations!$D:$ZZ, MATCH(310,Translations!$A:$A,0), MATCH('Project Information'!$C$4,Translations!$D$1:$ZZ$1,0))</f>
        <v/>
      </c>
      <c r="BA377" s="38">
        <f>INDEX(Translations!$D:$ZZ, MATCH(191,Translations!$A:$A,0), MATCH('Project Information'!$C$4,Translations!$D$1:$ZZ$1,0))</f>
        <v/>
      </c>
      <c r="BB377" s="38">
        <f>INDEX(Translations!$D:$ZZ, MATCH(342,Translations!$A:$A,0), MATCH('Project Information'!$C$4,Translations!$D$1:$ZZ$1,0))</f>
        <v/>
      </c>
      <c r="BC377" s="38">
        <f>INDEX(Translations!$D:$ZZ, MATCH(85,Translations!$A:$A,0), MATCH('Project Information'!$C$4,Translations!$D$1:$ZZ$1,0))</f>
        <v/>
      </c>
      <c r="BD377" s="38">
        <f>MAX(N(0),0)</f>
        <v/>
      </c>
      <c r="BE377" s="38" t="n">
        <v>5</v>
      </c>
      <c r="BF377" s="38">
        <f>BD377*BE377</f>
        <v/>
      </c>
    </row>
    <row r="378" ht="15" customHeight="1" s="39">
      <c r="AZ378" s="38">
        <f>INDEX(Translations!$D:$ZZ, MATCH(310,Translations!$A:$A,0), MATCH('Project Information'!$C$4,Translations!$D$1:$ZZ$1,0))</f>
        <v/>
      </c>
      <c r="BA378" s="38">
        <f>INDEX(Translations!$D:$ZZ, MATCH(191,Translations!$A:$A,0), MATCH('Project Information'!$C$4,Translations!$D$1:$ZZ$1,0))</f>
        <v/>
      </c>
      <c r="BB378" s="38">
        <f>INDEX(Translations!$D:$ZZ, MATCH(343,Translations!$A:$A,0), MATCH('Project Information'!$C$4,Translations!$D$1:$ZZ$1,0))</f>
        <v/>
      </c>
      <c r="BC378" s="38">
        <f>INDEX(Translations!$D:$ZZ, MATCH(85,Translations!$A:$A,0), MATCH('Project Information'!$C$4,Translations!$D$1:$ZZ$1,0))</f>
        <v/>
      </c>
      <c r="BD378" s="38">
        <f>MAX(N(0),0)</f>
        <v/>
      </c>
      <c r="BE378" s="38" t="n">
        <v>5</v>
      </c>
      <c r="BF378" s="38">
        <f>BD378*BE378</f>
        <v/>
      </c>
    </row>
    <row r="379" ht="15" customHeight="1" s="39">
      <c r="AZ379" s="38">
        <f>INDEX(Translations!$D:$ZZ, MATCH(310,Translations!$A:$A,0), MATCH('Project Information'!$C$4,Translations!$D$1:$ZZ$1,0))</f>
        <v/>
      </c>
      <c r="BA379" s="38">
        <f>INDEX(Translations!$D:$ZZ, MATCH(191,Translations!$A:$A,0), MATCH('Project Information'!$C$4,Translations!$D$1:$ZZ$1,0))</f>
        <v/>
      </c>
      <c r="BB379" s="38">
        <f>INDEX(Translations!$D:$ZZ, MATCH(344,Translations!$A:$A,0), MATCH('Project Information'!$C$4,Translations!$D$1:$ZZ$1,0))</f>
        <v/>
      </c>
      <c r="BC379" s="38">
        <f>INDEX(Translations!$D:$ZZ, MATCH(85,Translations!$A:$A,0), MATCH('Project Information'!$C$4,Translations!$D$1:$ZZ$1,0))</f>
        <v/>
      </c>
      <c r="BD379" s="38">
        <f>MAX(N(0),0)</f>
        <v/>
      </c>
      <c r="BE379" s="38" t="n">
        <v>5</v>
      </c>
      <c r="BF379" s="38">
        <f>BD379*BE379</f>
        <v/>
      </c>
    </row>
    <row r="380" ht="15" customHeight="1" s="39">
      <c r="AZ380" s="38">
        <f>INDEX(Translations!$D:$ZZ, MATCH(310,Translations!$A:$A,0), MATCH('Project Information'!$C$4,Translations!$D$1:$ZZ$1,0))</f>
        <v/>
      </c>
      <c r="BA380" s="38">
        <f>INDEX(Translations!$D:$ZZ, MATCH(191,Translations!$A:$A,0), MATCH('Project Information'!$C$4,Translations!$D$1:$ZZ$1,0))</f>
        <v/>
      </c>
      <c r="BB380" s="38">
        <f>INDEX(Translations!$D:$ZZ, MATCH(345,Translations!$A:$A,0), MATCH('Project Information'!$C$4,Translations!$D$1:$ZZ$1,0))</f>
        <v/>
      </c>
      <c r="BC380" s="38">
        <f>INDEX(Translations!$D:$ZZ, MATCH(85,Translations!$A:$A,0), MATCH('Project Information'!$C$4,Translations!$D$1:$ZZ$1,0))</f>
        <v/>
      </c>
      <c r="BD380" s="38">
        <f>MAX(N(0),0)</f>
        <v/>
      </c>
      <c r="BE380" s="38" t="n">
        <v>5</v>
      </c>
      <c r="BF380" s="38">
        <f>BD380*BE380</f>
        <v/>
      </c>
    </row>
    <row r="381" ht="15" customHeight="1" s="39">
      <c r="AZ381" s="38">
        <f>INDEX(Translations!$D:$ZZ, MATCH(310,Translations!$A:$A,0), MATCH('Project Information'!$C$4,Translations!$D$1:$ZZ$1,0))</f>
        <v/>
      </c>
      <c r="BA381" s="38">
        <f>INDEX(Translations!$D:$ZZ, MATCH(197,Translations!$A:$A,0), MATCH('Project Information'!$C$4,Translations!$D$1:$ZZ$1,0))</f>
        <v/>
      </c>
      <c r="BB381" s="38">
        <f>INDEX(Translations!$D:$ZZ, MATCH(346,Translations!$A:$A,0), MATCH('Project Information'!$C$4,Translations!$D$1:$ZZ$1,0))</f>
        <v/>
      </c>
      <c r="BC381" s="38">
        <f>INDEX(Translations!$D:$ZZ, MATCH(83,Translations!$A:$A,0), MATCH('Project Information'!$C$4,Translations!$D$1:$ZZ$1,0))</f>
        <v/>
      </c>
      <c r="BD381" s="38">
        <f>IF(OR(TRIM("")="Evet",TRIM("")="Yes"),1,0)</f>
        <v/>
      </c>
      <c r="BE381" s="38" t="n">
        <v>5</v>
      </c>
      <c r="BF381" s="38">
        <f>BD381*BE381</f>
        <v/>
      </c>
    </row>
    <row r="382" ht="15" customHeight="1" s="39">
      <c r="AZ382" s="38">
        <f>INDEX(Translations!$D:$ZZ, MATCH(310,Translations!$A:$A,0), MATCH('Project Information'!$C$4,Translations!$D$1:$ZZ$1,0))</f>
        <v/>
      </c>
      <c r="BA382" s="38">
        <f>INDEX(Translations!$D:$ZZ, MATCH(193,Translations!$A:$A,0), MATCH('Project Information'!$C$4,Translations!$D$1:$ZZ$1,0))</f>
        <v/>
      </c>
      <c r="BB382" s="38">
        <f>INDEX(Translations!$D:$ZZ, MATCH(332,Translations!$A:$A,0), MATCH('Project Information'!$C$4,Translations!$D$1:$ZZ$1,0))</f>
        <v/>
      </c>
      <c r="BC382" s="38">
        <f>INDEX(Translations!$D:$ZZ, MATCH(76,Translations!$A:$A,0), MATCH('Project Information'!$C$4,Translations!$D$1:$ZZ$1,0))</f>
        <v/>
      </c>
      <c r="BD382" s="38">
        <f>IF(OR(TRIM("")="Evet",TRIM("")="Yes"),1,0)</f>
        <v/>
      </c>
      <c r="BE382" s="38" t="n">
        <v>2</v>
      </c>
      <c r="BF382" s="38">
        <f>BD382*BE382</f>
        <v/>
      </c>
    </row>
    <row r="383" ht="15" customHeight="1" s="39">
      <c r="AZ383" s="38">
        <f>INDEX(Translations!$D:$ZZ, MATCH(310,Translations!$A:$A,0), MATCH('Project Information'!$C$4,Translations!$D$1:$ZZ$1,0))</f>
        <v/>
      </c>
      <c r="BA383" s="38">
        <f>INDEX(Translations!$D:$ZZ, MATCH(193,Translations!$A:$A,0), MATCH('Project Information'!$C$4,Translations!$D$1:$ZZ$1,0))</f>
        <v/>
      </c>
      <c r="BB383" s="38">
        <f>INDEX(Translations!$D:$ZZ, MATCH(333,Translations!$A:$A,0), MATCH('Project Information'!$C$4,Translations!$D$1:$ZZ$1,0))</f>
        <v/>
      </c>
      <c r="BC383" s="38">
        <f>INDEX(Translations!$D:$ZZ, MATCH(76,Translations!$A:$A,0), MATCH('Project Information'!$C$4,Translations!$D$1:$ZZ$1,0))</f>
        <v/>
      </c>
      <c r="BD383" s="38">
        <f>IF(OR(TRIM("")="Evet",TRIM("")="Yes"),1,0)</f>
        <v/>
      </c>
      <c r="BE383" s="38" t="n">
        <v>2</v>
      </c>
      <c r="BF383" s="38">
        <f>BD383*BE383</f>
        <v/>
      </c>
    </row>
    <row r="384" ht="15" customHeight="1" s="39">
      <c r="AZ384" s="38">
        <f>INDEX(Translations!$D:$ZZ, MATCH(310,Translations!$A:$A,0), MATCH('Project Information'!$C$4,Translations!$D$1:$ZZ$1,0))</f>
        <v/>
      </c>
      <c r="BA384" s="38">
        <f>INDEX(Translations!$D:$ZZ, MATCH(193,Translations!$A:$A,0), MATCH('Project Information'!$C$4,Translations!$D$1:$ZZ$1,0))</f>
        <v/>
      </c>
      <c r="BB384" s="38">
        <f>INDEX(Translations!$D:$ZZ, MATCH(334,Translations!$A:$A,0), MATCH('Project Information'!$C$4,Translations!$D$1:$ZZ$1,0))</f>
        <v/>
      </c>
      <c r="BC384" s="38">
        <f>INDEX(Translations!$D:$ZZ, MATCH(76,Translations!$A:$A,0), MATCH('Project Information'!$C$4,Translations!$D$1:$ZZ$1,0))</f>
        <v/>
      </c>
      <c r="BD384" s="38">
        <f>IF(OR(TRIM("")="Evet",TRIM("")="Yes"),1,0)</f>
        <v/>
      </c>
      <c r="BE384" s="38" t="n">
        <v>2</v>
      </c>
      <c r="BF384" s="38">
        <f>BD384*BE384</f>
        <v/>
      </c>
    </row>
    <row r="385" ht="15" customHeight="1" s="39">
      <c r="AZ385" s="38">
        <f>INDEX(Translations!$D:$ZZ, MATCH(310,Translations!$A:$A,0), MATCH('Project Information'!$C$4,Translations!$D$1:$ZZ$1,0))</f>
        <v/>
      </c>
      <c r="BA385" s="38">
        <f>INDEX(Translations!$D:$ZZ, MATCH(193,Translations!$A:$A,0), MATCH('Project Information'!$C$4,Translations!$D$1:$ZZ$1,0))</f>
        <v/>
      </c>
      <c r="BB385" s="38">
        <f>INDEX(Translations!$D:$ZZ, MATCH(335,Translations!$A:$A,0), MATCH('Project Information'!$C$4,Translations!$D$1:$ZZ$1,0))</f>
        <v/>
      </c>
      <c r="BC385" s="38">
        <f>INDEX(Translations!$D:$ZZ, MATCH(76,Translations!$A:$A,0), MATCH('Project Information'!$C$4,Translations!$D$1:$ZZ$1,0))</f>
        <v/>
      </c>
      <c r="BD385" s="38">
        <f>IF(OR(TRIM("")="Evet",TRIM("")="Yes"),1,0)</f>
        <v/>
      </c>
      <c r="BE385" s="38" t="n">
        <v>2</v>
      </c>
      <c r="BF385" s="38">
        <f>BD385*BE385</f>
        <v/>
      </c>
    </row>
    <row r="386" ht="15" customHeight="1" s="39">
      <c r="AZ386" s="38">
        <f>INDEX(Translations!$D:$ZZ, MATCH(310,Translations!$A:$A,0), MATCH('Project Information'!$C$4,Translations!$D$1:$ZZ$1,0))</f>
        <v/>
      </c>
      <c r="BA386" s="38">
        <f>INDEX(Translations!$D:$ZZ, MATCH(193,Translations!$A:$A,0), MATCH('Project Information'!$C$4,Translations!$D$1:$ZZ$1,0))</f>
        <v/>
      </c>
      <c r="BB386" s="38">
        <f>INDEX(Translations!$D:$ZZ, MATCH(336,Translations!$A:$A,0), MATCH('Project Information'!$C$4,Translations!$D$1:$ZZ$1,0))</f>
        <v/>
      </c>
      <c r="BC386" s="38">
        <f>INDEX(Translations!$D:$ZZ, MATCH(76,Translations!$A:$A,0), MATCH('Project Information'!$C$4,Translations!$D$1:$ZZ$1,0))</f>
        <v/>
      </c>
      <c r="BD386" s="38">
        <f>IF(OR(TRIM("")="Evet",TRIM("")="Yes"),1,0)</f>
        <v/>
      </c>
      <c r="BE386" s="38" t="n">
        <v>2</v>
      </c>
      <c r="BF386" s="38">
        <f>BD386*BE386</f>
        <v/>
      </c>
    </row>
    <row r="387" ht="15" customHeight="1" s="39">
      <c r="AZ387" s="38">
        <f>INDEX(Translations!$D:$ZZ, MATCH(310,Translations!$A:$A,0), MATCH('Project Information'!$C$4,Translations!$D$1:$ZZ$1,0))</f>
        <v/>
      </c>
      <c r="BA387" s="38">
        <f>INDEX(Translations!$D:$ZZ, MATCH(193,Translations!$A:$A,0), MATCH('Project Information'!$C$4,Translations!$D$1:$ZZ$1,0))</f>
        <v/>
      </c>
      <c r="BB387" s="38">
        <f>INDEX(Translations!$D:$ZZ, MATCH(337,Translations!$A:$A,0), MATCH('Project Information'!$C$4,Translations!$D$1:$ZZ$1,0))</f>
        <v/>
      </c>
      <c r="BC387" s="38">
        <f>INDEX(Translations!$D:$ZZ, MATCH(76,Translations!$A:$A,0), MATCH('Project Information'!$C$4,Translations!$D$1:$ZZ$1,0))</f>
        <v/>
      </c>
      <c r="BD387" s="38">
        <f>IF(OR(TRIM("")="Evet",TRIM("")="Yes"),1,0)</f>
        <v/>
      </c>
      <c r="BE387" s="38" t="n">
        <v>2</v>
      </c>
      <c r="BF387" s="38">
        <f>BD387*BE387</f>
        <v/>
      </c>
    </row>
    <row r="388" ht="15" customHeight="1" s="39">
      <c r="AZ388" s="38">
        <f>INDEX(Translations!$D:$ZZ, MATCH(310,Translations!$A:$A,0), MATCH('Project Information'!$C$4,Translations!$D$1:$ZZ$1,0))</f>
        <v/>
      </c>
      <c r="BA388" s="38">
        <f>INDEX(Translations!$D:$ZZ, MATCH(193,Translations!$A:$A,0), MATCH('Project Information'!$C$4,Translations!$D$1:$ZZ$1,0))</f>
        <v/>
      </c>
      <c r="BB388" s="38">
        <f>INDEX(Translations!$D:$ZZ, MATCH(338,Translations!$A:$A,0), MATCH('Project Information'!$C$4,Translations!$D$1:$ZZ$1,0))</f>
        <v/>
      </c>
      <c r="BC388" s="38">
        <f>INDEX(Translations!$D:$ZZ, MATCH(76,Translations!$A:$A,0), MATCH('Project Information'!$C$4,Translations!$D$1:$ZZ$1,0))</f>
        <v/>
      </c>
      <c r="BD388" s="38">
        <f>IF(OR(TRIM("")="Evet",TRIM("")="Yes"),1,0)</f>
        <v/>
      </c>
      <c r="BE388" s="38" t="n">
        <v>2</v>
      </c>
      <c r="BF388" s="38">
        <f>BD388*BE388</f>
        <v/>
      </c>
    </row>
    <row r="389" ht="15" customHeight="1" s="39">
      <c r="AZ389" s="38">
        <f>INDEX(Translations!$D:$ZZ, MATCH(310,Translations!$A:$A,0), MATCH('Project Information'!$C$4,Translations!$D$1:$ZZ$1,0))</f>
        <v/>
      </c>
      <c r="BA389" s="38">
        <f>INDEX(Translations!$D:$ZZ, MATCH(193,Translations!$A:$A,0), MATCH('Project Information'!$C$4,Translations!$D$1:$ZZ$1,0))</f>
        <v/>
      </c>
      <c r="BB389" s="38">
        <f>INDEX(Translations!$D:$ZZ, MATCH(339,Translations!$A:$A,0), MATCH('Project Information'!$C$4,Translations!$D$1:$ZZ$1,0))</f>
        <v/>
      </c>
      <c r="BC389" s="38">
        <f>INDEX(Translations!$D:$ZZ, MATCH(76,Translations!$A:$A,0), MATCH('Project Information'!$C$4,Translations!$D$1:$ZZ$1,0))</f>
        <v/>
      </c>
      <c r="BD389" s="38">
        <f>IF(OR(TRIM("")="Evet",TRIM("")="Yes"),1,0)</f>
        <v/>
      </c>
      <c r="BE389" s="38" t="n">
        <v>2</v>
      </c>
      <c r="BF389" s="38">
        <f>BD389*BE389</f>
        <v/>
      </c>
    </row>
    <row r="390" ht="15" customHeight="1" s="39">
      <c r="AZ390" s="38">
        <f>INDEX(Translations!$D:$ZZ, MATCH(310,Translations!$A:$A,0), MATCH('Project Information'!$C$4,Translations!$D$1:$ZZ$1,0))</f>
        <v/>
      </c>
      <c r="BA390" s="38">
        <f>INDEX(Translations!$D:$ZZ, MATCH(193,Translations!$A:$A,0), MATCH('Project Information'!$C$4,Translations!$D$1:$ZZ$1,0))</f>
        <v/>
      </c>
      <c r="BB390" s="38">
        <f>INDEX(Translations!$D:$ZZ, MATCH(340,Translations!$A:$A,0), MATCH('Project Information'!$C$4,Translations!$D$1:$ZZ$1,0))</f>
        <v/>
      </c>
      <c r="BC390" s="38">
        <f>INDEX(Translations!$D:$ZZ, MATCH(76,Translations!$A:$A,0), MATCH('Project Information'!$C$4,Translations!$D$1:$ZZ$1,0))</f>
        <v/>
      </c>
      <c r="BD390" s="38">
        <f>IF(OR(TRIM("")="Evet",TRIM("")="Yes"),1,0)</f>
        <v/>
      </c>
      <c r="BE390" s="38" t="n">
        <v>2</v>
      </c>
      <c r="BF390" s="38">
        <f>BD390*BE390</f>
        <v/>
      </c>
    </row>
    <row r="391" ht="15" customHeight="1" s="39">
      <c r="AZ391" s="38">
        <f>INDEX(Translations!$D:$ZZ, MATCH(310,Translations!$A:$A,0), MATCH('Project Information'!$C$4,Translations!$D$1:$ZZ$1,0))</f>
        <v/>
      </c>
      <c r="BA391" s="38">
        <f>INDEX(Translations!$D:$ZZ, MATCH(193,Translations!$A:$A,0), MATCH('Project Information'!$C$4,Translations!$D$1:$ZZ$1,0))</f>
        <v/>
      </c>
      <c r="BB391" s="38">
        <f>INDEX(Translations!$D:$ZZ, MATCH(341,Translations!$A:$A,0), MATCH('Project Information'!$C$4,Translations!$D$1:$ZZ$1,0))</f>
        <v/>
      </c>
      <c r="BC391" s="38">
        <f>INDEX(Translations!$D:$ZZ, MATCH(76,Translations!$A:$A,0), MATCH('Project Information'!$C$4,Translations!$D$1:$ZZ$1,0))</f>
        <v/>
      </c>
      <c r="BD391" s="38">
        <f>IF(OR(TRIM("")="Evet",TRIM("")="Yes"),1,0)</f>
        <v/>
      </c>
      <c r="BE391" s="38" t="n">
        <v>2</v>
      </c>
      <c r="BF391" s="38">
        <f>BD391*BE391</f>
        <v/>
      </c>
    </row>
    <row r="392" ht="15" customHeight="1" s="39">
      <c r="AZ392" s="38">
        <f>INDEX(Translations!$D:$ZZ, MATCH(310,Translations!$A:$A,0), MATCH('Project Information'!$C$4,Translations!$D$1:$ZZ$1,0))</f>
        <v/>
      </c>
      <c r="BA392" s="38">
        <f>INDEX(Translations!$D:$ZZ, MATCH(193,Translations!$A:$A,0), MATCH('Project Information'!$C$4,Translations!$D$1:$ZZ$1,0))</f>
        <v/>
      </c>
      <c r="BB392" s="38">
        <f>INDEX(Translations!$D:$ZZ, MATCH(342,Translations!$A:$A,0), MATCH('Project Information'!$C$4,Translations!$D$1:$ZZ$1,0))</f>
        <v/>
      </c>
      <c r="BC392" s="38">
        <f>INDEX(Translations!$D:$ZZ, MATCH(76,Translations!$A:$A,0), MATCH('Project Information'!$C$4,Translations!$D$1:$ZZ$1,0))</f>
        <v/>
      </c>
      <c r="BD392" s="38">
        <f>IF(OR(TRIM("")="Evet",TRIM("")="Yes"),1,0)</f>
        <v/>
      </c>
      <c r="BE392" s="38" t="n">
        <v>2</v>
      </c>
      <c r="BF392" s="38">
        <f>BD392*BE392</f>
        <v/>
      </c>
    </row>
    <row r="393" ht="15" customHeight="1" s="39">
      <c r="AZ393" s="38">
        <f>INDEX(Translations!$D:$ZZ, MATCH(310,Translations!$A:$A,0), MATCH('Project Information'!$C$4,Translations!$D$1:$ZZ$1,0))</f>
        <v/>
      </c>
      <c r="BA393" s="38">
        <f>INDEX(Translations!$D:$ZZ, MATCH(193,Translations!$A:$A,0), MATCH('Project Information'!$C$4,Translations!$D$1:$ZZ$1,0))</f>
        <v/>
      </c>
      <c r="BB393" s="38">
        <f>INDEX(Translations!$D:$ZZ, MATCH(343,Translations!$A:$A,0), MATCH('Project Information'!$C$4,Translations!$D$1:$ZZ$1,0))</f>
        <v/>
      </c>
      <c r="BC393" s="38">
        <f>INDEX(Translations!$D:$ZZ, MATCH(76,Translations!$A:$A,0), MATCH('Project Information'!$C$4,Translations!$D$1:$ZZ$1,0))</f>
        <v/>
      </c>
      <c r="BD393" s="38">
        <f>IF(OR(TRIM("")="Evet",TRIM("")="Yes"),1,0)</f>
        <v/>
      </c>
      <c r="BE393" s="38" t="n">
        <v>2</v>
      </c>
      <c r="BF393" s="38">
        <f>BD393*BE393</f>
        <v/>
      </c>
    </row>
    <row r="394" ht="15" customHeight="1" s="39">
      <c r="AZ394" s="38">
        <f>INDEX(Translations!$D:$ZZ, MATCH(310,Translations!$A:$A,0), MATCH('Project Information'!$C$4,Translations!$D$1:$ZZ$1,0))</f>
        <v/>
      </c>
      <c r="BA394" s="38">
        <f>INDEX(Translations!$D:$ZZ, MATCH(193,Translations!$A:$A,0), MATCH('Project Information'!$C$4,Translations!$D$1:$ZZ$1,0))</f>
        <v/>
      </c>
      <c r="BB394" s="38">
        <f>INDEX(Translations!$D:$ZZ, MATCH(344,Translations!$A:$A,0), MATCH('Project Information'!$C$4,Translations!$D$1:$ZZ$1,0))</f>
        <v/>
      </c>
      <c r="BC394" s="38">
        <f>INDEX(Translations!$D:$ZZ, MATCH(76,Translations!$A:$A,0), MATCH('Project Information'!$C$4,Translations!$D$1:$ZZ$1,0))</f>
        <v/>
      </c>
      <c r="BD394" s="38">
        <f>IF(OR(TRIM("")="Evet",TRIM("")="Yes"),1,0)</f>
        <v/>
      </c>
      <c r="BE394" s="38" t="n">
        <v>2</v>
      </c>
      <c r="BF394" s="38">
        <f>BD394*BE394</f>
        <v/>
      </c>
    </row>
    <row r="395" ht="15" customHeight="1" s="39">
      <c r="AZ395" s="38">
        <f>INDEX(Translations!$D:$ZZ, MATCH(310,Translations!$A:$A,0), MATCH('Project Information'!$C$4,Translations!$D$1:$ZZ$1,0))</f>
        <v/>
      </c>
      <c r="BA395" s="38">
        <f>INDEX(Translations!$D:$ZZ, MATCH(193,Translations!$A:$A,0), MATCH('Project Information'!$C$4,Translations!$D$1:$ZZ$1,0))</f>
        <v/>
      </c>
      <c r="BB395" s="38">
        <f>INDEX(Translations!$D:$ZZ, MATCH(345,Translations!$A:$A,0), MATCH('Project Information'!$C$4,Translations!$D$1:$ZZ$1,0))</f>
        <v/>
      </c>
      <c r="BC395" s="38">
        <f>INDEX(Translations!$D:$ZZ, MATCH(76,Translations!$A:$A,0), MATCH('Project Information'!$C$4,Translations!$D$1:$ZZ$1,0))</f>
        <v/>
      </c>
      <c r="BD395" s="38">
        <f>IF(OR(TRIM("")="Evet",TRIM("")="Yes"),1,0)</f>
        <v/>
      </c>
      <c r="BE395" s="38" t="n">
        <v>2</v>
      </c>
      <c r="BF395" s="38">
        <f>BD395*BE395</f>
        <v/>
      </c>
    </row>
    <row r="396" ht="15" customHeight="1" s="39">
      <c r="AZ396" s="38">
        <f>INDEX(Translations!$D:$ZZ, MATCH(305,Translations!$A:$A,0), MATCH('Project Information'!$C$4,Translations!$D$1:$ZZ$1,0))</f>
        <v/>
      </c>
      <c r="BA396" s="38">
        <f>INDEX(Translations!$D:$ZZ, MATCH(40,Translations!$A:$A,0), MATCH('Project Information'!$C$4,Translations!$D$1:$ZZ$1,0))</f>
        <v/>
      </c>
      <c r="BB396" s="38">
        <f>INDEX(Translations!$D:$ZZ, MATCH(337,Translations!$A:$A,0), MATCH('Project Information'!$C$4,Translations!$D$1:$ZZ$1,0))</f>
        <v/>
      </c>
      <c r="BC396" s="38">
        <f>INDEX(Translations!$D:$ZZ, MATCH(75,Translations!$A:$A,0), MATCH('Project Information'!$C$4,Translations!$D$1:$ZZ$1,0))</f>
        <v/>
      </c>
      <c r="BD396" s="38">
        <f>IF(OR(TRIM('Project Information'!$C$40)="Evet",TRIM('Project Information'!$C$40)="Yes"),1,0)</f>
        <v/>
      </c>
      <c r="BE396" s="38" t="n">
        <v>3</v>
      </c>
      <c r="BF396" s="38">
        <f>BD396*BE396</f>
        <v/>
      </c>
    </row>
    <row r="397" ht="15" customHeight="1" s="39">
      <c r="AZ397" s="38">
        <f>INDEX(Translations!$D:$ZZ, MATCH(305,Translations!$A:$A,0), MATCH('Project Information'!$C$4,Translations!$D$1:$ZZ$1,0))</f>
        <v/>
      </c>
      <c r="BA397" s="38">
        <f>INDEX(Translations!$D:$ZZ, MATCH(40,Translations!$A:$A,0), MATCH('Project Information'!$C$4,Translations!$D$1:$ZZ$1,0))</f>
        <v/>
      </c>
      <c r="BB397" s="38">
        <f>INDEX(Translations!$D:$ZZ, MATCH(337,Translations!$A:$A,0), MATCH('Project Information'!$C$4,Translations!$D$1:$ZZ$1,0))</f>
        <v/>
      </c>
      <c r="BC397" s="38">
        <f>INDEX(Translations!$D:$ZZ, MATCH(76,Translations!$A:$A,0), MATCH('Project Information'!$C$4,Translations!$D$1:$ZZ$1,0))</f>
        <v/>
      </c>
      <c r="BD397" s="38">
        <f>IF(OR(TRIM('Project Information'!$C$40)="Evet",TRIM('Project Information'!$C$40)="Yes"),1,0)</f>
        <v/>
      </c>
      <c r="BE397" s="38" t="n">
        <v>1</v>
      </c>
      <c r="BF397" s="38">
        <f>BD397*BE397</f>
        <v/>
      </c>
    </row>
    <row r="398" ht="15" customHeight="1" s="39">
      <c r="AZ398" s="38">
        <f>INDEX(Translations!$D:$ZZ, MATCH(305,Translations!$A:$A,0), MATCH('Project Information'!$C$4,Translations!$D$1:$ZZ$1,0))</f>
        <v/>
      </c>
      <c r="BA398" s="38">
        <f>INDEX(Translations!$D:$ZZ, MATCH(40,Translations!$A:$A,0), MATCH('Project Information'!$C$4,Translations!$D$1:$ZZ$1,0))</f>
        <v/>
      </c>
      <c r="BB398" s="38">
        <f>INDEX(Translations!$D:$ZZ, MATCH(337,Translations!$A:$A,0), MATCH('Project Information'!$C$4,Translations!$D$1:$ZZ$1,0))</f>
        <v/>
      </c>
      <c r="BC398" s="38">
        <f>INDEX(Translations!$D:$ZZ, MATCH(78,Translations!$A:$A,0), MATCH('Project Information'!$C$4,Translations!$D$1:$ZZ$1,0))</f>
        <v/>
      </c>
      <c r="BD398" s="38">
        <f>IF(OR(TRIM('Project Information'!$C$40)="Evet",TRIM('Project Information'!$C$40)="Yes"),1,0)</f>
        <v/>
      </c>
      <c r="BE398" s="38" t="n">
        <v>1</v>
      </c>
      <c r="BF398" s="38">
        <f>BD398*BE398</f>
        <v/>
      </c>
    </row>
    <row r="399" ht="15" customHeight="1" s="39">
      <c r="AZ399" s="38">
        <f>INDEX(Translations!$D:$ZZ, MATCH(305,Translations!$A:$A,0), MATCH('Project Information'!$C$4,Translations!$D$1:$ZZ$1,0))</f>
        <v/>
      </c>
      <c r="BA399" s="38">
        <f>INDEX(Translations!$D:$ZZ, MATCH(40,Translations!$A:$A,0), MATCH('Project Information'!$C$4,Translations!$D$1:$ZZ$1,0))</f>
        <v/>
      </c>
      <c r="BB399" s="38">
        <f>INDEX(Translations!$D:$ZZ, MATCH(337,Translations!$A:$A,0), MATCH('Project Information'!$C$4,Translations!$D$1:$ZZ$1,0))</f>
        <v/>
      </c>
      <c r="BC399" s="38">
        <f>INDEX(Translations!$D:$ZZ, MATCH(79,Translations!$A:$A,0), MATCH('Project Information'!$C$4,Translations!$D$1:$ZZ$1,0))</f>
        <v/>
      </c>
      <c r="BD399" s="38">
        <f>IF(OR(TRIM('Project Information'!$C$40)="Evet",TRIM('Project Information'!$C$40)="Yes"),1,0)</f>
        <v/>
      </c>
      <c r="BE399" s="38" t="n">
        <v>1</v>
      </c>
      <c r="BF399" s="38">
        <f>BD399*BE399</f>
        <v/>
      </c>
    </row>
    <row r="400" ht="15" customHeight="1" s="39">
      <c r="AZ400" s="38">
        <f>INDEX(Translations!$D:$ZZ, MATCH(305,Translations!$A:$A,0), MATCH('Project Information'!$C$4,Translations!$D$1:$ZZ$1,0))</f>
        <v/>
      </c>
      <c r="BA400" s="38">
        <f>INDEX(Translations!$D:$ZZ, MATCH(40,Translations!$A:$A,0), MATCH('Project Information'!$C$4,Translations!$D$1:$ZZ$1,0))</f>
        <v/>
      </c>
      <c r="BB400" s="38">
        <f>INDEX(Translations!$D:$ZZ, MATCH(337,Translations!$A:$A,0), MATCH('Project Information'!$C$4,Translations!$D$1:$ZZ$1,0))</f>
        <v/>
      </c>
      <c r="BC400" s="38">
        <f>INDEX(Translations!$D:$ZZ, MATCH(82,Translations!$A:$A,0), MATCH('Project Information'!$C$4,Translations!$D$1:$ZZ$1,0))</f>
        <v/>
      </c>
      <c r="BD400" s="38">
        <f>IF(OR(TRIM('Project Information'!$C$40)="Evet",TRIM('Project Information'!$C$40)="Yes"),1,0)</f>
        <v/>
      </c>
      <c r="BE400" s="38" t="n">
        <v>0.5</v>
      </c>
      <c r="BF400" s="38">
        <f>BD400*BE400</f>
        <v/>
      </c>
    </row>
    <row r="401" ht="15" customHeight="1" s="39">
      <c r="AZ401" s="38">
        <f>INDEX(Translations!$D:$ZZ, MATCH(305,Translations!$A:$A,0), MATCH('Project Information'!$C$4,Translations!$D$1:$ZZ$1,0))</f>
        <v/>
      </c>
      <c r="BA401" s="38">
        <f>INDEX(Translations!$D:$ZZ, MATCH(40,Translations!$A:$A,0), MATCH('Project Information'!$C$4,Translations!$D$1:$ZZ$1,0))</f>
        <v/>
      </c>
      <c r="BB401" s="38">
        <f>INDEX(Translations!$D:$ZZ, MATCH(337,Translations!$A:$A,0), MATCH('Project Information'!$C$4,Translations!$D$1:$ZZ$1,0))</f>
        <v/>
      </c>
      <c r="BC401" s="38">
        <f>INDEX(Translations!$D:$ZZ, MATCH(83,Translations!$A:$A,0), MATCH('Project Information'!$C$4,Translations!$D$1:$ZZ$1,0))</f>
        <v/>
      </c>
      <c r="BD401" s="38">
        <f>IF(OR(TRIM('Project Information'!$C$40)="Evet",TRIM('Project Information'!$C$40)="Yes"),1,0)</f>
        <v/>
      </c>
      <c r="BE401" s="38" t="n">
        <v>0.5</v>
      </c>
      <c r="BF401" s="38">
        <f>BD401*BE401</f>
        <v/>
      </c>
    </row>
    <row r="402" ht="15" customHeight="1" s="39">
      <c r="AZ402" s="38">
        <f>INDEX(Translations!$D:$ZZ, MATCH(305,Translations!$A:$A,0), MATCH('Project Information'!$C$4,Translations!$D$1:$ZZ$1,0))</f>
        <v/>
      </c>
      <c r="BA402" s="38">
        <f>INDEX(Translations!$D:$ZZ, MATCH(40,Translations!$A:$A,0), MATCH('Project Information'!$C$4,Translations!$D$1:$ZZ$1,0))</f>
        <v/>
      </c>
      <c r="BB402" s="38">
        <f>INDEX(Translations!$D:$ZZ, MATCH(337,Translations!$A:$A,0), MATCH('Project Information'!$C$4,Translations!$D$1:$ZZ$1,0))</f>
        <v/>
      </c>
      <c r="BC402" s="38">
        <f>INDEX(Translations!$D:$ZZ, MATCH(87,Translations!$A:$A,0), MATCH('Project Information'!$C$4,Translations!$D$1:$ZZ$1,0))</f>
        <v/>
      </c>
      <c r="BD402" s="38">
        <f>IF(OR(TRIM('Project Information'!$C$40)="Evet",TRIM('Project Information'!$C$40)="Yes"),1,0)</f>
        <v/>
      </c>
      <c r="BE402" s="38" t="n">
        <v>1</v>
      </c>
      <c r="BF402" s="38">
        <f>BD402*BE402</f>
        <v/>
      </c>
    </row>
    <row r="403" ht="15" customHeight="1" s="39">
      <c r="AZ403" s="38">
        <f>INDEX(Translations!$D:$ZZ, MATCH(305,Translations!$A:$A,0), MATCH('Project Information'!$C$4,Translations!$D$1:$ZZ$1,0))</f>
        <v/>
      </c>
      <c r="BA403" s="38">
        <f>INDEX(Translations!$D:$ZZ, MATCH(40,Translations!$A:$A,0), MATCH('Project Information'!$C$4,Translations!$D$1:$ZZ$1,0))</f>
        <v/>
      </c>
      <c r="BB403" s="38">
        <f>INDEX(Translations!$D:$ZZ, MATCH(338,Translations!$A:$A,0), MATCH('Project Information'!$C$4,Translations!$D$1:$ZZ$1,0))</f>
        <v/>
      </c>
      <c r="BC403" s="38">
        <f>INDEX(Translations!$D:$ZZ, MATCH(75,Translations!$A:$A,0), MATCH('Project Information'!$C$4,Translations!$D$1:$ZZ$1,0))</f>
        <v/>
      </c>
      <c r="BD403" s="38">
        <f>IF(OR(TRIM('Project Information'!$C$40)="Evet",TRIM('Project Information'!$C$40)="Yes"),1,0)</f>
        <v/>
      </c>
      <c r="BE403" s="38" t="n">
        <v>2</v>
      </c>
      <c r="BF403" s="38">
        <f>BD403*BE403</f>
        <v/>
      </c>
    </row>
    <row r="404" ht="15" customHeight="1" s="39">
      <c r="AZ404" s="38">
        <f>INDEX(Translations!$D:$ZZ, MATCH(305,Translations!$A:$A,0), MATCH('Project Information'!$C$4,Translations!$D$1:$ZZ$1,0))</f>
        <v/>
      </c>
      <c r="BA404" s="38">
        <f>INDEX(Translations!$D:$ZZ, MATCH(40,Translations!$A:$A,0), MATCH('Project Information'!$C$4,Translations!$D$1:$ZZ$1,0))</f>
        <v/>
      </c>
      <c r="BB404" s="38">
        <f>INDEX(Translations!$D:$ZZ, MATCH(338,Translations!$A:$A,0), MATCH('Project Information'!$C$4,Translations!$D$1:$ZZ$1,0))</f>
        <v/>
      </c>
      <c r="BC404" s="38">
        <f>INDEX(Translations!$D:$ZZ, MATCH(76,Translations!$A:$A,0), MATCH('Project Information'!$C$4,Translations!$D$1:$ZZ$1,0))</f>
        <v/>
      </c>
      <c r="BD404" s="38">
        <f>IF(OR(TRIM('Project Information'!$C$40)="Evet",TRIM('Project Information'!$C$40)="Yes"),1,0)</f>
        <v/>
      </c>
      <c r="BE404" s="38" t="n">
        <v>0.5</v>
      </c>
      <c r="BF404" s="38">
        <f>BD404*BE404</f>
        <v/>
      </c>
    </row>
    <row r="405" ht="15" customHeight="1" s="39">
      <c r="AZ405" s="38">
        <f>INDEX(Translations!$D:$ZZ, MATCH(305,Translations!$A:$A,0), MATCH('Project Information'!$C$4,Translations!$D$1:$ZZ$1,0))</f>
        <v/>
      </c>
      <c r="BA405" s="38">
        <f>INDEX(Translations!$D:$ZZ, MATCH(40,Translations!$A:$A,0), MATCH('Project Information'!$C$4,Translations!$D$1:$ZZ$1,0))</f>
        <v/>
      </c>
      <c r="BB405" s="38">
        <f>INDEX(Translations!$D:$ZZ, MATCH(338,Translations!$A:$A,0), MATCH('Project Information'!$C$4,Translations!$D$1:$ZZ$1,0))</f>
        <v/>
      </c>
      <c r="BC405" s="38">
        <f>INDEX(Translations!$D:$ZZ, MATCH(79,Translations!$A:$A,0), MATCH('Project Information'!$C$4,Translations!$D$1:$ZZ$1,0))</f>
        <v/>
      </c>
      <c r="BD405" s="38">
        <f>IF(OR(TRIM('Project Information'!$C$40)="Evet",TRIM('Project Information'!$C$40)="Yes"),1,0)</f>
        <v/>
      </c>
      <c r="BE405" s="38" t="n">
        <v>0.5</v>
      </c>
      <c r="BF405" s="38">
        <f>BD405*BE405</f>
        <v/>
      </c>
    </row>
    <row r="406" ht="15" customHeight="1" s="39">
      <c r="AZ406" s="38">
        <f>INDEX(Translations!$D:$ZZ, MATCH(305,Translations!$A:$A,0), MATCH('Project Information'!$C$4,Translations!$D$1:$ZZ$1,0))</f>
        <v/>
      </c>
      <c r="BA406" s="38">
        <f>INDEX(Translations!$D:$ZZ, MATCH(40,Translations!$A:$A,0), MATCH('Project Information'!$C$4,Translations!$D$1:$ZZ$1,0))</f>
        <v/>
      </c>
      <c r="BB406" s="38">
        <f>INDEX(Translations!$D:$ZZ, MATCH(338,Translations!$A:$A,0), MATCH('Project Information'!$C$4,Translations!$D$1:$ZZ$1,0))</f>
        <v/>
      </c>
      <c r="BC406" s="38">
        <f>INDEX(Translations!$D:$ZZ, MATCH(82,Translations!$A:$A,0), MATCH('Project Information'!$C$4,Translations!$D$1:$ZZ$1,0))</f>
        <v/>
      </c>
      <c r="BD406" s="38">
        <f>IF(OR(TRIM('Project Information'!$C$40)="Evet",TRIM('Project Information'!$C$40)="Yes"),1,0)</f>
        <v/>
      </c>
      <c r="BE406" s="38" t="n">
        <v>0.5</v>
      </c>
      <c r="BF406" s="38">
        <f>BD406*BE406</f>
        <v/>
      </c>
    </row>
    <row r="407" ht="15" customHeight="1" s="39">
      <c r="AZ407" s="38">
        <f>INDEX(Translations!$D:$ZZ, MATCH(305,Translations!$A:$A,0), MATCH('Project Information'!$C$4,Translations!$D$1:$ZZ$1,0))</f>
        <v/>
      </c>
      <c r="BA407" s="38">
        <f>INDEX(Translations!$D:$ZZ, MATCH(40,Translations!$A:$A,0), MATCH('Project Information'!$C$4,Translations!$D$1:$ZZ$1,0))</f>
        <v/>
      </c>
      <c r="BB407" s="38">
        <f>INDEX(Translations!$D:$ZZ, MATCH(338,Translations!$A:$A,0), MATCH('Project Information'!$C$4,Translations!$D$1:$ZZ$1,0))</f>
        <v/>
      </c>
      <c r="BC407" s="38">
        <f>INDEX(Translations!$D:$ZZ, MATCH(83,Translations!$A:$A,0), MATCH('Project Information'!$C$4,Translations!$D$1:$ZZ$1,0))</f>
        <v/>
      </c>
      <c r="BD407" s="38">
        <f>IF(OR(TRIM('Project Information'!$C$40)="Evet",TRIM('Project Information'!$C$40)="Yes"),1,0)</f>
        <v/>
      </c>
      <c r="BE407" s="38" t="n">
        <v>0.5</v>
      </c>
      <c r="BF407" s="38">
        <f>BD407*BE407</f>
        <v/>
      </c>
    </row>
    <row r="408" ht="15" customHeight="1" s="39">
      <c r="AZ408" s="38">
        <f>INDEX(Translations!$D:$ZZ, MATCH(305,Translations!$A:$A,0), MATCH('Project Information'!$C$4,Translations!$D$1:$ZZ$1,0))</f>
        <v/>
      </c>
      <c r="BA408" s="38">
        <f>INDEX(Translations!$D:$ZZ, MATCH(40,Translations!$A:$A,0), MATCH('Project Information'!$C$4,Translations!$D$1:$ZZ$1,0))</f>
        <v/>
      </c>
      <c r="BB408" s="38">
        <f>INDEX(Translations!$D:$ZZ, MATCH(339,Translations!$A:$A,0), MATCH('Project Information'!$C$4,Translations!$D$1:$ZZ$1,0))</f>
        <v/>
      </c>
      <c r="BC408" s="38">
        <f>INDEX(Translations!$D:$ZZ, MATCH(75,Translations!$A:$A,0), MATCH('Project Information'!$C$4,Translations!$D$1:$ZZ$1,0))</f>
        <v/>
      </c>
      <c r="BD408" s="38">
        <f>IF(OR(TRIM('Project Information'!$C$40)="Evet",TRIM('Project Information'!$C$40)="Yes"),1,0)</f>
        <v/>
      </c>
      <c r="BE408" s="38" t="n">
        <v>3</v>
      </c>
      <c r="BF408" s="38">
        <f>BD408*BE408</f>
        <v/>
      </c>
    </row>
    <row r="409" ht="15" customHeight="1" s="39">
      <c r="AZ409" s="38">
        <f>INDEX(Translations!$D:$ZZ, MATCH(305,Translations!$A:$A,0), MATCH('Project Information'!$C$4,Translations!$D$1:$ZZ$1,0))</f>
        <v/>
      </c>
      <c r="BA409" s="38">
        <f>INDEX(Translations!$D:$ZZ, MATCH(40,Translations!$A:$A,0), MATCH('Project Information'!$C$4,Translations!$D$1:$ZZ$1,0))</f>
        <v/>
      </c>
      <c r="BB409" s="38">
        <f>INDEX(Translations!$D:$ZZ, MATCH(339,Translations!$A:$A,0), MATCH('Project Information'!$C$4,Translations!$D$1:$ZZ$1,0))</f>
        <v/>
      </c>
      <c r="BC409" s="38">
        <f>INDEX(Translations!$D:$ZZ, MATCH(76,Translations!$A:$A,0), MATCH('Project Information'!$C$4,Translations!$D$1:$ZZ$1,0))</f>
        <v/>
      </c>
      <c r="BD409" s="38">
        <f>IF(OR(TRIM('Project Information'!$C$40)="Evet",TRIM('Project Information'!$C$40)="Yes"),1,0)</f>
        <v/>
      </c>
      <c r="BE409" s="38" t="n">
        <v>1</v>
      </c>
      <c r="BF409" s="38">
        <f>BD409*BE409</f>
        <v/>
      </c>
    </row>
    <row r="410" ht="15" customHeight="1" s="39">
      <c r="AZ410" s="38">
        <f>INDEX(Translations!$D:$ZZ, MATCH(305,Translations!$A:$A,0), MATCH('Project Information'!$C$4,Translations!$D$1:$ZZ$1,0))</f>
        <v/>
      </c>
      <c r="BA410" s="38">
        <f>INDEX(Translations!$D:$ZZ, MATCH(40,Translations!$A:$A,0), MATCH('Project Information'!$C$4,Translations!$D$1:$ZZ$1,0))</f>
        <v/>
      </c>
      <c r="BB410" s="38">
        <f>INDEX(Translations!$D:$ZZ, MATCH(339,Translations!$A:$A,0), MATCH('Project Information'!$C$4,Translations!$D$1:$ZZ$1,0))</f>
        <v/>
      </c>
      <c r="BC410" s="38">
        <f>INDEX(Translations!$D:$ZZ, MATCH(78,Translations!$A:$A,0), MATCH('Project Information'!$C$4,Translations!$D$1:$ZZ$1,0))</f>
        <v/>
      </c>
      <c r="BD410" s="38">
        <f>IF(OR(TRIM('Project Information'!$C$40)="Evet",TRIM('Project Information'!$C$40)="Yes"),1,0)</f>
        <v/>
      </c>
      <c r="BE410" s="38" t="n">
        <v>1</v>
      </c>
      <c r="BF410" s="38">
        <f>BD410*BE410</f>
        <v/>
      </c>
    </row>
    <row r="411" ht="15" customHeight="1" s="39">
      <c r="AZ411" s="38">
        <f>INDEX(Translations!$D:$ZZ, MATCH(305,Translations!$A:$A,0), MATCH('Project Information'!$C$4,Translations!$D$1:$ZZ$1,0))</f>
        <v/>
      </c>
      <c r="BA411" s="38">
        <f>INDEX(Translations!$D:$ZZ, MATCH(40,Translations!$A:$A,0), MATCH('Project Information'!$C$4,Translations!$D$1:$ZZ$1,0))</f>
        <v/>
      </c>
      <c r="BB411" s="38">
        <f>INDEX(Translations!$D:$ZZ, MATCH(339,Translations!$A:$A,0), MATCH('Project Information'!$C$4,Translations!$D$1:$ZZ$1,0))</f>
        <v/>
      </c>
      <c r="BC411" s="38">
        <f>INDEX(Translations!$D:$ZZ, MATCH(79,Translations!$A:$A,0), MATCH('Project Information'!$C$4,Translations!$D$1:$ZZ$1,0))</f>
        <v/>
      </c>
      <c r="BD411" s="38">
        <f>IF(OR(TRIM('Project Information'!$C$40)="Evet",TRIM('Project Information'!$C$40)="Yes"),1,0)</f>
        <v/>
      </c>
      <c r="BE411" s="38" t="n">
        <v>1</v>
      </c>
      <c r="BF411" s="38">
        <f>BD411*BE411</f>
        <v/>
      </c>
    </row>
    <row r="412" ht="15" customHeight="1" s="39">
      <c r="AZ412" s="38">
        <f>INDEX(Translations!$D:$ZZ, MATCH(305,Translations!$A:$A,0), MATCH('Project Information'!$C$4,Translations!$D$1:$ZZ$1,0))</f>
        <v/>
      </c>
      <c r="BA412" s="38">
        <f>INDEX(Translations!$D:$ZZ, MATCH(40,Translations!$A:$A,0), MATCH('Project Information'!$C$4,Translations!$D$1:$ZZ$1,0))</f>
        <v/>
      </c>
      <c r="BB412" s="38">
        <f>INDEX(Translations!$D:$ZZ, MATCH(339,Translations!$A:$A,0), MATCH('Project Information'!$C$4,Translations!$D$1:$ZZ$1,0))</f>
        <v/>
      </c>
      <c r="BC412" s="38">
        <f>INDEX(Translations!$D:$ZZ, MATCH(82,Translations!$A:$A,0), MATCH('Project Information'!$C$4,Translations!$D$1:$ZZ$1,0))</f>
        <v/>
      </c>
      <c r="BD412" s="38">
        <f>IF(OR(TRIM('Project Information'!$C$40)="Evet",TRIM('Project Information'!$C$40)="Yes"),1,0)</f>
        <v/>
      </c>
      <c r="BE412" s="38" t="n">
        <v>0.5</v>
      </c>
      <c r="BF412" s="38">
        <f>BD412*BE412</f>
        <v/>
      </c>
    </row>
    <row r="413" ht="15" customHeight="1" s="39">
      <c r="AZ413" s="38">
        <f>INDEX(Translations!$D:$ZZ, MATCH(305,Translations!$A:$A,0), MATCH('Project Information'!$C$4,Translations!$D$1:$ZZ$1,0))</f>
        <v/>
      </c>
      <c r="BA413" s="38">
        <f>INDEX(Translations!$D:$ZZ, MATCH(40,Translations!$A:$A,0), MATCH('Project Information'!$C$4,Translations!$D$1:$ZZ$1,0))</f>
        <v/>
      </c>
      <c r="BB413" s="38">
        <f>INDEX(Translations!$D:$ZZ, MATCH(339,Translations!$A:$A,0), MATCH('Project Information'!$C$4,Translations!$D$1:$ZZ$1,0))</f>
        <v/>
      </c>
      <c r="BC413" s="38">
        <f>INDEX(Translations!$D:$ZZ, MATCH(83,Translations!$A:$A,0), MATCH('Project Information'!$C$4,Translations!$D$1:$ZZ$1,0))</f>
        <v/>
      </c>
      <c r="BD413" s="38">
        <f>IF(OR(TRIM('Project Information'!$C$40)="Evet",TRIM('Project Information'!$C$40)="Yes"),1,0)</f>
        <v/>
      </c>
      <c r="BE413" s="38" t="n">
        <v>0.5</v>
      </c>
      <c r="BF413" s="38">
        <f>BD413*BE413</f>
        <v/>
      </c>
    </row>
    <row r="414" ht="15" customHeight="1" s="39">
      <c r="AZ414" s="38">
        <f>INDEX(Translations!$D:$ZZ, MATCH(305,Translations!$A:$A,0), MATCH('Project Information'!$C$4,Translations!$D$1:$ZZ$1,0))</f>
        <v/>
      </c>
      <c r="BA414" s="38">
        <f>INDEX(Translations!$D:$ZZ, MATCH(40,Translations!$A:$A,0), MATCH('Project Information'!$C$4,Translations!$D$1:$ZZ$1,0))</f>
        <v/>
      </c>
      <c r="BB414" s="38">
        <f>INDEX(Translations!$D:$ZZ, MATCH(339,Translations!$A:$A,0), MATCH('Project Information'!$C$4,Translations!$D$1:$ZZ$1,0))</f>
        <v/>
      </c>
      <c r="BC414" s="38">
        <f>INDEX(Translations!$D:$ZZ, MATCH(87,Translations!$A:$A,0), MATCH('Project Information'!$C$4,Translations!$D$1:$ZZ$1,0))</f>
        <v/>
      </c>
      <c r="BD414" s="38">
        <f>IF(OR(TRIM('Project Information'!$C$40)="Evet",TRIM('Project Information'!$C$40)="Yes"),1,0)</f>
        <v/>
      </c>
      <c r="BE414" s="38" t="n">
        <v>1</v>
      </c>
      <c r="BF414" s="38">
        <f>BD414*BE414</f>
        <v/>
      </c>
    </row>
    <row r="415" ht="15" customHeight="1" s="39">
      <c r="AZ415" s="38">
        <f>INDEX(Translations!$D:$ZZ, MATCH(310,Translations!$A:$A,0), MATCH('Project Information'!$C$4,Translations!$D$1:$ZZ$1,0))</f>
        <v/>
      </c>
      <c r="BA415" s="38">
        <f>INDEX(Translations!$D:$ZZ, MATCH(167,Translations!$A:$A,0), MATCH('Project Information'!$C$4,Translations!$D$1:$ZZ$1,0))</f>
        <v/>
      </c>
      <c r="BB415" s="38">
        <f>INDEX(Translations!$D:$ZZ, MATCH(333,Translations!$A:$A,0), MATCH('Project Information'!$C$4,Translations!$D$1:$ZZ$1,0))</f>
        <v/>
      </c>
      <c r="BC415" s="38">
        <f>INDEX(Translations!$D:$ZZ, MATCH(78,Translations!$A:$A,0), MATCH('Project Information'!$C$4,Translations!$D$1:$ZZ$1,0))</f>
        <v/>
      </c>
      <c r="BD415" s="38">
        <f>MAX(N(Scope!$G$16)-1,0)</f>
        <v/>
      </c>
      <c r="BE415" s="38" t="n">
        <v>1</v>
      </c>
      <c r="BF415" s="38">
        <f>BD415*BE415</f>
        <v/>
      </c>
    </row>
    <row r="416" ht="15" customHeight="1" s="39">
      <c r="AZ416" s="38">
        <f>INDEX(Translations!$D:$ZZ, MATCH(310,Translations!$A:$A,0), MATCH('Project Information'!$C$4,Translations!$D$1:$ZZ$1,0))</f>
        <v/>
      </c>
      <c r="BA416" s="38">
        <f>INDEX(Translations!$D:$ZZ, MATCH(167,Translations!$A:$A,0), MATCH('Project Information'!$C$4,Translations!$D$1:$ZZ$1,0))</f>
        <v/>
      </c>
      <c r="BB416" s="38">
        <f>INDEX(Translations!$D:$ZZ, MATCH(333,Translations!$A:$A,0), MATCH('Project Information'!$C$4,Translations!$D$1:$ZZ$1,0))</f>
        <v/>
      </c>
      <c r="BC416" s="38">
        <f>INDEX(Translations!$D:$ZZ, MATCH(79,Translations!$A:$A,0), MATCH('Project Information'!$C$4,Translations!$D$1:$ZZ$1,0))</f>
        <v/>
      </c>
      <c r="BD416" s="38">
        <f>MAX(N(Scope!$G$16)-1,0)</f>
        <v/>
      </c>
      <c r="BE416" s="38" t="n">
        <v>0.5</v>
      </c>
      <c r="BF416" s="38">
        <f>BD416*BE416</f>
        <v/>
      </c>
    </row>
    <row r="417" ht="15" customHeight="1" s="39">
      <c r="AZ417" s="38">
        <f>INDEX(Translations!$D:$ZZ, MATCH(310,Translations!$A:$A,0), MATCH('Project Information'!$C$4,Translations!$D$1:$ZZ$1,0))</f>
        <v/>
      </c>
      <c r="BA417" s="38">
        <f>INDEX(Translations!$D:$ZZ, MATCH(167,Translations!$A:$A,0), MATCH('Project Information'!$C$4,Translations!$D$1:$ZZ$1,0))</f>
        <v/>
      </c>
      <c r="BB417" s="38">
        <f>INDEX(Translations!$D:$ZZ, MATCH(333,Translations!$A:$A,0), MATCH('Project Information'!$C$4,Translations!$D$1:$ZZ$1,0))</f>
        <v/>
      </c>
      <c r="BC417" s="38">
        <f>INDEX(Translations!$D:$ZZ, MATCH(82,Translations!$A:$A,0), MATCH('Project Information'!$C$4,Translations!$D$1:$ZZ$1,0))</f>
        <v/>
      </c>
      <c r="BD417" s="38">
        <f>MAX(N(Scope!$G$16)-1,0)</f>
        <v/>
      </c>
      <c r="BE417" s="38" t="n">
        <v>0.5</v>
      </c>
      <c r="BF417" s="38">
        <f>BD417*BE417</f>
        <v/>
      </c>
    </row>
    <row r="418" ht="15" customHeight="1" s="39">
      <c r="AZ418" s="38">
        <f>INDEX(Translations!$D:$ZZ, MATCH(310,Translations!$A:$A,0), MATCH('Project Information'!$C$4,Translations!$D$1:$ZZ$1,0))</f>
        <v/>
      </c>
      <c r="BA418" s="38">
        <f>INDEX(Translations!$D:$ZZ, MATCH(167,Translations!$A:$A,0), MATCH('Project Information'!$C$4,Translations!$D$1:$ZZ$1,0))</f>
        <v/>
      </c>
      <c r="BB418" s="38">
        <f>INDEX(Translations!$D:$ZZ, MATCH(333,Translations!$A:$A,0), MATCH('Project Information'!$C$4,Translations!$D$1:$ZZ$1,0))</f>
        <v/>
      </c>
      <c r="BC418" s="38">
        <f>INDEX(Translations!$D:$ZZ, MATCH(83,Translations!$A:$A,0), MATCH('Project Information'!$C$4,Translations!$D$1:$ZZ$1,0))</f>
        <v/>
      </c>
      <c r="BD418" s="38">
        <f>MAX(N(Scope!$G$16)-1,0)</f>
        <v/>
      </c>
      <c r="BE418" s="38" t="n">
        <v>1</v>
      </c>
      <c r="BF418" s="38">
        <f>BD418*BE418</f>
        <v/>
      </c>
    </row>
    <row r="419" ht="15" customHeight="1" s="39">
      <c r="AZ419" s="38">
        <f>INDEX(Translations!$D:$ZZ, MATCH(310,Translations!$A:$A,0), MATCH('Project Information'!$C$4,Translations!$D$1:$ZZ$1,0))</f>
        <v/>
      </c>
      <c r="BA419" s="38">
        <f>INDEX(Translations!$D:$ZZ, MATCH(167,Translations!$A:$A,0), MATCH('Project Information'!$C$4,Translations!$D$1:$ZZ$1,0))</f>
        <v/>
      </c>
      <c r="BB419" s="38">
        <f>INDEX(Translations!$D:$ZZ, MATCH(333,Translations!$A:$A,0), MATCH('Project Information'!$C$4,Translations!$D$1:$ZZ$1,0))</f>
        <v/>
      </c>
      <c r="BC419" s="38">
        <f>INDEX(Translations!$D:$ZZ, MATCH(84,Translations!$A:$A,0), MATCH('Project Information'!$C$4,Translations!$D$1:$ZZ$1,0))</f>
        <v/>
      </c>
      <c r="BD419" s="38">
        <f>MAX(N(Scope!$G$16)-1,0)</f>
        <v/>
      </c>
      <c r="BE419" s="38" t="n">
        <v>0.5</v>
      </c>
      <c r="BF419" s="38">
        <f>BD419*BE419</f>
        <v/>
      </c>
    </row>
    <row r="420" ht="15" customHeight="1" s="39">
      <c r="AZ420" s="38">
        <f>INDEX(Translations!$D:$ZZ, MATCH(310,Translations!$A:$A,0), MATCH('Project Information'!$C$4,Translations!$D$1:$ZZ$1,0))</f>
        <v/>
      </c>
      <c r="BA420" s="38">
        <f>INDEX(Translations!$D:$ZZ, MATCH(167,Translations!$A:$A,0), MATCH('Project Information'!$C$4,Translations!$D$1:$ZZ$1,0))</f>
        <v/>
      </c>
      <c r="BB420" s="38">
        <f>INDEX(Translations!$D:$ZZ, MATCH(343,Translations!$A:$A,0), MATCH('Project Information'!$C$4,Translations!$D$1:$ZZ$1,0))</f>
        <v/>
      </c>
      <c r="BC420" s="38">
        <f>INDEX(Translations!$D:$ZZ, MATCH(78,Translations!$A:$A,0), MATCH('Project Information'!$C$4,Translations!$D$1:$ZZ$1,0))</f>
        <v/>
      </c>
      <c r="BD420" s="38">
        <f>MAX(N(Scope!$G$16)-1,0)</f>
        <v/>
      </c>
      <c r="BE420" s="38" t="n">
        <v>1</v>
      </c>
      <c r="BF420" s="38">
        <f>BD420*BE420</f>
        <v/>
      </c>
    </row>
    <row r="421" ht="15" customHeight="1" s="39">
      <c r="AZ421" s="38">
        <f>INDEX(Translations!$D:$ZZ, MATCH(310,Translations!$A:$A,0), MATCH('Project Information'!$C$4,Translations!$D$1:$ZZ$1,0))</f>
        <v/>
      </c>
      <c r="BA421" s="38">
        <f>INDEX(Translations!$D:$ZZ, MATCH(167,Translations!$A:$A,0), MATCH('Project Information'!$C$4,Translations!$D$1:$ZZ$1,0))</f>
        <v/>
      </c>
      <c r="BB421" s="38">
        <f>INDEX(Translations!$D:$ZZ, MATCH(343,Translations!$A:$A,0), MATCH('Project Information'!$C$4,Translations!$D$1:$ZZ$1,0))</f>
        <v/>
      </c>
      <c r="BC421" s="38">
        <f>INDEX(Translations!$D:$ZZ, MATCH(79,Translations!$A:$A,0), MATCH('Project Information'!$C$4,Translations!$D$1:$ZZ$1,0))</f>
        <v/>
      </c>
      <c r="BD421" s="38">
        <f>MAX(N(Scope!$G$16)-1,0)</f>
        <v/>
      </c>
      <c r="BE421" s="38" t="n">
        <v>0.5</v>
      </c>
      <c r="BF421" s="38">
        <f>BD421*BE421</f>
        <v/>
      </c>
    </row>
    <row r="422" ht="15" customHeight="1" s="39">
      <c r="AZ422" s="38">
        <f>INDEX(Translations!$D:$ZZ, MATCH(310,Translations!$A:$A,0), MATCH('Project Information'!$C$4,Translations!$D$1:$ZZ$1,0))</f>
        <v/>
      </c>
      <c r="BA422" s="38">
        <f>INDEX(Translations!$D:$ZZ, MATCH(167,Translations!$A:$A,0), MATCH('Project Information'!$C$4,Translations!$D$1:$ZZ$1,0))</f>
        <v/>
      </c>
      <c r="BB422" s="38">
        <f>INDEX(Translations!$D:$ZZ, MATCH(343,Translations!$A:$A,0), MATCH('Project Information'!$C$4,Translations!$D$1:$ZZ$1,0))</f>
        <v/>
      </c>
      <c r="BC422" s="38">
        <f>INDEX(Translations!$D:$ZZ, MATCH(82,Translations!$A:$A,0), MATCH('Project Information'!$C$4,Translations!$D$1:$ZZ$1,0))</f>
        <v/>
      </c>
      <c r="BD422" s="38">
        <f>MAX(N(Scope!$G$16)-1,0)</f>
        <v/>
      </c>
      <c r="BE422" s="38" t="n">
        <v>0.5</v>
      </c>
      <c r="BF422" s="38">
        <f>BD422*BE422</f>
        <v/>
      </c>
    </row>
    <row r="423" ht="15" customHeight="1" s="39">
      <c r="AZ423" s="38">
        <f>INDEX(Translations!$D:$ZZ, MATCH(310,Translations!$A:$A,0), MATCH('Project Information'!$C$4,Translations!$D$1:$ZZ$1,0))</f>
        <v/>
      </c>
      <c r="BA423" s="38">
        <f>INDEX(Translations!$D:$ZZ, MATCH(167,Translations!$A:$A,0), MATCH('Project Information'!$C$4,Translations!$D$1:$ZZ$1,0))</f>
        <v/>
      </c>
      <c r="BB423" s="38">
        <f>INDEX(Translations!$D:$ZZ, MATCH(343,Translations!$A:$A,0), MATCH('Project Information'!$C$4,Translations!$D$1:$ZZ$1,0))</f>
        <v/>
      </c>
      <c r="BC423" s="38">
        <f>INDEX(Translations!$D:$ZZ, MATCH(83,Translations!$A:$A,0), MATCH('Project Information'!$C$4,Translations!$D$1:$ZZ$1,0))</f>
        <v/>
      </c>
      <c r="BD423" s="38">
        <f>MAX(N(Scope!$G$16)-1,0)</f>
        <v/>
      </c>
      <c r="BE423" s="38" t="n">
        <v>1</v>
      </c>
      <c r="BF423" s="38">
        <f>BD423*BE423</f>
        <v/>
      </c>
    </row>
    <row r="424" ht="15" customHeight="1" s="39">
      <c r="AZ424" s="38">
        <f>INDEX(Translations!$D:$ZZ, MATCH(310,Translations!$A:$A,0), MATCH('Project Information'!$C$4,Translations!$D$1:$ZZ$1,0))</f>
        <v/>
      </c>
      <c r="BA424" s="38">
        <f>INDEX(Translations!$D:$ZZ, MATCH(167,Translations!$A:$A,0), MATCH('Project Information'!$C$4,Translations!$D$1:$ZZ$1,0))</f>
        <v/>
      </c>
      <c r="BB424" s="38">
        <f>INDEX(Translations!$D:$ZZ, MATCH(343,Translations!$A:$A,0), MATCH('Project Information'!$C$4,Translations!$D$1:$ZZ$1,0))</f>
        <v/>
      </c>
      <c r="BC424" s="38">
        <f>INDEX(Translations!$D:$ZZ, MATCH(84,Translations!$A:$A,0), MATCH('Project Information'!$C$4,Translations!$D$1:$ZZ$1,0))</f>
        <v/>
      </c>
      <c r="BD424" s="38">
        <f>MAX(N(Scope!$G$16)-1,0)</f>
        <v/>
      </c>
      <c r="BE424" s="38" t="n">
        <v>0.5</v>
      </c>
      <c r="BF424" s="38">
        <f>BD424*BE424</f>
        <v/>
      </c>
    </row>
    <row r="425" ht="15" customHeight="1" s="39">
      <c r="AZ425" s="38">
        <f>INDEX(Translations!$D:$ZZ, MATCH(310,Translations!$A:$A,0), MATCH('Project Information'!$C$4,Translations!$D$1:$ZZ$1,0))</f>
        <v/>
      </c>
      <c r="BA425" s="38">
        <f>INDEX(Translations!$D:$ZZ, MATCH(167,Translations!$A:$A,0), MATCH('Project Information'!$C$4,Translations!$D$1:$ZZ$1,0))</f>
        <v/>
      </c>
      <c r="BB425" s="38">
        <f>INDEX(Translations!$D:$ZZ, MATCH(337,Translations!$A:$A,0), MATCH('Project Information'!$C$4,Translations!$D$1:$ZZ$1,0))</f>
        <v/>
      </c>
      <c r="BC425" s="38">
        <f>INDEX(Translations!$D:$ZZ, MATCH(78,Translations!$A:$A,0), MATCH('Project Information'!$C$4,Translations!$D$1:$ZZ$1,0))</f>
        <v/>
      </c>
      <c r="BD425" s="38">
        <f>MAX(N(Scope!$G$16)-1,0)</f>
        <v/>
      </c>
      <c r="BE425" s="38" t="n">
        <v>1</v>
      </c>
      <c r="BF425" s="38">
        <f>BD425*BE425</f>
        <v/>
      </c>
    </row>
    <row r="426" ht="15" customHeight="1" s="39">
      <c r="AZ426" s="38">
        <f>INDEX(Translations!$D:$ZZ, MATCH(310,Translations!$A:$A,0), MATCH('Project Information'!$C$4,Translations!$D$1:$ZZ$1,0))</f>
        <v/>
      </c>
      <c r="BA426" s="38">
        <f>INDEX(Translations!$D:$ZZ, MATCH(167,Translations!$A:$A,0), MATCH('Project Information'!$C$4,Translations!$D$1:$ZZ$1,0))</f>
        <v/>
      </c>
      <c r="BB426" s="38">
        <f>INDEX(Translations!$D:$ZZ, MATCH(337,Translations!$A:$A,0), MATCH('Project Information'!$C$4,Translations!$D$1:$ZZ$1,0))</f>
        <v/>
      </c>
      <c r="BC426" s="38">
        <f>INDEX(Translations!$D:$ZZ, MATCH(79,Translations!$A:$A,0), MATCH('Project Information'!$C$4,Translations!$D$1:$ZZ$1,0))</f>
        <v/>
      </c>
      <c r="BD426" s="38">
        <f>MAX(N(Scope!$G$16)-1,0)</f>
        <v/>
      </c>
      <c r="BE426" s="38" t="n">
        <v>0.5</v>
      </c>
      <c r="BF426" s="38">
        <f>BD426*BE426</f>
        <v/>
      </c>
    </row>
    <row r="427" ht="15" customHeight="1" s="39">
      <c r="AZ427" s="38">
        <f>INDEX(Translations!$D:$ZZ, MATCH(310,Translations!$A:$A,0), MATCH('Project Information'!$C$4,Translations!$D$1:$ZZ$1,0))</f>
        <v/>
      </c>
      <c r="BA427" s="38">
        <f>INDEX(Translations!$D:$ZZ, MATCH(167,Translations!$A:$A,0), MATCH('Project Information'!$C$4,Translations!$D$1:$ZZ$1,0))</f>
        <v/>
      </c>
      <c r="BB427" s="38">
        <f>INDEX(Translations!$D:$ZZ, MATCH(337,Translations!$A:$A,0), MATCH('Project Information'!$C$4,Translations!$D$1:$ZZ$1,0))</f>
        <v/>
      </c>
      <c r="BC427" s="38">
        <f>INDEX(Translations!$D:$ZZ, MATCH(82,Translations!$A:$A,0), MATCH('Project Information'!$C$4,Translations!$D$1:$ZZ$1,0))</f>
        <v/>
      </c>
      <c r="BD427" s="38">
        <f>MAX(N(Scope!$G$16)-1,0)</f>
        <v/>
      </c>
      <c r="BE427" s="38" t="n">
        <v>0.5</v>
      </c>
      <c r="BF427" s="38">
        <f>BD427*BE427</f>
        <v/>
      </c>
    </row>
    <row r="428" ht="15" customHeight="1" s="39">
      <c r="AZ428" s="38">
        <f>INDEX(Translations!$D:$ZZ, MATCH(310,Translations!$A:$A,0), MATCH('Project Information'!$C$4,Translations!$D$1:$ZZ$1,0))</f>
        <v/>
      </c>
      <c r="BA428" s="38">
        <f>INDEX(Translations!$D:$ZZ, MATCH(167,Translations!$A:$A,0), MATCH('Project Information'!$C$4,Translations!$D$1:$ZZ$1,0))</f>
        <v/>
      </c>
      <c r="BB428" s="38">
        <f>INDEX(Translations!$D:$ZZ, MATCH(337,Translations!$A:$A,0), MATCH('Project Information'!$C$4,Translations!$D$1:$ZZ$1,0))</f>
        <v/>
      </c>
      <c r="BC428" s="38">
        <f>INDEX(Translations!$D:$ZZ, MATCH(83,Translations!$A:$A,0), MATCH('Project Information'!$C$4,Translations!$D$1:$ZZ$1,0))</f>
        <v/>
      </c>
      <c r="BD428" s="38">
        <f>MAX(N(Scope!$G$16)-1,0)</f>
        <v/>
      </c>
      <c r="BE428" s="38" t="n">
        <v>1</v>
      </c>
      <c r="BF428" s="38">
        <f>BD428*BE428</f>
        <v/>
      </c>
    </row>
    <row r="429" ht="15" customHeight="1" s="39">
      <c r="AZ429" s="38">
        <f>INDEX(Translations!$D:$ZZ, MATCH(310,Translations!$A:$A,0), MATCH('Project Information'!$C$4,Translations!$D$1:$ZZ$1,0))</f>
        <v/>
      </c>
      <c r="BA429" s="38">
        <f>INDEX(Translations!$D:$ZZ, MATCH(167,Translations!$A:$A,0), MATCH('Project Information'!$C$4,Translations!$D$1:$ZZ$1,0))</f>
        <v/>
      </c>
      <c r="BB429" s="38">
        <f>INDEX(Translations!$D:$ZZ, MATCH(337,Translations!$A:$A,0), MATCH('Project Information'!$C$4,Translations!$D$1:$ZZ$1,0))</f>
        <v/>
      </c>
      <c r="BC429" s="38">
        <f>INDEX(Translations!$D:$ZZ, MATCH(84,Translations!$A:$A,0), MATCH('Project Information'!$C$4,Translations!$D$1:$ZZ$1,0))</f>
        <v/>
      </c>
      <c r="BD429" s="38">
        <f>MAX(N(Scope!$G$16)-1,0)</f>
        <v/>
      </c>
      <c r="BE429" s="38" t="n">
        <v>0.5</v>
      </c>
      <c r="BF429" s="38">
        <f>BD429*BE429</f>
        <v/>
      </c>
    </row>
    <row r="430" ht="15" customHeight="1" s="39">
      <c r="AZ430" s="38">
        <f>INDEX(Translations!$D:$ZZ, MATCH(310,Translations!$A:$A,0), MATCH('Project Information'!$C$4,Translations!$D$1:$ZZ$1,0))</f>
        <v/>
      </c>
      <c r="BA430" s="38">
        <f>INDEX(Translations!$D:$ZZ, MATCH(167,Translations!$A:$A,0), MATCH('Project Information'!$C$4,Translations!$D$1:$ZZ$1,0))</f>
        <v/>
      </c>
      <c r="BB430" s="38">
        <f>INDEX(Translations!$D:$ZZ, MATCH(341,Translations!$A:$A,0), MATCH('Project Information'!$C$4,Translations!$D$1:$ZZ$1,0))</f>
        <v/>
      </c>
      <c r="BC430" s="38">
        <f>INDEX(Translations!$D:$ZZ, MATCH(78,Translations!$A:$A,0), MATCH('Project Information'!$C$4,Translations!$D$1:$ZZ$1,0))</f>
        <v/>
      </c>
      <c r="BD430" s="38">
        <f>MAX(N(Scope!$G$16)-1,0)</f>
        <v/>
      </c>
      <c r="BE430" s="38" t="n">
        <v>1</v>
      </c>
      <c r="BF430" s="38">
        <f>BD430*BE430</f>
        <v/>
      </c>
    </row>
    <row r="431" ht="15" customHeight="1" s="39">
      <c r="AZ431" s="38">
        <f>INDEX(Translations!$D:$ZZ, MATCH(310,Translations!$A:$A,0), MATCH('Project Information'!$C$4,Translations!$D$1:$ZZ$1,0))</f>
        <v/>
      </c>
      <c r="BA431" s="38">
        <f>INDEX(Translations!$D:$ZZ, MATCH(167,Translations!$A:$A,0), MATCH('Project Information'!$C$4,Translations!$D$1:$ZZ$1,0))</f>
        <v/>
      </c>
      <c r="BB431" s="38">
        <f>INDEX(Translations!$D:$ZZ, MATCH(341,Translations!$A:$A,0), MATCH('Project Information'!$C$4,Translations!$D$1:$ZZ$1,0))</f>
        <v/>
      </c>
      <c r="BC431" s="38">
        <f>INDEX(Translations!$D:$ZZ, MATCH(79,Translations!$A:$A,0), MATCH('Project Information'!$C$4,Translations!$D$1:$ZZ$1,0))</f>
        <v/>
      </c>
      <c r="BD431" s="38">
        <f>MAX(N(Scope!$G$16)-1,0)</f>
        <v/>
      </c>
      <c r="BE431" s="38" t="n">
        <v>0.5</v>
      </c>
      <c r="BF431" s="38">
        <f>BD431*BE431</f>
        <v/>
      </c>
    </row>
    <row r="432" ht="15" customHeight="1" s="39">
      <c r="AZ432" s="38">
        <f>INDEX(Translations!$D:$ZZ, MATCH(310,Translations!$A:$A,0), MATCH('Project Information'!$C$4,Translations!$D$1:$ZZ$1,0))</f>
        <v/>
      </c>
      <c r="BA432" s="38">
        <f>INDEX(Translations!$D:$ZZ, MATCH(167,Translations!$A:$A,0), MATCH('Project Information'!$C$4,Translations!$D$1:$ZZ$1,0))</f>
        <v/>
      </c>
      <c r="BB432" s="38">
        <f>INDEX(Translations!$D:$ZZ, MATCH(341,Translations!$A:$A,0), MATCH('Project Information'!$C$4,Translations!$D$1:$ZZ$1,0))</f>
        <v/>
      </c>
      <c r="BC432" s="38">
        <f>INDEX(Translations!$D:$ZZ, MATCH(82,Translations!$A:$A,0), MATCH('Project Information'!$C$4,Translations!$D$1:$ZZ$1,0))</f>
        <v/>
      </c>
      <c r="BD432" s="38">
        <f>MAX(N(Scope!$G$16)-1,0)</f>
        <v/>
      </c>
      <c r="BE432" s="38" t="n">
        <v>0.5</v>
      </c>
      <c r="BF432" s="38">
        <f>BD432*BE432</f>
        <v/>
      </c>
    </row>
    <row r="433" ht="15" customHeight="1" s="39">
      <c r="AZ433" s="38">
        <f>INDEX(Translations!$D:$ZZ, MATCH(310,Translations!$A:$A,0), MATCH('Project Information'!$C$4,Translations!$D$1:$ZZ$1,0))</f>
        <v/>
      </c>
      <c r="BA433" s="38">
        <f>INDEX(Translations!$D:$ZZ, MATCH(167,Translations!$A:$A,0), MATCH('Project Information'!$C$4,Translations!$D$1:$ZZ$1,0))</f>
        <v/>
      </c>
      <c r="BB433" s="38">
        <f>INDEX(Translations!$D:$ZZ, MATCH(341,Translations!$A:$A,0), MATCH('Project Information'!$C$4,Translations!$D$1:$ZZ$1,0))</f>
        <v/>
      </c>
      <c r="BC433" s="38">
        <f>INDEX(Translations!$D:$ZZ, MATCH(83,Translations!$A:$A,0), MATCH('Project Information'!$C$4,Translations!$D$1:$ZZ$1,0))</f>
        <v/>
      </c>
      <c r="BD433" s="38">
        <f>MAX(N(Scope!$G$16)-1,0)</f>
        <v/>
      </c>
      <c r="BE433" s="38" t="n">
        <v>1</v>
      </c>
      <c r="BF433" s="38">
        <f>BD433*BE433</f>
        <v/>
      </c>
    </row>
    <row r="434" ht="15" customHeight="1" s="39">
      <c r="AZ434" s="38">
        <f>INDEX(Translations!$D:$ZZ, MATCH(310,Translations!$A:$A,0), MATCH('Project Information'!$C$4,Translations!$D$1:$ZZ$1,0))</f>
        <v/>
      </c>
      <c r="BA434" s="38">
        <f>INDEX(Translations!$D:$ZZ, MATCH(167,Translations!$A:$A,0), MATCH('Project Information'!$C$4,Translations!$D$1:$ZZ$1,0))</f>
        <v/>
      </c>
      <c r="BB434" s="38">
        <f>INDEX(Translations!$D:$ZZ, MATCH(341,Translations!$A:$A,0), MATCH('Project Information'!$C$4,Translations!$D$1:$ZZ$1,0))</f>
        <v/>
      </c>
      <c r="BC434" s="38">
        <f>INDEX(Translations!$D:$ZZ, MATCH(84,Translations!$A:$A,0), MATCH('Project Information'!$C$4,Translations!$D$1:$ZZ$1,0))</f>
        <v/>
      </c>
      <c r="BD434" s="38">
        <f>MAX(N(Scope!$G$16)-1,0)</f>
        <v/>
      </c>
      <c r="BE434" s="38" t="n">
        <v>0.5</v>
      </c>
      <c r="BF434" s="38">
        <f>BD434*BE434</f>
        <v/>
      </c>
    </row>
    <row r="435" ht="15" customHeight="1" s="39">
      <c r="AZ435" s="38">
        <f>INDEX(Translations!$D:$ZZ, MATCH(310,Translations!$A:$A,0), MATCH('Project Information'!$C$4,Translations!$D$1:$ZZ$1,0))</f>
        <v/>
      </c>
      <c r="BA435" s="38">
        <f>INDEX(Translations!$D:$ZZ, MATCH(167,Translations!$A:$A,0), MATCH('Project Information'!$C$4,Translations!$D$1:$ZZ$1,0))</f>
        <v/>
      </c>
      <c r="BB435" s="38">
        <f>INDEX(Translations!$D:$ZZ, MATCH(338,Translations!$A:$A,0), MATCH('Project Information'!$C$4,Translations!$D$1:$ZZ$1,0))</f>
        <v/>
      </c>
      <c r="BC435" s="38">
        <f>INDEX(Translations!$D:$ZZ, MATCH(78,Translations!$A:$A,0), MATCH('Project Information'!$C$4,Translations!$D$1:$ZZ$1,0))</f>
        <v/>
      </c>
      <c r="BD435" s="38">
        <f>MAX(N(Scope!$G$16)-1,0)</f>
        <v/>
      </c>
      <c r="BE435" s="38" t="n">
        <v>1</v>
      </c>
      <c r="BF435" s="38">
        <f>BD435*BE435</f>
        <v/>
      </c>
    </row>
    <row r="436" ht="15" customHeight="1" s="39">
      <c r="AZ436" s="38">
        <f>INDEX(Translations!$D:$ZZ, MATCH(310,Translations!$A:$A,0), MATCH('Project Information'!$C$4,Translations!$D$1:$ZZ$1,0))</f>
        <v/>
      </c>
      <c r="BA436" s="38">
        <f>INDEX(Translations!$D:$ZZ, MATCH(167,Translations!$A:$A,0), MATCH('Project Information'!$C$4,Translations!$D$1:$ZZ$1,0))</f>
        <v/>
      </c>
      <c r="BB436" s="38">
        <f>INDEX(Translations!$D:$ZZ, MATCH(338,Translations!$A:$A,0), MATCH('Project Information'!$C$4,Translations!$D$1:$ZZ$1,0))</f>
        <v/>
      </c>
      <c r="BC436" s="38">
        <f>INDEX(Translations!$D:$ZZ, MATCH(79,Translations!$A:$A,0), MATCH('Project Information'!$C$4,Translations!$D$1:$ZZ$1,0))</f>
        <v/>
      </c>
      <c r="BD436" s="38">
        <f>MAX(N(Scope!$G$16)-1,0)</f>
        <v/>
      </c>
      <c r="BE436" s="38" t="n">
        <v>0.5</v>
      </c>
      <c r="BF436" s="38">
        <f>BD436*BE436</f>
        <v/>
      </c>
    </row>
    <row r="437" ht="15" customHeight="1" s="39">
      <c r="AZ437" s="38">
        <f>INDEX(Translations!$D:$ZZ, MATCH(310,Translations!$A:$A,0), MATCH('Project Information'!$C$4,Translations!$D$1:$ZZ$1,0))</f>
        <v/>
      </c>
      <c r="BA437" s="38">
        <f>INDEX(Translations!$D:$ZZ, MATCH(167,Translations!$A:$A,0), MATCH('Project Information'!$C$4,Translations!$D$1:$ZZ$1,0))</f>
        <v/>
      </c>
      <c r="BB437" s="38">
        <f>INDEX(Translations!$D:$ZZ, MATCH(338,Translations!$A:$A,0), MATCH('Project Information'!$C$4,Translations!$D$1:$ZZ$1,0))</f>
        <v/>
      </c>
      <c r="BC437" s="38">
        <f>INDEX(Translations!$D:$ZZ, MATCH(82,Translations!$A:$A,0), MATCH('Project Information'!$C$4,Translations!$D$1:$ZZ$1,0))</f>
        <v/>
      </c>
      <c r="BD437" s="38">
        <f>MAX(N(Scope!$G$16)-1,0)</f>
        <v/>
      </c>
      <c r="BE437" s="38" t="n">
        <v>0.5</v>
      </c>
      <c r="BF437" s="38">
        <f>BD437*BE437</f>
        <v/>
      </c>
    </row>
    <row r="438" ht="15" customHeight="1" s="39">
      <c r="AZ438" s="38">
        <f>INDEX(Translations!$D:$ZZ, MATCH(310,Translations!$A:$A,0), MATCH('Project Information'!$C$4,Translations!$D$1:$ZZ$1,0))</f>
        <v/>
      </c>
      <c r="BA438" s="38">
        <f>INDEX(Translations!$D:$ZZ, MATCH(167,Translations!$A:$A,0), MATCH('Project Information'!$C$4,Translations!$D$1:$ZZ$1,0))</f>
        <v/>
      </c>
      <c r="BB438" s="38">
        <f>INDEX(Translations!$D:$ZZ, MATCH(338,Translations!$A:$A,0), MATCH('Project Information'!$C$4,Translations!$D$1:$ZZ$1,0))</f>
        <v/>
      </c>
      <c r="BC438" s="38">
        <f>INDEX(Translations!$D:$ZZ, MATCH(83,Translations!$A:$A,0), MATCH('Project Information'!$C$4,Translations!$D$1:$ZZ$1,0))</f>
        <v/>
      </c>
      <c r="BD438" s="38">
        <f>MAX(N(Scope!$G$16)-1,0)</f>
        <v/>
      </c>
      <c r="BE438" s="38" t="n">
        <v>1</v>
      </c>
      <c r="BF438" s="38">
        <f>BD438*BE438</f>
        <v/>
      </c>
    </row>
    <row r="439" ht="15" customHeight="1" s="39">
      <c r="AZ439" s="38">
        <f>INDEX(Translations!$D:$ZZ, MATCH(310,Translations!$A:$A,0), MATCH('Project Information'!$C$4,Translations!$D$1:$ZZ$1,0))</f>
        <v/>
      </c>
      <c r="BA439" s="38">
        <f>INDEX(Translations!$D:$ZZ, MATCH(167,Translations!$A:$A,0), MATCH('Project Information'!$C$4,Translations!$D$1:$ZZ$1,0))</f>
        <v/>
      </c>
      <c r="BB439" s="38">
        <f>INDEX(Translations!$D:$ZZ, MATCH(338,Translations!$A:$A,0), MATCH('Project Information'!$C$4,Translations!$D$1:$ZZ$1,0))</f>
        <v/>
      </c>
      <c r="BC439" s="38">
        <f>INDEX(Translations!$D:$ZZ, MATCH(84,Translations!$A:$A,0), MATCH('Project Information'!$C$4,Translations!$D$1:$ZZ$1,0))</f>
        <v/>
      </c>
      <c r="BD439" s="38">
        <f>MAX(N(Scope!$G$16)-1,0)</f>
        <v/>
      </c>
      <c r="BE439" s="38" t="n">
        <v>0.5</v>
      </c>
      <c r="BF439" s="38">
        <f>BD439*BE439</f>
        <v/>
      </c>
    </row>
    <row r="440" ht="15" customHeight="1" s="39">
      <c r="AZ440" s="38">
        <f>INDEX(Translations!$D:$ZZ, MATCH(310,Translations!$A:$A,0), MATCH('Project Information'!$C$4,Translations!$D$1:$ZZ$1,0))</f>
        <v/>
      </c>
      <c r="BA440" s="38">
        <f>INDEX(Translations!$D:$ZZ, MATCH(167,Translations!$A:$A,0), MATCH('Project Information'!$C$4,Translations!$D$1:$ZZ$1,0))</f>
        <v/>
      </c>
      <c r="BB440" s="38">
        <f>INDEX(Translations!$D:$ZZ, MATCH(342,Translations!$A:$A,0), MATCH('Project Information'!$C$4,Translations!$D$1:$ZZ$1,0))</f>
        <v/>
      </c>
      <c r="BC440" s="38">
        <f>INDEX(Translations!$D:$ZZ, MATCH(78,Translations!$A:$A,0), MATCH('Project Information'!$C$4,Translations!$D$1:$ZZ$1,0))</f>
        <v/>
      </c>
      <c r="BD440" s="38">
        <f>MAX(N(Scope!$G$16)-1,0)</f>
        <v/>
      </c>
      <c r="BE440" s="38" t="n">
        <v>1</v>
      </c>
      <c r="BF440" s="38">
        <f>BD440*BE440</f>
        <v/>
      </c>
    </row>
    <row r="441" ht="15" customHeight="1" s="39">
      <c r="AZ441" s="38">
        <f>INDEX(Translations!$D:$ZZ, MATCH(310,Translations!$A:$A,0), MATCH('Project Information'!$C$4,Translations!$D$1:$ZZ$1,0))</f>
        <v/>
      </c>
      <c r="BA441" s="38">
        <f>INDEX(Translations!$D:$ZZ, MATCH(167,Translations!$A:$A,0), MATCH('Project Information'!$C$4,Translations!$D$1:$ZZ$1,0))</f>
        <v/>
      </c>
      <c r="BB441" s="38">
        <f>INDEX(Translations!$D:$ZZ, MATCH(342,Translations!$A:$A,0), MATCH('Project Information'!$C$4,Translations!$D$1:$ZZ$1,0))</f>
        <v/>
      </c>
      <c r="BC441" s="38">
        <f>INDEX(Translations!$D:$ZZ, MATCH(79,Translations!$A:$A,0), MATCH('Project Information'!$C$4,Translations!$D$1:$ZZ$1,0))</f>
        <v/>
      </c>
      <c r="BD441" s="38">
        <f>MAX(N(Scope!$G$16)-1,0)</f>
        <v/>
      </c>
      <c r="BE441" s="38" t="n">
        <v>0.5</v>
      </c>
      <c r="BF441" s="38">
        <f>BD441*BE441</f>
        <v/>
      </c>
    </row>
    <row r="442" ht="15" customHeight="1" s="39">
      <c r="AZ442" s="38">
        <f>INDEX(Translations!$D:$ZZ, MATCH(310,Translations!$A:$A,0), MATCH('Project Information'!$C$4,Translations!$D$1:$ZZ$1,0))</f>
        <v/>
      </c>
      <c r="BA442" s="38">
        <f>INDEX(Translations!$D:$ZZ, MATCH(167,Translations!$A:$A,0), MATCH('Project Information'!$C$4,Translations!$D$1:$ZZ$1,0))</f>
        <v/>
      </c>
      <c r="BB442" s="38">
        <f>INDEX(Translations!$D:$ZZ, MATCH(342,Translations!$A:$A,0), MATCH('Project Information'!$C$4,Translations!$D$1:$ZZ$1,0))</f>
        <v/>
      </c>
      <c r="BC442" s="38">
        <f>INDEX(Translations!$D:$ZZ, MATCH(82,Translations!$A:$A,0), MATCH('Project Information'!$C$4,Translations!$D$1:$ZZ$1,0))</f>
        <v/>
      </c>
      <c r="BD442" s="38">
        <f>MAX(N(Scope!$G$16)-1,0)</f>
        <v/>
      </c>
      <c r="BE442" s="38" t="n">
        <v>0.5</v>
      </c>
      <c r="BF442" s="38">
        <f>BD442*BE442</f>
        <v/>
      </c>
    </row>
    <row r="443" ht="15" customHeight="1" s="39">
      <c r="AZ443" s="38">
        <f>INDEX(Translations!$D:$ZZ, MATCH(310,Translations!$A:$A,0), MATCH('Project Information'!$C$4,Translations!$D$1:$ZZ$1,0))</f>
        <v/>
      </c>
      <c r="BA443" s="38">
        <f>INDEX(Translations!$D:$ZZ, MATCH(167,Translations!$A:$A,0), MATCH('Project Information'!$C$4,Translations!$D$1:$ZZ$1,0))</f>
        <v/>
      </c>
      <c r="BB443" s="38">
        <f>INDEX(Translations!$D:$ZZ, MATCH(342,Translations!$A:$A,0), MATCH('Project Information'!$C$4,Translations!$D$1:$ZZ$1,0))</f>
        <v/>
      </c>
      <c r="BC443" s="38">
        <f>INDEX(Translations!$D:$ZZ, MATCH(83,Translations!$A:$A,0), MATCH('Project Information'!$C$4,Translations!$D$1:$ZZ$1,0))</f>
        <v/>
      </c>
      <c r="BD443" s="38">
        <f>MAX(N(Scope!$G$16)-1,0)</f>
        <v/>
      </c>
      <c r="BE443" s="38" t="n">
        <v>1</v>
      </c>
      <c r="BF443" s="38">
        <f>BD443*BE443</f>
        <v/>
      </c>
    </row>
    <row r="444" ht="15" customHeight="1" s="39">
      <c r="AZ444" s="38">
        <f>INDEX(Translations!$D:$ZZ, MATCH(310,Translations!$A:$A,0), MATCH('Project Information'!$C$4,Translations!$D$1:$ZZ$1,0))</f>
        <v/>
      </c>
      <c r="BA444" s="38">
        <f>INDEX(Translations!$D:$ZZ, MATCH(167,Translations!$A:$A,0), MATCH('Project Information'!$C$4,Translations!$D$1:$ZZ$1,0))</f>
        <v/>
      </c>
      <c r="BB444" s="38">
        <f>INDEX(Translations!$D:$ZZ, MATCH(342,Translations!$A:$A,0), MATCH('Project Information'!$C$4,Translations!$D$1:$ZZ$1,0))</f>
        <v/>
      </c>
      <c r="BC444" s="38">
        <f>INDEX(Translations!$D:$ZZ, MATCH(84,Translations!$A:$A,0), MATCH('Project Information'!$C$4,Translations!$D$1:$ZZ$1,0))</f>
        <v/>
      </c>
      <c r="BD444" s="38">
        <f>MAX(N(Scope!$G$16)-1,0)</f>
        <v/>
      </c>
      <c r="BE444" s="38" t="n">
        <v>0.5</v>
      </c>
      <c r="BF444" s="38">
        <f>BD444*BE444</f>
        <v/>
      </c>
    </row>
    <row r="445" ht="15" customHeight="1" s="39">
      <c r="AZ445" s="38">
        <f>INDEX(Translations!$D:$ZZ, MATCH(310,Translations!$A:$A,0), MATCH('Project Information'!$C$4,Translations!$D$1:$ZZ$1,0))</f>
        <v/>
      </c>
      <c r="BA445" s="38">
        <f>INDEX(Translations!$D:$ZZ, MATCH(167,Translations!$A:$A,0), MATCH('Project Information'!$C$4,Translations!$D$1:$ZZ$1,0))</f>
        <v/>
      </c>
      <c r="BB445" s="38">
        <f>INDEX(Translations!$D:$ZZ, MATCH(340,Translations!$A:$A,0), MATCH('Project Information'!$C$4,Translations!$D$1:$ZZ$1,0))</f>
        <v/>
      </c>
      <c r="BC445" s="38">
        <f>INDEX(Translations!$D:$ZZ, MATCH(78,Translations!$A:$A,0), MATCH('Project Information'!$C$4,Translations!$D$1:$ZZ$1,0))</f>
        <v/>
      </c>
      <c r="BD445" s="38">
        <f>MAX(N(Scope!$G$16)-1,0)</f>
        <v/>
      </c>
      <c r="BE445" s="38" t="n">
        <v>1</v>
      </c>
      <c r="BF445" s="38">
        <f>BD445*BE445</f>
        <v/>
      </c>
    </row>
    <row r="446" ht="15" customHeight="1" s="39">
      <c r="AZ446" s="38">
        <f>INDEX(Translations!$D:$ZZ, MATCH(310,Translations!$A:$A,0), MATCH('Project Information'!$C$4,Translations!$D$1:$ZZ$1,0))</f>
        <v/>
      </c>
      <c r="BA446" s="38">
        <f>INDEX(Translations!$D:$ZZ, MATCH(167,Translations!$A:$A,0), MATCH('Project Information'!$C$4,Translations!$D$1:$ZZ$1,0))</f>
        <v/>
      </c>
      <c r="BB446" s="38">
        <f>INDEX(Translations!$D:$ZZ, MATCH(340,Translations!$A:$A,0), MATCH('Project Information'!$C$4,Translations!$D$1:$ZZ$1,0))</f>
        <v/>
      </c>
      <c r="BC446" s="38">
        <f>INDEX(Translations!$D:$ZZ, MATCH(79,Translations!$A:$A,0), MATCH('Project Information'!$C$4,Translations!$D$1:$ZZ$1,0))</f>
        <v/>
      </c>
      <c r="BD446" s="38">
        <f>MAX(N(Scope!$G$16)-1,0)</f>
        <v/>
      </c>
      <c r="BE446" s="38" t="n">
        <v>0.5</v>
      </c>
      <c r="BF446" s="38">
        <f>BD446*BE446</f>
        <v/>
      </c>
    </row>
    <row r="447" ht="15" customHeight="1" s="39">
      <c r="AZ447" s="38">
        <f>INDEX(Translations!$D:$ZZ, MATCH(310,Translations!$A:$A,0), MATCH('Project Information'!$C$4,Translations!$D$1:$ZZ$1,0))</f>
        <v/>
      </c>
      <c r="BA447" s="38">
        <f>INDEX(Translations!$D:$ZZ, MATCH(167,Translations!$A:$A,0), MATCH('Project Information'!$C$4,Translations!$D$1:$ZZ$1,0))</f>
        <v/>
      </c>
      <c r="BB447" s="38">
        <f>INDEX(Translations!$D:$ZZ, MATCH(340,Translations!$A:$A,0), MATCH('Project Information'!$C$4,Translations!$D$1:$ZZ$1,0))</f>
        <v/>
      </c>
      <c r="BC447" s="38">
        <f>INDEX(Translations!$D:$ZZ, MATCH(82,Translations!$A:$A,0), MATCH('Project Information'!$C$4,Translations!$D$1:$ZZ$1,0))</f>
        <v/>
      </c>
      <c r="BD447" s="38">
        <f>MAX(N(Scope!$G$16)-1,0)</f>
        <v/>
      </c>
      <c r="BE447" s="38" t="n">
        <v>0.5</v>
      </c>
      <c r="BF447" s="38">
        <f>BD447*BE447</f>
        <v/>
      </c>
    </row>
    <row r="448" ht="15" customHeight="1" s="39">
      <c r="AZ448" s="38">
        <f>INDEX(Translations!$D:$ZZ, MATCH(310,Translations!$A:$A,0), MATCH('Project Information'!$C$4,Translations!$D$1:$ZZ$1,0))</f>
        <v/>
      </c>
      <c r="BA448" s="38">
        <f>INDEX(Translations!$D:$ZZ, MATCH(167,Translations!$A:$A,0), MATCH('Project Information'!$C$4,Translations!$D$1:$ZZ$1,0))</f>
        <v/>
      </c>
      <c r="BB448" s="38">
        <f>INDEX(Translations!$D:$ZZ, MATCH(340,Translations!$A:$A,0), MATCH('Project Information'!$C$4,Translations!$D$1:$ZZ$1,0))</f>
        <v/>
      </c>
      <c r="BC448" s="38">
        <f>INDEX(Translations!$D:$ZZ, MATCH(83,Translations!$A:$A,0), MATCH('Project Information'!$C$4,Translations!$D$1:$ZZ$1,0))</f>
        <v/>
      </c>
      <c r="BD448" s="38">
        <f>MAX(N(Scope!$G$16)-1,0)</f>
        <v/>
      </c>
      <c r="BE448" s="38" t="n">
        <v>1</v>
      </c>
      <c r="BF448" s="38">
        <f>BD448*BE448</f>
        <v/>
      </c>
    </row>
    <row r="449" ht="15" customHeight="1" s="39">
      <c r="AZ449" s="38">
        <f>INDEX(Translations!$D:$ZZ, MATCH(310,Translations!$A:$A,0), MATCH('Project Information'!$C$4,Translations!$D$1:$ZZ$1,0))</f>
        <v/>
      </c>
      <c r="BA449" s="38">
        <f>INDEX(Translations!$D:$ZZ, MATCH(167,Translations!$A:$A,0), MATCH('Project Information'!$C$4,Translations!$D$1:$ZZ$1,0))</f>
        <v/>
      </c>
      <c r="BB449" s="38">
        <f>INDEX(Translations!$D:$ZZ, MATCH(340,Translations!$A:$A,0), MATCH('Project Information'!$C$4,Translations!$D$1:$ZZ$1,0))</f>
        <v/>
      </c>
      <c r="BC449" s="38">
        <f>INDEX(Translations!$D:$ZZ, MATCH(84,Translations!$A:$A,0), MATCH('Project Information'!$C$4,Translations!$D$1:$ZZ$1,0))</f>
        <v/>
      </c>
      <c r="BD449" s="38">
        <f>MAX(N(Scope!$G$16)-1,0)</f>
        <v/>
      </c>
      <c r="BE449" s="38" t="n">
        <v>0.5</v>
      </c>
      <c r="BF449" s="38">
        <f>BD449*BE449</f>
        <v/>
      </c>
    </row>
    <row r="450" ht="15" customHeight="1" s="39">
      <c r="AZ450" s="38">
        <f>INDEX(Translations!$D:$ZZ, MATCH(310,Translations!$A:$A,0), MATCH('Project Information'!$C$4,Translations!$D$1:$ZZ$1,0))</f>
        <v/>
      </c>
      <c r="BA450" s="38">
        <f>INDEX(Translations!$D:$ZZ, MATCH(167,Translations!$A:$A,0), MATCH('Project Information'!$C$4,Translations!$D$1:$ZZ$1,0))</f>
        <v/>
      </c>
      <c r="BB450" s="38">
        <f>INDEX(Translations!$D:$ZZ, MATCH(339,Translations!$A:$A,0), MATCH('Project Information'!$C$4,Translations!$D$1:$ZZ$1,0))</f>
        <v/>
      </c>
      <c r="BC450" s="38">
        <f>INDEX(Translations!$D:$ZZ, MATCH(78,Translations!$A:$A,0), MATCH('Project Information'!$C$4,Translations!$D$1:$ZZ$1,0))</f>
        <v/>
      </c>
      <c r="BD450" s="38">
        <f>MAX(N(Scope!$G$16)-1,0)</f>
        <v/>
      </c>
      <c r="BE450" s="38" t="n">
        <v>1</v>
      </c>
      <c r="BF450" s="38">
        <f>BD450*BE450</f>
        <v/>
      </c>
    </row>
    <row r="451" ht="15" customHeight="1" s="39">
      <c r="AZ451" s="38">
        <f>INDEX(Translations!$D:$ZZ, MATCH(310,Translations!$A:$A,0), MATCH('Project Information'!$C$4,Translations!$D$1:$ZZ$1,0))</f>
        <v/>
      </c>
      <c r="BA451" s="38">
        <f>INDEX(Translations!$D:$ZZ, MATCH(167,Translations!$A:$A,0), MATCH('Project Information'!$C$4,Translations!$D$1:$ZZ$1,0))</f>
        <v/>
      </c>
      <c r="BB451" s="38">
        <f>INDEX(Translations!$D:$ZZ, MATCH(339,Translations!$A:$A,0), MATCH('Project Information'!$C$4,Translations!$D$1:$ZZ$1,0))</f>
        <v/>
      </c>
      <c r="BC451" s="38">
        <f>INDEX(Translations!$D:$ZZ, MATCH(79,Translations!$A:$A,0), MATCH('Project Information'!$C$4,Translations!$D$1:$ZZ$1,0))</f>
        <v/>
      </c>
      <c r="BD451" s="38">
        <f>MAX(N(Scope!$G$16)-1,0)</f>
        <v/>
      </c>
      <c r="BE451" s="38" t="n">
        <v>0.5</v>
      </c>
      <c r="BF451" s="38">
        <f>BD451*BE451</f>
        <v/>
      </c>
    </row>
    <row r="452" ht="15" customHeight="1" s="39">
      <c r="AZ452" s="38">
        <f>INDEX(Translations!$D:$ZZ, MATCH(310,Translations!$A:$A,0), MATCH('Project Information'!$C$4,Translations!$D$1:$ZZ$1,0))</f>
        <v/>
      </c>
      <c r="BA452" s="38">
        <f>INDEX(Translations!$D:$ZZ, MATCH(167,Translations!$A:$A,0), MATCH('Project Information'!$C$4,Translations!$D$1:$ZZ$1,0))</f>
        <v/>
      </c>
      <c r="BB452" s="38">
        <f>INDEX(Translations!$D:$ZZ, MATCH(339,Translations!$A:$A,0), MATCH('Project Information'!$C$4,Translations!$D$1:$ZZ$1,0))</f>
        <v/>
      </c>
      <c r="BC452" s="38">
        <f>INDEX(Translations!$D:$ZZ, MATCH(82,Translations!$A:$A,0), MATCH('Project Information'!$C$4,Translations!$D$1:$ZZ$1,0))</f>
        <v/>
      </c>
      <c r="BD452" s="38">
        <f>MAX(N(Scope!$G$16)-1,0)</f>
        <v/>
      </c>
      <c r="BE452" s="38" t="n">
        <v>0.5</v>
      </c>
      <c r="BF452" s="38">
        <f>BD452*BE452</f>
        <v/>
      </c>
    </row>
    <row r="453" ht="15" customHeight="1" s="39">
      <c r="AZ453" s="38">
        <f>INDEX(Translations!$D:$ZZ, MATCH(310,Translations!$A:$A,0), MATCH('Project Information'!$C$4,Translations!$D$1:$ZZ$1,0))</f>
        <v/>
      </c>
      <c r="BA453" s="38">
        <f>INDEX(Translations!$D:$ZZ, MATCH(167,Translations!$A:$A,0), MATCH('Project Information'!$C$4,Translations!$D$1:$ZZ$1,0))</f>
        <v/>
      </c>
      <c r="BB453" s="38">
        <f>INDEX(Translations!$D:$ZZ, MATCH(339,Translations!$A:$A,0), MATCH('Project Information'!$C$4,Translations!$D$1:$ZZ$1,0))</f>
        <v/>
      </c>
      <c r="BC453" s="38">
        <f>INDEX(Translations!$D:$ZZ, MATCH(83,Translations!$A:$A,0), MATCH('Project Information'!$C$4,Translations!$D$1:$ZZ$1,0))</f>
        <v/>
      </c>
      <c r="BD453" s="38">
        <f>MAX(N(Scope!$G$16)-1,0)</f>
        <v/>
      </c>
      <c r="BE453" s="38" t="n">
        <v>1</v>
      </c>
      <c r="BF453" s="38">
        <f>BD453*BE453</f>
        <v/>
      </c>
    </row>
    <row r="454" ht="15" customHeight="1" s="39">
      <c r="AZ454" s="38">
        <f>INDEX(Translations!$D:$ZZ, MATCH(310,Translations!$A:$A,0), MATCH('Project Information'!$C$4,Translations!$D$1:$ZZ$1,0))</f>
        <v/>
      </c>
      <c r="BA454" s="38">
        <f>INDEX(Translations!$D:$ZZ, MATCH(167,Translations!$A:$A,0), MATCH('Project Information'!$C$4,Translations!$D$1:$ZZ$1,0))</f>
        <v/>
      </c>
      <c r="BB454" s="38">
        <f>INDEX(Translations!$D:$ZZ, MATCH(339,Translations!$A:$A,0), MATCH('Project Information'!$C$4,Translations!$D$1:$ZZ$1,0))</f>
        <v/>
      </c>
      <c r="BC454" s="38">
        <f>INDEX(Translations!$D:$ZZ, MATCH(84,Translations!$A:$A,0), MATCH('Project Information'!$C$4,Translations!$D$1:$ZZ$1,0))</f>
        <v/>
      </c>
      <c r="BD454" s="38">
        <f>MAX(N(Scope!$G$16)-1,0)</f>
        <v/>
      </c>
      <c r="BE454" s="38" t="n">
        <v>0.5</v>
      </c>
      <c r="BF454" s="38">
        <f>BD454*BE454</f>
        <v/>
      </c>
    </row>
    <row r="455" ht="15" customHeight="1" s="39">
      <c r="AZ455" s="38">
        <f>INDEX(Translations!$D:$ZZ, MATCH(305,Translations!$A:$A,0), MATCH('Project Information'!$C$4,Translations!$D$1:$ZZ$1,0))</f>
        <v/>
      </c>
      <c r="BA455" s="38">
        <f>INDEX(Translations!$D:$ZZ, MATCH(30,Translations!$A:$A,0), MATCH('Project Information'!$C$4,Translations!$D$1:$ZZ$1,0))</f>
        <v/>
      </c>
      <c r="BB455" s="38">
        <f>INDEX(Translations!$D:$ZZ, MATCH(333,Translations!$A:$A,0), MATCH('Project Information'!$C$4,Translations!$D$1:$ZZ$1,0))</f>
        <v/>
      </c>
      <c r="BC455" s="38">
        <f>INDEX(Translations!$D:$ZZ, MATCH(75,Translations!$A:$A,0), MATCH('Project Information'!$C$4,Translations!$D$1:$ZZ$1,0))</f>
        <v/>
      </c>
      <c r="BD455" s="38">
        <f>MAX(N(Scope!$G$15)-1,0)</f>
        <v/>
      </c>
      <c r="BE455" s="38" t="n">
        <v>1</v>
      </c>
      <c r="BF455" s="38">
        <f>BD455*BE455</f>
        <v/>
      </c>
    </row>
    <row r="456" ht="15" customHeight="1" s="39">
      <c r="AZ456" s="38">
        <f>INDEX(Translations!$D:$ZZ, MATCH(305,Translations!$A:$A,0), MATCH('Project Information'!$C$4,Translations!$D$1:$ZZ$1,0))</f>
        <v/>
      </c>
      <c r="BA456" s="38">
        <f>INDEX(Translations!$D:$ZZ, MATCH(30,Translations!$A:$A,0), MATCH('Project Information'!$C$4,Translations!$D$1:$ZZ$1,0))</f>
        <v/>
      </c>
      <c r="BB456" s="38">
        <f>INDEX(Translations!$D:$ZZ, MATCH(333,Translations!$A:$A,0), MATCH('Project Information'!$C$4,Translations!$D$1:$ZZ$1,0))</f>
        <v/>
      </c>
      <c r="BC456" s="38">
        <f>INDEX(Translations!$D:$ZZ, MATCH(78,Translations!$A:$A,0), MATCH('Project Information'!$C$4,Translations!$D$1:$ZZ$1,0))</f>
        <v/>
      </c>
      <c r="BD456" s="38">
        <f>MAX(N(Scope!$G$15)-1,0)</f>
        <v/>
      </c>
      <c r="BE456" s="38" t="n">
        <v>0.5</v>
      </c>
      <c r="BF456" s="38">
        <f>BD456*BE456</f>
        <v/>
      </c>
    </row>
    <row r="457" ht="15" customHeight="1" s="39">
      <c r="AZ457" s="38">
        <f>INDEX(Translations!$D:$ZZ, MATCH(305,Translations!$A:$A,0), MATCH('Project Information'!$C$4,Translations!$D$1:$ZZ$1,0))</f>
        <v/>
      </c>
      <c r="BA457" s="38">
        <f>INDEX(Translations!$D:$ZZ, MATCH(30,Translations!$A:$A,0), MATCH('Project Information'!$C$4,Translations!$D$1:$ZZ$1,0))</f>
        <v/>
      </c>
      <c r="BB457" s="38">
        <f>INDEX(Translations!$D:$ZZ, MATCH(333,Translations!$A:$A,0), MATCH('Project Information'!$C$4,Translations!$D$1:$ZZ$1,0))</f>
        <v/>
      </c>
      <c r="BC457" s="38">
        <f>INDEX(Translations!$D:$ZZ, MATCH(79,Translations!$A:$A,0), MATCH('Project Information'!$C$4,Translations!$D$1:$ZZ$1,0))</f>
        <v/>
      </c>
      <c r="BD457" s="38">
        <f>MAX(N(Scope!$G$15)-1,0)</f>
        <v/>
      </c>
      <c r="BE457" s="38" t="n">
        <v>0.5</v>
      </c>
      <c r="BF457" s="38">
        <f>BD457*BE457</f>
        <v/>
      </c>
    </row>
    <row r="458" ht="15" customHeight="1" s="39">
      <c r="AZ458" s="38">
        <f>INDEX(Translations!$D:$ZZ, MATCH(305,Translations!$A:$A,0), MATCH('Project Information'!$C$4,Translations!$D$1:$ZZ$1,0))</f>
        <v/>
      </c>
      <c r="BA458" s="38">
        <f>INDEX(Translations!$D:$ZZ, MATCH(30,Translations!$A:$A,0), MATCH('Project Information'!$C$4,Translations!$D$1:$ZZ$1,0))</f>
        <v/>
      </c>
      <c r="BB458" s="38">
        <f>INDEX(Translations!$D:$ZZ, MATCH(333,Translations!$A:$A,0), MATCH('Project Information'!$C$4,Translations!$D$1:$ZZ$1,0))</f>
        <v/>
      </c>
      <c r="BC458" s="38">
        <f>INDEX(Translations!$D:$ZZ, MATCH(82,Translations!$A:$A,0), MATCH('Project Information'!$C$4,Translations!$D$1:$ZZ$1,0))</f>
        <v/>
      </c>
      <c r="BD458" s="38">
        <f>MAX(N(Scope!$G$15)-1,0)</f>
        <v/>
      </c>
      <c r="BE458" s="38" t="n">
        <v>1</v>
      </c>
      <c r="BF458" s="38">
        <f>BD458*BE458</f>
        <v/>
      </c>
    </row>
    <row r="459" ht="15" customHeight="1" s="39">
      <c r="AZ459" s="38">
        <f>INDEX(Translations!$D:$ZZ, MATCH(305,Translations!$A:$A,0), MATCH('Project Information'!$C$4,Translations!$D$1:$ZZ$1,0))</f>
        <v/>
      </c>
      <c r="BA459" s="38">
        <f>INDEX(Translations!$D:$ZZ, MATCH(30,Translations!$A:$A,0), MATCH('Project Information'!$C$4,Translations!$D$1:$ZZ$1,0))</f>
        <v/>
      </c>
      <c r="BB459" s="38">
        <f>INDEX(Translations!$D:$ZZ, MATCH(333,Translations!$A:$A,0), MATCH('Project Information'!$C$4,Translations!$D$1:$ZZ$1,0))</f>
        <v/>
      </c>
      <c r="BC459" s="38">
        <f>INDEX(Translations!$D:$ZZ, MATCH(83,Translations!$A:$A,0), MATCH('Project Information'!$C$4,Translations!$D$1:$ZZ$1,0))</f>
        <v/>
      </c>
      <c r="BD459" s="38">
        <f>MAX(N(Scope!$G$15)-1,0)</f>
        <v/>
      </c>
      <c r="BE459" s="38" t="n">
        <v>1</v>
      </c>
      <c r="BF459" s="38">
        <f>BD459*BE459</f>
        <v/>
      </c>
    </row>
    <row r="460" ht="15" customHeight="1" s="39">
      <c r="AZ460" s="38">
        <f>INDEX(Translations!$D:$ZZ, MATCH(305,Translations!$A:$A,0), MATCH('Project Information'!$C$4,Translations!$D$1:$ZZ$1,0))</f>
        <v/>
      </c>
      <c r="BA460" s="38">
        <f>INDEX(Translations!$D:$ZZ, MATCH(30,Translations!$A:$A,0), MATCH('Project Information'!$C$4,Translations!$D$1:$ZZ$1,0))</f>
        <v/>
      </c>
      <c r="BB460" s="38">
        <f>INDEX(Translations!$D:$ZZ, MATCH(337,Translations!$A:$A,0), MATCH('Project Information'!$C$4,Translations!$D$1:$ZZ$1,0))</f>
        <v/>
      </c>
      <c r="BC460" s="38">
        <f>INDEX(Translations!$D:$ZZ, MATCH(75,Translations!$A:$A,0), MATCH('Project Information'!$C$4,Translations!$D$1:$ZZ$1,0))</f>
        <v/>
      </c>
      <c r="BD460" s="38">
        <f>MAX(N(Scope!$G$15)-1,0)</f>
        <v/>
      </c>
      <c r="BE460" s="38" t="n">
        <v>1</v>
      </c>
      <c r="BF460" s="38">
        <f>BD460*BE460</f>
        <v/>
      </c>
    </row>
    <row r="461" ht="15" customHeight="1" s="39">
      <c r="AZ461" s="38">
        <f>INDEX(Translations!$D:$ZZ, MATCH(305,Translations!$A:$A,0), MATCH('Project Information'!$C$4,Translations!$D$1:$ZZ$1,0))</f>
        <v/>
      </c>
      <c r="BA461" s="38">
        <f>INDEX(Translations!$D:$ZZ, MATCH(30,Translations!$A:$A,0), MATCH('Project Information'!$C$4,Translations!$D$1:$ZZ$1,0))</f>
        <v/>
      </c>
      <c r="BB461" s="38">
        <f>INDEX(Translations!$D:$ZZ, MATCH(337,Translations!$A:$A,0), MATCH('Project Information'!$C$4,Translations!$D$1:$ZZ$1,0))</f>
        <v/>
      </c>
      <c r="BC461" s="38">
        <f>INDEX(Translations!$D:$ZZ, MATCH(78,Translations!$A:$A,0), MATCH('Project Information'!$C$4,Translations!$D$1:$ZZ$1,0))</f>
        <v/>
      </c>
      <c r="BD461" s="38">
        <f>MAX(N(Scope!$G$15)-1,0)</f>
        <v/>
      </c>
      <c r="BE461" s="38" t="n">
        <v>0.5</v>
      </c>
      <c r="BF461" s="38">
        <f>BD461*BE461</f>
        <v/>
      </c>
    </row>
    <row r="462" ht="15" customHeight="1" s="39">
      <c r="AZ462" s="38">
        <f>INDEX(Translations!$D:$ZZ, MATCH(305,Translations!$A:$A,0), MATCH('Project Information'!$C$4,Translations!$D$1:$ZZ$1,0))</f>
        <v/>
      </c>
      <c r="BA462" s="38">
        <f>INDEX(Translations!$D:$ZZ, MATCH(30,Translations!$A:$A,0), MATCH('Project Information'!$C$4,Translations!$D$1:$ZZ$1,0))</f>
        <v/>
      </c>
      <c r="BB462" s="38">
        <f>INDEX(Translations!$D:$ZZ, MATCH(337,Translations!$A:$A,0), MATCH('Project Information'!$C$4,Translations!$D$1:$ZZ$1,0))</f>
        <v/>
      </c>
      <c r="BC462" s="38">
        <f>INDEX(Translations!$D:$ZZ, MATCH(79,Translations!$A:$A,0), MATCH('Project Information'!$C$4,Translations!$D$1:$ZZ$1,0))</f>
        <v/>
      </c>
      <c r="BD462" s="38">
        <f>MAX(N(Scope!$G$15)-1,0)</f>
        <v/>
      </c>
      <c r="BE462" s="38" t="n">
        <v>0.5</v>
      </c>
      <c r="BF462" s="38">
        <f>BD462*BE462</f>
        <v/>
      </c>
    </row>
    <row r="463" ht="15" customHeight="1" s="39">
      <c r="AZ463" s="38">
        <f>INDEX(Translations!$D:$ZZ, MATCH(305,Translations!$A:$A,0), MATCH('Project Information'!$C$4,Translations!$D$1:$ZZ$1,0))</f>
        <v/>
      </c>
      <c r="BA463" s="38">
        <f>INDEX(Translations!$D:$ZZ, MATCH(30,Translations!$A:$A,0), MATCH('Project Information'!$C$4,Translations!$D$1:$ZZ$1,0))</f>
        <v/>
      </c>
      <c r="BB463" s="38">
        <f>INDEX(Translations!$D:$ZZ, MATCH(337,Translations!$A:$A,0), MATCH('Project Information'!$C$4,Translations!$D$1:$ZZ$1,0))</f>
        <v/>
      </c>
      <c r="BC463" s="38">
        <f>INDEX(Translations!$D:$ZZ, MATCH(82,Translations!$A:$A,0), MATCH('Project Information'!$C$4,Translations!$D$1:$ZZ$1,0))</f>
        <v/>
      </c>
      <c r="BD463" s="38">
        <f>MAX(N(Scope!$G$15)-1,0)</f>
        <v/>
      </c>
      <c r="BE463" s="38" t="n">
        <v>1</v>
      </c>
      <c r="BF463" s="38">
        <f>BD463*BE463</f>
        <v/>
      </c>
    </row>
    <row r="464" ht="15" customHeight="1" s="39">
      <c r="AZ464" s="38">
        <f>INDEX(Translations!$D:$ZZ, MATCH(305,Translations!$A:$A,0), MATCH('Project Information'!$C$4,Translations!$D$1:$ZZ$1,0))</f>
        <v/>
      </c>
      <c r="BA464" s="38">
        <f>INDEX(Translations!$D:$ZZ, MATCH(30,Translations!$A:$A,0), MATCH('Project Information'!$C$4,Translations!$D$1:$ZZ$1,0))</f>
        <v/>
      </c>
      <c r="BB464" s="38">
        <f>INDEX(Translations!$D:$ZZ, MATCH(337,Translations!$A:$A,0), MATCH('Project Information'!$C$4,Translations!$D$1:$ZZ$1,0))</f>
        <v/>
      </c>
      <c r="BC464" s="38">
        <f>INDEX(Translations!$D:$ZZ, MATCH(83,Translations!$A:$A,0), MATCH('Project Information'!$C$4,Translations!$D$1:$ZZ$1,0))</f>
        <v/>
      </c>
      <c r="BD464" s="38">
        <f>MAX(N(Scope!$G$15)-1,0)</f>
        <v/>
      </c>
      <c r="BE464" s="38" t="n">
        <v>1</v>
      </c>
      <c r="BF464" s="38">
        <f>BD464*BE464</f>
        <v/>
      </c>
    </row>
    <row r="465" ht="15" customHeight="1" s="39">
      <c r="AZ465" s="38">
        <f>INDEX(Translations!$D:$ZZ, MATCH(305,Translations!$A:$A,0), MATCH('Project Information'!$C$4,Translations!$D$1:$ZZ$1,0))</f>
        <v/>
      </c>
      <c r="BA465" s="38">
        <f>INDEX(Translations!$D:$ZZ, MATCH(30,Translations!$A:$A,0), MATCH('Project Information'!$C$4,Translations!$D$1:$ZZ$1,0))</f>
        <v/>
      </c>
      <c r="BB465" s="38">
        <f>INDEX(Translations!$D:$ZZ, MATCH(338,Translations!$A:$A,0), MATCH('Project Information'!$C$4,Translations!$D$1:$ZZ$1,0))</f>
        <v/>
      </c>
      <c r="BC465" s="38">
        <f>INDEX(Translations!$D:$ZZ, MATCH(75,Translations!$A:$A,0), MATCH('Project Information'!$C$4,Translations!$D$1:$ZZ$1,0))</f>
        <v/>
      </c>
      <c r="BD465" s="38">
        <f>MAX(N(Scope!$G$15)-1,0)</f>
        <v/>
      </c>
      <c r="BE465" s="38" t="n">
        <v>1</v>
      </c>
      <c r="BF465" s="38">
        <f>BD465*BE465</f>
        <v/>
      </c>
    </row>
    <row r="466" ht="15" customHeight="1" s="39">
      <c r="AZ466" s="38">
        <f>INDEX(Translations!$D:$ZZ, MATCH(305,Translations!$A:$A,0), MATCH('Project Information'!$C$4,Translations!$D$1:$ZZ$1,0))</f>
        <v/>
      </c>
      <c r="BA466" s="38">
        <f>INDEX(Translations!$D:$ZZ, MATCH(30,Translations!$A:$A,0), MATCH('Project Information'!$C$4,Translations!$D$1:$ZZ$1,0))</f>
        <v/>
      </c>
      <c r="BB466" s="38">
        <f>INDEX(Translations!$D:$ZZ, MATCH(338,Translations!$A:$A,0), MATCH('Project Information'!$C$4,Translations!$D$1:$ZZ$1,0))</f>
        <v/>
      </c>
      <c r="BC466" s="38">
        <f>INDEX(Translations!$D:$ZZ, MATCH(78,Translations!$A:$A,0), MATCH('Project Information'!$C$4,Translations!$D$1:$ZZ$1,0))</f>
        <v/>
      </c>
      <c r="BD466" s="38">
        <f>MAX(N(Scope!$G$15)-1,0)</f>
        <v/>
      </c>
      <c r="BE466" s="38" t="n">
        <v>0.5</v>
      </c>
      <c r="BF466" s="38">
        <f>BD466*BE466</f>
        <v/>
      </c>
    </row>
    <row r="467" ht="15" customHeight="1" s="39">
      <c r="AZ467" s="38">
        <f>INDEX(Translations!$D:$ZZ, MATCH(305,Translations!$A:$A,0), MATCH('Project Information'!$C$4,Translations!$D$1:$ZZ$1,0))</f>
        <v/>
      </c>
      <c r="BA467" s="38">
        <f>INDEX(Translations!$D:$ZZ, MATCH(30,Translations!$A:$A,0), MATCH('Project Information'!$C$4,Translations!$D$1:$ZZ$1,0))</f>
        <v/>
      </c>
      <c r="BB467" s="38">
        <f>INDEX(Translations!$D:$ZZ, MATCH(338,Translations!$A:$A,0), MATCH('Project Information'!$C$4,Translations!$D$1:$ZZ$1,0))</f>
        <v/>
      </c>
      <c r="BC467" s="38">
        <f>INDEX(Translations!$D:$ZZ, MATCH(79,Translations!$A:$A,0), MATCH('Project Information'!$C$4,Translations!$D$1:$ZZ$1,0))</f>
        <v/>
      </c>
      <c r="BD467" s="38">
        <f>MAX(N(Scope!$G$15)-1,0)</f>
        <v/>
      </c>
      <c r="BE467" s="38" t="n">
        <v>0.5</v>
      </c>
      <c r="BF467" s="38">
        <f>BD467*BE467</f>
        <v/>
      </c>
    </row>
    <row r="468" ht="15" customHeight="1" s="39">
      <c r="AZ468" s="38">
        <f>INDEX(Translations!$D:$ZZ, MATCH(305,Translations!$A:$A,0), MATCH('Project Information'!$C$4,Translations!$D$1:$ZZ$1,0))</f>
        <v/>
      </c>
      <c r="BA468" s="38">
        <f>INDEX(Translations!$D:$ZZ, MATCH(30,Translations!$A:$A,0), MATCH('Project Information'!$C$4,Translations!$D$1:$ZZ$1,0))</f>
        <v/>
      </c>
      <c r="BB468" s="38">
        <f>INDEX(Translations!$D:$ZZ, MATCH(338,Translations!$A:$A,0), MATCH('Project Information'!$C$4,Translations!$D$1:$ZZ$1,0))</f>
        <v/>
      </c>
      <c r="BC468" s="38">
        <f>INDEX(Translations!$D:$ZZ, MATCH(82,Translations!$A:$A,0), MATCH('Project Information'!$C$4,Translations!$D$1:$ZZ$1,0))</f>
        <v/>
      </c>
      <c r="BD468" s="38">
        <f>MAX(N(Scope!$G$15)-1,0)</f>
        <v/>
      </c>
      <c r="BE468" s="38" t="n">
        <v>1</v>
      </c>
      <c r="BF468" s="38">
        <f>BD468*BE468</f>
        <v/>
      </c>
    </row>
    <row r="469" ht="15" customHeight="1" s="39">
      <c r="AZ469" s="38">
        <f>INDEX(Translations!$D:$ZZ, MATCH(305,Translations!$A:$A,0), MATCH('Project Information'!$C$4,Translations!$D$1:$ZZ$1,0))</f>
        <v/>
      </c>
      <c r="BA469" s="38">
        <f>INDEX(Translations!$D:$ZZ, MATCH(30,Translations!$A:$A,0), MATCH('Project Information'!$C$4,Translations!$D$1:$ZZ$1,0))</f>
        <v/>
      </c>
      <c r="BB469" s="38">
        <f>INDEX(Translations!$D:$ZZ, MATCH(338,Translations!$A:$A,0), MATCH('Project Information'!$C$4,Translations!$D$1:$ZZ$1,0))</f>
        <v/>
      </c>
      <c r="BC469" s="38">
        <f>INDEX(Translations!$D:$ZZ, MATCH(83,Translations!$A:$A,0), MATCH('Project Information'!$C$4,Translations!$D$1:$ZZ$1,0))</f>
        <v/>
      </c>
      <c r="BD469" s="38">
        <f>MAX(N(Scope!$G$15)-1,0)</f>
        <v/>
      </c>
      <c r="BE469" s="38" t="n">
        <v>1</v>
      </c>
      <c r="BF469" s="38">
        <f>BD469*BE469</f>
        <v/>
      </c>
    </row>
    <row r="470" ht="15" customHeight="1" s="39">
      <c r="AZ470" s="38">
        <f>INDEX(Translations!$D:$ZZ, MATCH(305,Translations!$A:$A,0), MATCH('Project Information'!$C$4,Translations!$D$1:$ZZ$1,0))</f>
        <v/>
      </c>
      <c r="BA470" s="38">
        <f>INDEX(Translations!$D:$ZZ, MATCH(30,Translations!$A:$A,0), MATCH('Project Information'!$C$4,Translations!$D$1:$ZZ$1,0))</f>
        <v/>
      </c>
      <c r="BB470" s="38">
        <f>INDEX(Translations!$D:$ZZ, MATCH(340,Translations!$A:$A,0), MATCH('Project Information'!$C$4,Translations!$D$1:$ZZ$1,0))</f>
        <v/>
      </c>
      <c r="BC470" s="38">
        <f>INDEX(Translations!$D:$ZZ, MATCH(75,Translations!$A:$A,0), MATCH('Project Information'!$C$4,Translations!$D$1:$ZZ$1,0))</f>
        <v/>
      </c>
      <c r="BD470" s="38">
        <f>MAX(N(Scope!$G$15)-1,0)</f>
        <v/>
      </c>
      <c r="BE470" s="38" t="n">
        <v>1</v>
      </c>
      <c r="BF470" s="38">
        <f>BD470*BE470</f>
        <v/>
      </c>
    </row>
    <row r="471" ht="15" customHeight="1" s="39">
      <c r="AZ471" s="38">
        <f>INDEX(Translations!$D:$ZZ, MATCH(305,Translations!$A:$A,0), MATCH('Project Information'!$C$4,Translations!$D$1:$ZZ$1,0))</f>
        <v/>
      </c>
      <c r="BA471" s="38">
        <f>INDEX(Translations!$D:$ZZ, MATCH(30,Translations!$A:$A,0), MATCH('Project Information'!$C$4,Translations!$D$1:$ZZ$1,0))</f>
        <v/>
      </c>
      <c r="BB471" s="38">
        <f>INDEX(Translations!$D:$ZZ, MATCH(340,Translations!$A:$A,0), MATCH('Project Information'!$C$4,Translations!$D$1:$ZZ$1,0))</f>
        <v/>
      </c>
      <c r="BC471" s="38">
        <f>INDEX(Translations!$D:$ZZ, MATCH(78,Translations!$A:$A,0), MATCH('Project Information'!$C$4,Translations!$D$1:$ZZ$1,0))</f>
        <v/>
      </c>
      <c r="BD471" s="38">
        <f>MAX(N(Scope!$G$15)-1,0)</f>
        <v/>
      </c>
      <c r="BE471" s="38" t="n">
        <v>0.5</v>
      </c>
      <c r="BF471" s="38">
        <f>BD471*BE471</f>
        <v/>
      </c>
    </row>
    <row r="472" ht="15" customHeight="1" s="39">
      <c r="AZ472" s="38">
        <f>INDEX(Translations!$D:$ZZ, MATCH(305,Translations!$A:$A,0), MATCH('Project Information'!$C$4,Translations!$D$1:$ZZ$1,0))</f>
        <v/>
      </c>
      <c r="BA472" s="38">
        <f>INDEX(Translations!$D:$ZZ, MATCH(30,Translations!$A:$A,0), MATCH('Project Information'!$C$4,Translations!$D$1:$ZZ$1,0))</f>
        <v/>
      </c>
      <c r="BB472" s="38">
        <f>INDEX(Translations!$D:$ZZ, MATCH(340,Translations!$A:$A,0), MATCH('Project Information'!$C$4,Translations!$D$1:$ZZ$1,0))</f>
        <v/>
      </c>
      <c r="BC472" s="38">
        <f>INDEX(Translations!$D:$ZZ, MATCH(79,Translations!$A:$A,0), MATCH('Project Information'!$C$4,Translations!$D$1:$ZZ$1,0))</f>
        <v/>
      </c>
      <c r="BD472" s="38">
        <f>MAX(N(Scope!$G$15)-1,0)</f>
        <v/>
      </c>
      <c r="BE472" s="38" t="n">
        <v>0.5</v>
      </c>
      <c r="BF472" s="38">
        <f>BD472*BE472</f>
        <v/>
      </c>
    </row>
    <row r="473" ht="15" customHeight="1" s="39">
      <c r="AZ473" s="38">
        <f>INDEX(Translations!$D:$ZZ, MATCH(305,Translations!$A:$A,0), MATCH('Project Information'!$C$4,Translations!$D$1:$ZZ$1,0))</f>
        <v/>
      </c>
      <c r="BA473" s="38">
        <f>INDEX(Translations!$D:$ZZ, MATCH(30,Translations!$A:$A,0), MATCH('Project Information'!$C$4,Translations!$D$1:$ZZ$1,0))</f>
        <v/>
      </c>
      <c r="BB473" s="38">
        <f>INDEX(Translations!$D:$ZZ, MATCH(340,Translations!$A:$A,0), MATCH('Project Information'!$C$4,Translations!$D$1:$ZZ$1,0))</f>
        <v/>
      </c>
      <c r="BC473" s="38">
        <f>INDEX(Translations!$D:$ZZ, MATCH(82,Translations!$A:$A,0), MATCH('Project Information'!$C$4,Translations!$D$1:$ZZ$1,0))</f>
        <v/>
      </c>
      <c r="BD473" s="38">
        <f>MAX(N(Scope!$G$15)-1,0)</f>
        <v/>
      </c>
      <c r="BE473" s="38" t="n">
        <v>1</v>
      </c>
      <c r="BF473" s="38">
        <f>BD473*BE473</f>
        <v/>
      </c>
    </row>
    <row r="474" ht="15" customHeight="1" s="39">
      <c r="AZ474" s="38">
        <f>INDEX(Translations!$D:$ZZ, MATCH(305,Translations!$A:$A,0), MATCH('Project Information'!$C$4,Translations!$D$1:$ZZ$1,0))</f>
        <v/>
      </c>
      <c r="BA474" s="38">
        <f>INDEX(Translations!$D:$ZZ, MATCH(30,Translations!$A:$A,0), MATCH('Project Information'!$C$4,Translations!$D$1:$ZZ$1,0))</f>
        <v/>
      </c>
      <c r="BB474" s="38">
        <f>INDEX(Translations!$D:$ZZ, MATCH(340,Translations!$A:$A,0), MATCH('Project Information'!$C$4,Translations!$D$1:$ZZ$1,0))</f>
        <v/>
      </c>
      <c r="BC474" s="38">
        <f>INDEX(Translations!$D:$ZZ, MATCH(83,Translations!$A:$A,0), MATCH('Project Information'!$C$4,Translations!$D$1:$ZZ$1,0))</f>
        <v/>
      </c>
      <c r="BD474" s="38">
        <f>MAX(N(Scope!$G$15)-1,0)</f>
        <v/>
      </c>
      <c r="BE474" s="38" t="n">
        <v>1</v>
      </c>
      <c r="BF474" s="38">
        <f>BD474*BE474</f>
        <v/>
      </c>
    </row>
    <row r="475" ht="15" customHeight="1" s="39">
      <c r="AZ475" s="38">
        <f>INDEX(Translations!$D:$ZZ, MATCH(305,Translations!$A:$A,0), MATCH('Project Information'!$C$4,Translations!$D$1:$ZZ$1,0))</f>
        <v/>
      </c>
      <c r="BA475" s="38">
        <f>INDEX(Translations!$D:$ZZ, MATCH(30,Translations!$A:$A,0), MATCH('Project Information'!$C$4,Translations!$D$1:$ZZ$1,0))</f>
        <v/>
      </c>
      <c r="BB475" s="38">
        <f>INDEX(Translations!$D:$ZZ, MATCH(339,Translations!$A:$A,0), MATCH('Project Information'!$C$4,Translations!$D$1:$ZZ$1,0))</f>
        <v/>
      </c>
      <c r="BC475" s="38">
        <f>INDEX(Translations!$D:$ZZ, MATCH(75,Translations!$A:$A,0), MATCH('Project Information'!$C$4,Translations!$D$1:$ZZ$1,0))</f>
        <v/>
      </c>
      <c r="BD475" s="38">
        <f>MAX(N(Scope!$G$15)-1,0)</f>
        <v/>
      </c>
      <c r="BE475" s="38" t="n">
        <v>1</v>
      </c>
      <c r="BF475" s="38">
        <f>BD475*BE475</f>
        <v/>
      </c>
    </row>
    <row r="476" ht="15" customHeight="1" s="39">
      <c r="AZ476" s="38">
        <f>INDEX(Translations!$D:$ZZ, MATCH(305,Translations!$A:$A,0), MATCH('Project Information'!$C$4,Translations!$D$1:$ZZ$1,0))</f>
        <v/>
      </c>
      <c r="BA476" s="38">
        <f>INDEX(Translations!$D:$ZZ, MATCH(30,Translations!$A:$A,0), MATCH('Project Information'!$C$4,Translations!$D$1:$ZZ$1,0))</f>
        <v/>
      </c>
      <c r="BB476" s="38">
        <f>INDEX(Translations!$D:$ZZ, MATCH(339,Translations!$A:$A,0), MATCH('Project Information'!$C$4,Translations!$D$1:$ZZ$1,0))</f>
        <v/>
      </c>
      <c r="BC476" s="38">
        <f>INDEX(Translations!$D:$ZZ, MATCH(78,Translations!$A:$A,0), MATCH('Project Information'!$C$4,Translations!$D$1:$ZZ$1,0))</f>
        <v/>
      </c>
      <c r="BD476" s="38">
        <f>MAX(N(Scope!$G$15)-1,0)</f>
        <v/>
      </c>
      <c r="BE476" s="38" t="n">
        <v>0.5</v>
      </c>
      <c r="BF476" s="38">
        <f>BD476*BE476</f>
        <v/>
      </c>
    </row>
    <row r="477" ht="15" customHeight="1" s="39">
      <c r="AZ477" s="38">
        <f>INDEX(Translations!$D:$ZZ, MATCH(305,Translations!$A:$A,0), MATCH('Project Information'!$C$4,Translations!$D$1:$ZZ$1,0))</f>
        <v/>
      </c>
      <c r="BA477" s="38">
        <f>INDEX(Translations!$D:$ZZ, MATCH(30,Translations!$A:$A,0), MATCH('Project Information'!$C$4,Translations!$D$1:$ZZ$1,0))</f>
        <v/>
      </c>
      <c r="BB477" s="38">
        <f>INDEX(Translations!$D:$ZZ, MATCH(339,Translations!$A:$A,0), MATCH('Project Information'!$C$4,Translations!$D$1:$ZZ$1,0))</f>
        <v/>
      </c>
      <c r="BC477" s="38">
        <f>INDEX(Translations!$D:$ZZ, MATCH(79,Translations!$A:$A,0), MATCH('Project Information'!$C$4,Translations!$D$1:$ZZ$1,0))</f>
        <v/>
      </c>
      <c r="BD477" s="38">
        <f>MAX(N(Scope!$G$15)-1,0)</f>
        <v/>
      </c>
      <c r="BE477" s="38" t="n">
        <v>0.5</v>
      </c>
      <c r="BF477" s="38">
        <f>BD477*BE477</f>
        <v/>
      </c>
    </row>
    <row r="478" ht="15" customHeight="1" s="39">
      <c r="AZ478" s="38">
        <f>INDEX(Translations!$D:$ZZ, MATCH(305,Translations!$A:$A,0), MATCH('Project Information'!$C$4,Translations!$D$1:$ZZ$1,0))</f>
        <v/>
      </c>
      <c r="BA478" s="38">
        <f>INDEX(Translations!$D:$ZZ, MATCH(30,Translations!$A:$A,0), MATCH('Project Information'!$C$4,Translations!$D$1:$ZZ$1,0))</f>
        <v/>
      </c>
      <c r="BB478" s="38">
        <f>INDEX(Translations!$D:$ZZ, MATCH(339,Translations!$A:$A,0), MATCH('Project Information'!$C$4,Translations!$D$1:$ZZ$1,0))</f>
        <v/>
      </c>
      <c r="BC478" s="38">
        <f>INDEX(Translations!$D:$ZZ, MATCH(82,Translations!$A:$A,0), MATCH('Project Information'!$C$4,Translations!$D$1:$ZZ$1,0))</f>
        <v/>
      </c>
      <c r="BD478" s="38">
        <f>MAX(N(Scope!$G$15)-1,0)</f>
        <v/>
      </c>
      <c r="BE478" s="38" t="n">
        <v>1</v>
      </c>
      <c r="BF478" s="38">
        <f>BD478*BE478</f>
        <v/>
      </c>
    </row>
    <row r="479" ht="15" customHeight="1" s="39">
      <c r="AZ479" s="38">
        <f>INDEX(Translations!$D:$ZZ, MATCH(305,Translations!$A:$A,0), MATCH('Project Information'!$C$4,Translations!$D$1:$ZZ$1,0))</f>
        <v/>
      </c>
      <c r="BA479" s="38">
        <f>INDEX(Translations!$D:$ZZ, MATCH(30,Translations!$A:$A,0), MATCH('Project Information'!$C$4,Translations!$D$1:$ZZ$1,0))</f>
        <v/>
      </c>
      <c r="BB479" s="38">
        <f>INDEX(Translations!$D:$ZZ, MATCH(339,Translations!$A:$A,0), MATCH('Project Information'!$C$4,Translations!$D$1:$ZZ$1,0))</f>
        <v/>
      </c>
      <c r="BC479" s="38">
        <f>INDEX(Translations!$D:$ZZ, MATCH(83,Translations!$A:$A,0), MATCH('Project Information'!$C$4,Translations!$D$1:$ZZ$1,0))</f>
        <v/>
      </c>
      <c r="BD479" s="38">
        <f>MAX(N(Scope!$G$15)-1,0)</f>
        <v/>
      </c>
      <c r="BE479" s="38" t="n">
        <v>1</v>
      </c>
      <c r="BF479" s="38">
        <f>BD479*BE479</f>
        <v/>
      </c>
    </row>
    <row r="480" ht="15" customHeight="1" s="39">
      <c r="AZ480" s="38">
        <f>INDEX(Translations!$D:$ZZ, MATCH(305,Translations!$A:$A,0), MATCH('Project Information'!$C$4,Translations!$D$1:$ZZ$1,0))</f>
        <v/>
      </c>
      <c r="BA480" s="38">
        <f>INDEX(Translations!$D:$ZZ, MATCH(35,Translations!$A:$A,0), MATCH('Project Information'!$C$4,Translations!$D$1:$ZZ$1,0))</f>
        <v/>
      </c>
      <c r="BB480" s="38">
        <f>INDEX(Translations!$D:$ZZ, MATCH(333,Translations!$A:$A,0), MATCH('Project Information'!$C$4,Translations!$D$1:$ZZ$1,0))</f>
        <v/>
      </c>
      <c r="BC480" s="38">
        <f>INDEX(Translations!$D:$ZZ, MATCH(75,Translations!$A:$A,0), MATCH('Project Information'!$C$4,Translations!$D$1:$ZZ$1,0))</f>
        <v/>
      </c>
      <c r="BD480" s="38">
        <f>IF(OR(TRIM("")="Evet",TRIM("")="Yes"),1,0)</f>
        <v/>
      </c>
      <c r="BE480" s="38" t="n">
        <v>1</v>
      </c>
      <c r="BF480" s="38">
        <f>BD480*BE480</f>
        <v/>
      </c>
    </row>
    <row r="481" ht="15" customHeight="1" s="39">
      <c r="AZ481" s="38">
        <f>INDEX(Translations!$D:$ZZ, MATCH(305,Translations!$A:$A,0), MATCH('Project Information'!$C$4,Translations!$D$1:$ZZ$1,0))</f>
        <v/>
      </c>
      <c r="BA481" s="38">
        <f>INDEX(Translations!$D:$ZZ, MATCH(35,Translations!$A:$A,0), MATCH('Project Information'!$C$4,Translations!$D$1:$ZZ$1,0))</f>
        <v/>
      </c>
      <c r="BB481" s="38">
        <f>INDEX(Translations!$D:$ZZ, MATCH(333,Translations!$A:$A,0), MATCH('Project Information'!$C$4,Translations!$D$1:$ZZ$1,0))</f>
        <v/>
      </c>
      <c r="BC481" s="38">
        <f>INDEX(Translations!$D:$ZZ, MATCH(76,Translations!$A:$A,0), MATCH('Project Information'!$C$4,Translations!$D$1:$ZZ$1,0))</f>
        <v/>
      </c>
      <c r="BD481" s="38">
        <f>IF(OR(TRIM("")="Evet",TRIM("")="Yes"),1,0)</f>
        <v/>
      </c>
      <c r="BE481" s="38" t="n">
        <v>0.5</v>
      </c>
      <c r="BF481" s="38">
        <f>BD481*BE481</f>
        <v/>
      </c>
    </row>
    <row r="482" ht="15" customHeight="1" s="39">
      <c r="AZ482" s="38">
        <f>INDEX(Translations!$D:$ZZ, MATCH(305,Translations!$A:$A,0), MATCH('Project Information'!$C$4,Translations!$D$1:$ZZ$1,0))</f>
        <v/>
      </c>
      <c r="BA482" s="38">
        <f>INDEX(Translations!$D:$ZZ, MATCH(35,Translations!$A:$A,0), MATCH('Project Information'!$C$4,Translations!$D$1:$ZZ$1,0))</f>
        <v/>
      </c>
      <c r="BB482" s="38">
        <f>INDEX(Translations!$D:$ZZ, MATCH(333,Translations!$A:$A,0), MATCH('Project Information'!$C$4,Translations!$D$1:$ZZ$1,0))</f>
        <v/>
      </c>
      <c r="BC482" s="38">
        <f>INDEX(Translations!$D:$ZZ, MATCH(78,Translations!$A:$A,0), MATCH('Project Information'!$C$4,Translations!$D$1:$ZZ$1,0))</f>
        <v/>
      </c>
      <c r="BD482" s="38">
        <f>IF(OR(TRIM("")="Evet",TRIM("")="Yes"),1,0)</f>
        <v/>
      </c>
      <c r="BE482" s="38" t="n">
        <v>1</v>
      </c>
      <c r="BF482" s="38">
        <f>BD482*BE482</f>
        <v/>
      </c>
    </row>
    <row r="483" ht="15" customHeight="1" s="39">
      <c r="AZ483" s="38">
        <f>INDEX(Translations!$D:$ZZ, MATCH(305,Translations!$A:$A,0), MATCH('Project Information'!$C$4,Translations!$D$1:$ZZ$1,0))</f>
        <v/>
      </c>
      <c r="BA483" s="38">
        <f>INDEX(Translations!$D:$ZZ, MATCH(35,Translations!$A:$A,0), MATCH('Project Information'!$C$4,Translations!$D$1:$ZZ$1,0))</f>
        <v/>
      </c>
      <c r="BB483" s="38">
        <f>INDEX(Translations!$D:$ZZ, MATCH(337,Translations!$A:$A,0), MATCH('Project Information'!$C$4,Translations!$D$1:$ZZ$1,0))</f>
        <v/>
      </c>
      <c r="BC483" s="38">
        <f>INDEX(Translations!$D:$ZZ, MATCH(75,Translations!$A:$A,0), MATCH('Project Information'!$C$4,Translations!$D$1:$ZZ$1,0))</f>
        <v/>
      </c>
      <c r="BD483" s="38">
        <f>IF(OR(TRIM("")="Evet",TRIM("")="Yes"),1,0)</f>
        <v/>
      </c>
      <c r="BE483" s="38" t="n">
        <v>1</v>
      </c>
      <c r="BF483" s="38">
        <f>BD483*BE483</f>
        <v/>
      </c>
    </row>
    <row r="484" ht="15" customHeight="1" s="39">
      <c r="AZ484" s="38">
        <f>INDEX(Translations!$D:$ZZ, MATCH(305,Translations!$A:$A,0), MATCH('Project Information'!$C$4,Translations!$D$1:$ZZ$1,0))</f>
        <v/>
      </c>
      <c r="BA484" s="38">
        <f>INDEX(Translations!$D:$ZZ, MATCH(35,Translations!$A:$A,0), MATCH('Project Information'!$C$4,Translations!$D$1:$ZZ$1,0))</f>
        <v/>
      </c>
      <c r="BB484" s="38">
        <f>INDEX(Translations!$D:$ZZ, MATCH(337,Translations!$A:$A,0), MATCH('Project Information'!$C$4,Translations!$D$1:$ZZ$1,0))</f>
        <v/>
      </c>
      <c r="BC484" s="38">
        <f>INDEX(Translations!$D:$ZZ, MATCH(76,Translations!$A:$A,0), MATCH('Project Information'!$C$4,Translations!$D$1:$ZZ$1,0))</f>
        <v/>
      </c>
      <c r="BD484" s="38">
        <f>IF(OR(TRIM("")="Evet",TRIM("")="Yes"),1,0)</f>
        <v/>
      </c>
      <c r="BE484" s="38" t="n">
        <v>0.5</v>
      </c>
      <c r="BF484" s="38">
        <f>BD484*BE484</f>
        <v/>
      </c>
    </row>
    <row r="485" ht="15" customHeight="1" s="39">
      <c r="AZ485" s="38">
        <f>INDEX(Translations!$D:$ZZ, MATCH(305,Translations!$A:$A,0), MATCH('Project Information'!$C$4,Translations!$D$1:$ZZ$1,0))</f>
        <v/>
      </c>
      <c r="BA485" s="38">
        <f>INDEX(Translations!$D:$ZZ, MATCH(35,Translations!$A:$A,0), MATCH('Project Information'!$C$4,Translations!$D$1:$ZZ$1,0))</f>
        <v/>
      </c>
      <c r="BB485" s="38">
        <f>INDEX(Translations!$D:$ZZ, MATCH(337,Translations!$A:$A,0), MATCH('Project Information'!$C$4,Translations!$D$1:$ZZ$1,0))</f>
        <v/>
      </c>
      <c r="BC485" s="38">
        <f>INDEX(Translations!$D:$ZZ, MATCH(78,Translations!$A:$A,0), MATCH('Project Information'!$C$4,Translations!$D$1:$ZZ$1,0))</f>
        <v/>
      </c>
      <c r="BD485" s="38">
        <f>IF(OR(TRIM("")="Evet",TRIM("")="Yes"),1,0)</f>
        <v/>
      </c>
      <c r="BE485" s="38" t="n">
        <v>1</v>
      </c>
      <c r="BF485" s="38">
        <f>BD485*BE485</f>
        <v/>
      </c>
    </row>
    <row r="486" ht="15" customHeight="1" s="39">
      <c r="AZ486" s="38">
        <f>INDEX(Translations!$D:$ZZ, MATCH(305,Translations!$A:$A,0), MATCH('Project Information'!$C$4,Translations!$D$1:$ZZ$1,0))</f>
        <v/>
      </c>
      <c r="BA486" s="38">
        <f>INDEX(Translations!$D:$ZZ, MATCH(35,Translations!$A:$A,0), MATCH('Project Information'!$C$4,Translations!$D$1:$ZZ$1,0))</f>
        <v/>
      </c>
      <c r="BB486" s="38">
        <f>INDEX(Translations!$D:$ZZ, MATCH(337,Translations!$A:$A,0), MATCH('Project Information'!$C$4,Translations!$D$1:$ZZ$1,0))</f>
        <v/>
      </c>
      <c r="BC486" s="38">
        <f>INDEX(Translations!$D:$ZZ, MATCH(85,Translations!$A:$A,0), MATCH('Project Information'!$C$4,Translations!$D$1:$ZZ$1,0))</f>
        <v/>
      </c>
      <c r="BD486" s="38">
        <f>IF(OR(TRIM("")="Evet",TRIM("")="Yes"),1,0)</f>
        <v/>
      </c>
      <c r="BE486" s="38" t="n">
        <v>1</v>
      </c>
      <c r="BF486" s="38">
        <f>BD486*BE486</f>
        <v/>
      </c>
    </row>
    <row r="487" ht="15" customHeight="1" s="39">
      <c r="AZ487" s="38">
        <f>INDEX(Translations!$D:$ZZ, MATCH(305,Translations!$A:$A,0), MATCH('Project Information'!$C$4,Translations!$D$1:$ZZ$1,0))</f>
        <v/>
      </c>
      <c r="BA487" s="38">
        <f>INDEX(Translations!$D:$ZZ, MATCH(35,Translations!$A:$A,0), MATCH('Project Information'!$C$4,Translations!$D$1:$ZZ$1,0))</f>
        <v/>
      </c>
      <c r="BB487" s="38">
        <f>INDEX(Translations!$D:$ZZ, MATCH(338,Translations!$A:$A,0), MATCH('Project Information'!$C$4,Translations!$D$1:$ZZ$1,0))</f>
        <v/>
      </c>
      <c r="BC487" s="38">
        <f>INDEX(Translations!$D:$ZZ, MATCH(75,Translations!$A:$A,0), MATCH('Project Information'!$C$4,Translations!$D$1:$ZZ$1,0))</f>
        <v/>
      </c>
      <c r="BD487" s="38">
        <f>IF(OR(TRIM("")="Evet",TRIM("")="Yes"),1,0)</f>
        <v/>
      </c>
      <c r="BE487" s="38" t="n">
        <v>8</v>
      </c>
      <c r="BF487" s="38">
        <f>BD487*BE487</f>
        <v/>
      </c>
    </row>
    <row r="488" ht="15" customHeight="1" s="39">
      <c r="AZ488" s="38">
        <f>INDEX(Translations!$D:$ZZ, MATCH(305,Translations!$A:$A,0), MATCH('Project Information'!$C$4,Translations!$D$1:$ZZ$1,0))</f>
        <v/>
      </c>
      <c r="BA488" s="38">
        <f>INDEX(Translations!$D:$ZZ, MATCH(35,Translations!$A:$A,0), MATCH('Project Information'!$C$4,Translations!$D$1:$ZZ$1,0))</f>
        <v/>
      </c>
      <c r="BB488" s="38">
        <f>INDEX(Translations!$D:$ZZ, MATCH(338,Translations!$A:$A,0), MATCH('Project Information'!$C$4,Translations!$D$1:$ZZ$1,0))</f>
        <v/>
      </c>
      <c r="BC488" s="38">
        <f>INDEX(Translations!$D:$ZZ, MATCH(76,Translations!$A:$A,0), MATCH('Project Information'!$C$4,Translations!$D$1:$ZZ$1,0))</f>
        <v/>
      </c>
      <c r="BD488" s="38">
        <f>IF(OR(TRIM("")="Evet",TRIM("")="Yes"),1,0)</f>
        <v/>
      </c>
      <c r="BE488" s="38" t="n">
        <v>2</v>
      </c>
      <c r="BF488" s="38">
        <f>BD488*BE488</f>
        <v/>
      </c>
    </row>
    <row r="489" ht="15" customHeight="1" s="39">
      <c r="AZ489" s="38">
        <f>INDEX(Translations!$D:$ZZ, MATCH(305,Translations!$A:$A,0), MATCH('Project Information'!$C$4,Translations!$D$1:$ZZ$1,0))</f>
        <v/>
      </c>
      <c r="BA489" s="38">
        <f>INDEX(Translations!$D:$ZZ, MATCH(35,Translations!$A:$A,0), MATCH('Project Information'!$C$4,Translations!$D$1:$ZZ$1,0))</f>
        <v/>
      </c>
      <c r="BB489" s="38">
        <f>INDEX(Translations!$D:$ZZ, MATCH(338,Translations!$A:$A,0), MATCH('Project Information'!$C$4,Translations!$D$1:$ZZ$1,0))</f>
        <v/>
      </c>
      <c r="BC489" s="38">
        <f>INDEX(Translations!$D:$ZZ, MATCH(78,Translations!$A:$A,0), MATCH('Project Information'!$C$4,Translations!$D$1:$ZZ$1,0))</f>
        <v/>
      </c>
      <c r="BD489" s="38">
        <f>IF(OR(TRIM("")="Evet",TRIM("")="Yes"),1,0)</f>
        <v/>
      </c>
      <c r="BE489" s="38" t="n">
        <v>10</v>
      </c>
      <c r="BF489" s="38">
        <f>BD489*BE489</f>
        <v/>
      </c>
    </row>
    <row r="490" ht="15" customHeight="1" s="39">
      <c r="AZ490" s="38">
        <f>INDEX(Translations!$D:$ZZ, MATCH(305,Translations!$A:$A,0), MATCH('Project Information'!$C$4,Translations!$D$1:$ZZ$1,0))</f>
        <v/>
      </c>
      <c r="BA490" s="38">
        <f>INDEX(Translations!$D:$ZZ, MATCH(35,Translations!$A:$A,0), MATCH('Project Information'!$C$4,Translations!$D$1:$ZZ$1,0))</f>
        <v/>
      </c>
      <c r="BB490" s="38">
        <f>INDEX(Translations!$D:$ZZ, MATCH(338,Translations!$A:$A,0), MATCH('Project Information'!$C$4,Translations!$D$1:$ZZ$1,0))</f>
        <v/>
      </c>
      <c r="BC490" s="38">
        <f>INDEX(Translations!$D:$ZZ, MATCH(81,Translations!$A:$A,0), MATCH('Project Information'!$C$4,Translations!$D$1:$ZZ$1,0))</f>
        <v/>
      </c>
      <c r="BD490" s="38">
        <f>IF(OR(TRIM("")="Evet",TRIM("")="Yes"),1,0)</f>
        <v/>
      </c>
      <c r="BE490" s="38" t="n">
        <v>1</v>
      </c>
      <c r="BF490" s="38">
        <f>BD490*BE490</f>
        <v/>
      </c>
    </row>
    <row r="491" ht="15" customHeight="1" s="39">
      <c r="AZ491" s="38">
        <f>INDEX(Translations!$D:$ZZ, MATCH(305,Translations!$A:$A,0), MATCH('Project Information'!$C$4,Translations!$D$1:$ZZ$1,0))</f>
        <v/>
      </c>
      <c r="BA491" s="38">
        <f>INDEX(Translations!$D:$ZZ, MATCH(35,Translations!$A:$A,0), MATCH('Project Information'!$C$4,Translations!$D$1:$ZZ$1,0))</f>
        <v/>
      </c>
      <c r="BB491" s="38">
        <f>INDEX(Translations!$D:$ZZ, MATCH(338,Translations!$A:$A,0), MATCH('Project Information'!$C$4,Translations!$D$1:$ZZ$1,0))</f>
        <v/>
      </c>
      <c r="BC491" s="38">
        <f>INDEX(Translations!$D:$ZZ, MATCH(85,Translations!$A:$A,0), MATCH('Project Information'!$C$4,Translations!$D$1:$ZZ$1,0))</f>
        <v/>
      </c>
      <c r="BD491" s="38">
        <f>IF(OR(TRIM("")="Evet",TRIM("")="Yes"),1,0)</f>
        <v/>
      </c>
      <c r="BE491" s="38" t="n">
        <v>2</v>
      </c>
      <c r="BF491" s="38">
        <f>BD491*BE491</f>
        <v/>
      </c>
    </row>
    <row r="492" ht="15" customHeight="1" s="39">
      <c r="AZ492" s="38">
        <f>INDEX(Translations!$D:$ZZ, MATCH(305,Translations!$A:$A,0), MATCH('Project Information'!$C$4,Translations!$D$1:$ZZ$1,0))</f>
        <v/>
      </c>
      <c r="BA492" s="38">
        <f>INDEX(Translations!$D:$ZZ, MATCH(35,Translations!$A:$A,0), MATCH('Project Information'!$C$4,Translations!$D$1:$ZZ$1,0))</f>
        <v/>
      </c>
      <c r="BB492" s="38">
        <f>INDEX(Translations!$D:$ZZ, MATCH(340,Translations!$A:$A,0), MATCH('Project Information'!$C$4,Translations!$D$1:$ZZ$1,0))</f>
        <v/>
      </c>
      <c r="BC492" s="38">
        <f>INDEX(Translations!$D:$ZZ, MATCH(75,Translations!$A:$A,0), MATCH('Project Information'!$C$4,Translations!$D$1:$ZZ$1,0))</f>
        <v/>
      </c>
      <c r="BD492" s="38">
        <f>IF(OR(TRIM("")="Evet",TRIM("")="Yes"),1,0)</f>
        <v/>
      </c>
      <c r="BE492" s="38" t="n">
        <v>1</v>
      </c>
      <c r="BF492" s="38">
        <f>BD492*BE492</f>
        <v/>
      </c>
    </row>
    <row r="493" ht="15" customHeight="1" s="39">
      <c r="AZ493" s="38">
        <f>INDEX(Translations!$D:$ZZ, MATCH(305,Translations!$A:$A,0), MATCH('Project Information'!$C$4,Translations!$D$1:$ZZ$1,0))</f>
        <v/>
      </c>
      <c r="BA493" s="38">
        <f>INDEX(Translations!$D:$ZZ, MATCH(35,Translations!$A:$A,0), MATCH('Project Information'!$C$4,Translations!$D$1:$ZZ$1,0))</f>
        <v/>
      </c>
      <c r="BB493" s="38">
        <f>INDEX(Translations!$D:$ZZ, MATCH(340,Translations!$A:$A,0), MATCH('Project Information'!$C$4,Translations!$D$1:$ZZ$1,0))</f>
        <v/>
      </c>
      <c r="BC493" s="38">
        <f>INDEX(Translations!$D:$ZZ, MATCH(76,Translations!$A:$A,0), MATCH('Project Information'!$C$4,Translations!$D$1:$ZZ$1,0))</f>
        <v/>
      </c>
      <c r="BD493" s="38">
        <f>IF(OR(TRIM("")="Evet",TRIM("")="Yes"),1,0)</f>
        <v/>
      </c>
      <c r="BE493" s="38" t="n">
        <v>0.5</v>
      </c>
      <c r="BF493" s="38">
        <f>BD493*BE493</f>
        <v/>
      </c>
    </row>
    <row r="494" ht="15" customHeight="1" s="39">
      <c r="AZ494" s="38">
        <f>INDEX(Translations!$D:$ZZ, MATCH(305,Translations!$A:$A,0), MATCH('Project Information'!$C$4,Translations!$D$1:$ZZ$1,0))</f>
        <v/>
      </c>
      <c r="BA494" s="38">
        <f>INDEX(Translations!$D:$ZZ, MATCH(35,Translations!$A:$A,0), MATCH('Project Information'!$C$4,Translations!$D$1:$ZZ$1,0))</f>
        <v/>
      </c>
      <c r="BB494" s="38">
        <f>INDEX(Translations!$D:$ZZ, MATCH(339,Translations!$A:$A,0), MATCH('Project Information'!$C$4,Translations!$D$1:$ZZ$1,0))</f>
        <v/>
      </c>
      <c r="BC494" s="38">
        <f>INDEX(Translations!$D:$ZZ, MATCH(75,Translations!$A:$A,0), MATCH('Project Information'!$C$4,Translations!$D$1:$ZZ$1,0))</f>
        <v/>
      </c>
      <c r="BD494" s="38">
        <f>IF(OR(TRIM("")="Evet",TRIM("")="Yes"),1,0)</f>
        <v/>
      </c>
      <c r="BE494" s="38" t="n">
        <v>8</v>
      </c>
      <c r="BF494" s="38">
        <f>BD494*BE494</f>
        <v/>
      </c>
    </row>
    <row r="495" ht="15" customHeight="1" s="39">
      <c r="AZ495" s="38">
        <f>INDEX(Translations!$D:$ZZ, MATCH(305,Translations!$A:$A,0), MATCH('Project Information'!$C$4,Translations!$D$1:$ZZ$1,0))</f>
        <v/>
      </c>
      <c r="BA495" s="38">
        <f>INDEX(Translations!$D:$ZZ, MATCH(35,Translations!$A:$A,0), MATCH('Project Information'!$C$4,Translations!$D$1:$ZZ$1,0))</f>
        <v/>
      </c>
      <c r="BB495" s="38">
        <f>INDEX(Translations!$D:$ZZ, MATCH(339,Translations!$A:$A,0), MATCH('Project Information'!$C$4,Translations!$D$1:$ZZ$1,0))</f>
        <v/>
      </c>
      <c r="BC495" s="38">
        <f>INDEX(Translations!$D:$ZZ, MATCH(76,Translations!$A:$A,0), MATCH('Project Information'!$C$4,Translations!$D$1:$ZZ$1,0))</f>
        <v/>
      </c>
      <c r="BD495" s="38">
        <f>IF(OR(TRIM("")="Evet",TRIM("")="Yes"),1,0)</f>
        <v/>
      </c>
      <c r="BE495" s="38" t="n">
        <v>2</v>
      </c>
      <c r="BF495" s="38">
        <f>BD495*BE495</f>
        <v/>
      </c>
    </row>
    <row r="496" ht="15" customHeight="1" s="39">
      <c r="AZ496" s="38">
        <f>INDEX(Translations!$D:$ZZ, MATCH(305,Translations!$A:$A,0), MATCH('Project Information'!$C$4,Translations!$D$1:$ZZ$1,0))</f>
        <v/>
      </c>
      <c r="BA496" s="38">
        <f>INDEX(Translations!$D:$ZZ, MATCH(35,Translations!$A:$A,0), MATCH('Project Information'!$C$4,Translations!$D$1:$ZZ$1,0))</f>
        <v/>
      </c>
      <c r="BB496" s="38">
        <f>INDEX(Translations!$D:$ZZ, MATCH(339,Translations!$A:$A,0), MATCH('Project Information'!$C$4,Translations!$D$1:$ZZ$1,0))</f>
        <v/>
      </c>
      <c r="BC496" s="38">
        <f>INDEX(Translations!$D:$ZZ, MATCH(78,Translations!$A:$A,0), MATCH('Project Information'!$C$4,Translations!$D$1:$ZZ$1,0))</f>
        <v/>
      </c>
      <c r="BD496" s="38">
        <f>IF(OR(TRIM("")="Evet",TRIM("")="Yes"),1,0)</f>
        <v/>
      </c>
      <c r="BE496" s="38" t="n">
        <v>5</v>
      </c>
      <c r="BF496" s="38">
        <f>BD496*BE496</f>
        <v/>
      </c>
    </row>
    <row r="497" ht="15" customHeight="1" s="39">
      <c r="AZ497" s="38">
        <f>INDEX(Translations!$D:$ZZ, MATCH(305,Translations!$A:$A,0), MATCH('Project Information'!$C$4,Translations!$D$1:$ZZ$1,0))</f>
        <v/>
      </c>
      <c r="BA497" s="38">
        <f>INDEX(Translations!$D:$ZZ, MATCH(35,Translations!$A:$A,0), MATCH('Project Information'!$C$4,Translations!$D$1:$ZZ$1,0))</f>
        <v/>
      </c>
      <c r="BB497" s="38">
        <f>INDEX(Translations!$D:$ZZ, MATCH(339,Translations!$A:$A,0), MATCH('Project Information'!$C$4,Translations!$D$1:$ZZ$1,0))</f>
        <v/>
      </c>
      <c r="BC497" s="38">
        <f>INDEX(Translations!$D:$ZZ, MATCH(81,Translations!$A:$A,0), MATCH('Project Information'!$C$4,Translations!$D$1:$ZZ$1,0))</f>
        <v/>
      </c>
      <c r="BD497" s="38">
        <f>IF(OR(TRIM("")="Evet",TRIM("")="Yes"),1,0)</f>
        <v/>
      </c>
      <c r="BE497" s="38" t="n">
        <v>1</v>
      </c>
      <c r="BF497" s="38">
        <f>BD497*BE497</f>
        <v/>
      </c>
    </row>
    <row r="498" ht="15" customHeight="1" s="39">
      <c r="AZ498" s="38">
        <f>INDEX(Translations!$D:$ZZ, MATCH(305,Translations!$A:$A,0), MATCH('Project Information'!$C$4,Translations!$D$1:$ZZ$1,0))</f>
        <v/>
      </c>
      <c r="BA498" s="38">
        <f>INDEX(Translations!$D:$ZZ, MATCH(35,Translations!$A:$A,0), MATCH('Project Information'!$C$4,Translations!$D$1:$ZZ$1,0))</f>
        <v/>
      </c>
      <c r="BB498" s="38">
        <f>INDEX(Translations!$D:$ZZ, MATCH(339,Translations!$A:$A,0), MATCH('Project Information'!$C$4,Translations!$D$1:$ZZ$1,0))</f>
        <v/>
      </c>
      <c r="BC498" s="38">
        <f>INDEX(Translations!$D:$ZZ, MATCH(85,Translations!$A:$A,0), MATCH('Project Information'!$C$4,Translations!$D$1:$ZZ$1,0))</f>
        <v/>
      </c>
      <c r="BD498" s="38">
        <f>IF(OR(TRIM("")="Evet",TRIM("")="Yes"),1,0)</f>
        <v/>
      </c>
      <c r="BE498" s="38" t="n">
        <v>2</v>
      </c>
      <c r="BF498" s="38">
        <f>BD498*BE498</f>
        <v/>
      </c>
    </row>
    <row r="499" ht="15" customHeight="1" s="39">
      <c r="AZ499" s="38">
        <f>INDEX(Translations!$D:$ZZ, MATCH(305,Translations!$A:$A,0), MATCH('Project Information'!$C$4,Translations!$D$1:$ZZ$1,0))</f>
        <v/>
      </c>
      <c r="BA499" s="38">
        <f>INDEX(Translations!$D:$ZZ, MATCH(35,Translations!$A:$A,0), MATCH('Project Information'!$C$4,Translations!$D$1:$ZZ$1,0))</f>
        <v/>
      </c>
      <c r="BB499" s="38">
        <f>INDEX(Translations!$D:$ZZ, MATCH(339,Translations!$A:$A,0), MATCH('Project Information'!$C$4,Translations!$D$1:$ZZ$1,0))</f>
        <v/>
      </c>
      <c r="BC499" s="38">
        <f>INDEX(Translations!$D:$ZZ, MATCH(87,Translations!$A:$A,0), MATCH('Project Information'!$C$4,Translations!$D$1:$ZZ$1,0))</f>
        <v/>
      </c>
      <c r="BD499" s="38">
        <f>IF(OR(TRIM("")="Evet",TRIM("")="Yes"),1,0)</f>
        <v/>
      </c>
      <c r="BE499" s="38" t="n">
        <v>4</v>
      </c>
      <c r="BF499" s="38">
        <f>BD499*BE499</f>
        <v/>
      </c>
    </row>
    <row r="500" ht="15" customHeight="1" s="39">
      <c r="AZ500" s="38">
        <f>INDEX(Translations!$D:$ZZ, MATCH(310,Translations!$A:$A,0), MATCH('Project Information'!$C$4,Translations!$D$1:$ZZ$1,0))</f>
        <v/>
      </c>
      <c r="BA500" s="38">
        <f>INDEX(Translations!$D:$ZZ, MATCH(261,Translations!$A:$A,0), MATCH('Project Information'!$C$4,Translations!$D$1:$ZZ$1,0))</f>
        <v/>
      </c>
      <c r="BB500" s="38">
        <f>INDEX(Translations!$D:$ZZ, MATCH(344,Translations!$A:$A,0), MATCH('Project Information'!$C$4,Translations!$D$1:$ZZ$1,0))</f>
        <v/>
      </c>
      <c r="BC500" s="38">
        <f>INDEX(Translations!$D:$ZZ, MATCH(75,Translations!$A:$A,0), MATCH('Project Information'!$C$4,Translations!$D$1:$ZZ$1,0))</f>
        <v/>
      </c>
      <c r="BD500" s="38">
        <f>IF(OR(TRIM("")="Evet",TRIM("")="Yes"),1,0)</f>
        <v/>
      </c>
      <c r="BE500" s="38" t="n">
        <v>3</v>
      </c>
      <c r="BF500" s="38">
        <f>BD500*BE500</f>
        <v/>
      </c>
    </row>
    <row r="501" ht="15" customHeight="1" s="39">
      <c r="AZ501" s="38">
        <f>INDEX(Translations!$D:$ZZ, MATCH(310,Translations!$A:$A,0), MATCH('Project Information'!$C$4,Translations!$D$1:$ZZ$1,0))</f>
        <v/>
      </c>
      <c r="BA501" s="38">
        <f>INDEX(Translations!$D:$ZZ, MATCH(261,Translations!$A:$A,0), MATCH('Project Information'!$C$4,Translations!$D$1:$ZZ$1,0))</f>
        <v/>
      </c>
      <c r="BB501" s="38">
        <f>INDEX(Translations!$D:$ZZ, MATCH(344,Translations!$A:$A,0), MATCH('Project Information'!$C$4,Translations!$D$1:$ZZ$1,0))</f>
        <v/>
      </c>
      <c r="BC501" s="38">
        <f>INDEX(Translations!$D:$ZZ, MATCH(76,Translations!$A:$A,0), MATCH('Project Information'!$C$4,Translations!$D$1:$ZZ$1,0))</f>
        <v/>
      </c>
      <c r="BD501" s="38">
        <f>IF(OR(TRIM("")="Evet",TRIM("")="Yes"),1,0)</f>
        <v/>
      </c>
      <c r="BE501" s="38" t="n">
        <v>1</v>
      </c>
      <c r="BF501" s="38">
        <f>BD501*BE501</f>
        <v/>
      </c>
    </row>
    <row r="502" ht="15" customHeight="1" s="39">
      <c r="AZ502" s="38">
        <f>INDEX(Translations!$D:$ZZ, MATCH(310,Translations!$A:$A,0), MATCH('Project Information'!$C$4,Translations!$D$1:$ZZ$1,0))</f>
        <v/>
      </c>
      <c r="BA502" s="38">
        <f>INDEX(Translations!$D:$ZZ, MATCH(261,Translations!$A:$A,0), MATCH('Project Information'!$C$4,Translations!$D$1:$ZZ$1,0))</f>
        <v/>
      </c>
      <c r="BB502" s="38">
        <f>INDEX(Translations!$D:$ZZ, MATCH(344,Translations!$A:$A,0), MATCH('Project Information'!$C$4,Translations!$D$1:$ZZ$1,0))</f>
        <v/>
      </c>
      <c r="BC502" s="38">
        <f>INDEX(Translations!$D:$ZZ, MATCH(77,Translations!$A:$A,0), MATCH('Project Information'!$C$4,Translations!$D$1:$ZZ$1,0))</f>
        <v/>
      </c>
      <c r="BD502" s="38">
        <f>IF(OR(TRIM("")="Evet",TRIM("")="Yes"),1,0)</f>
        <v/>
      </c>
      <c r="BE502" s="38" t="n">
        <v>1</v>
      </c>
      <c r="BF502" s="38">
        <f>BD502*BE502</f>
        <v/>
      </c>
    </row>
    <row r="503" ht="15" customHeight="1" s="39">
      <c r="AZ503" s="38">
        <f>INDEX(Translations!$D:$ZZ, MATCH(310,Translations!$A:$A,0), MATCH('Project Information'!$C$4,Translations!$D$1:$ZZ$1,0))</f>
        <v/>
      </c>
      <c r="BA503" s="38">
        <f>INDEX(Translations!$D:$ZZ, MATCH(261,Translations!$A:$A,0), MATCH('Project Information'!$C$4,Translations!$D$1:$ZZ$1,0))</f>
        <v/>
      </c>
      <c r="BB503" s="38">
        <f>INDEX(Translations!$D:$ZZ, MATCH(344,Translations!$A:$A,0), MATCH('Project Information'!$C$4,Translations!$D$1:$ZZ$1,0))</f>
        <v/>
      </c>
      <c r="BC503" s="38">
        <f>INDEX(Translations!$D:$ZZ, MATCH(78,Translations!$A:$A,0), MATCH('Project Information'!$C$4,Translations!$D$1:$ZZ$1,0))</f>
        <v/>
      </c>
      <c r="BD503" s="38">
        <f>IF(OR(TRIM("")="Evet",TRIM("")="Yes"),1,0)</f>
        <v/>
      </c>
      <c r="BE503" s="38" t="n">
        <v>4</v>
      </c>
      <c r="BF503" s="38">
        <f>BD503*BE503</f>
        <v/>
      </c>
    </row>
    <row r="504" ht="15" customHeight="1" s="39">
      <c r="AZ504" s="38">
        <f>INDEX(Translations!$D:$ZZ, MATCH(310,Translations!$A:$A,0), MATCH('Project Information'!$C$4,Translations!$D$1:$ZZ$1,0))</f>
        <v/>
      </c>
      <c r="BA504" s="38">
        <f>INDEX(Translations!$D:$ZZ, MATCH(261,Translations!$A:$A,0), MATCH('Project Information'!$C$4,Translations!$D$1:$ZZ$1,0))</f>
        <v/>
      </c>
      <c r="BB504" s="38">
        <f>INDEX(Translations!$D:$ZZ, MATCH(344,Translations!$A:$A,0), MATCH('Project Information'!$C$4,Translations!$D$1:$ZZ$1,0))</f>
        <v/>
      </c>
      <c r="BC504" s="38">
        <f>INDEX(Translations!$D:$ZZ, MATCH(79,Translations!$A:$A,0), MATCH('Project Information'!$C$4,Translations!$D$1:$ZZ$1,0))</f>
        <v/>
      </c>
      <c r="BD504" s="38">
        <f>IF(OR(TRIM("")="Evet",TRIM("")="Yes"),1,0)</f>
        <v/>
      </c>
      <c r="BE504" s="38" t="n">
        <v>5</v>
      </c>
      <c r="BF504" s="38">
        <f>BD504*BE504</f>
        <v/>
      </c>
    </row>
    <row r="505" ht="15" customHeight="1" s="39">
      <c r="AZ505" s="38">
        <f>INDEX(Translations!$D:$ZZ, MATCH(310,Translations!$A:$A,0), MATCH('Project Information'!$C$4,Translations!$D$1:$ZZ$1,0))</f>
        <v/>
      </c>
      <c r="BA505" s="38">
        <f>INDEX(Translations!$D:$ZZ, MATCH(261,Translations!$A:$A,0), MATCH('Project Information'!$C$4,Translations!$D$1:$ZZ$1,0))</f>
        <v/>
      </c>
      <c r="BB505" s="38">
        <f>INDEX(Translations!$D:$ZZ, MATCH(344,Translations!$A:$A,0), MATCH('Project Information'!$C$4,Translations!$D$1:$ZZ$1,0))</f>
        <v/>
      </c>
      <c r="BC505" s="38">
        <f>INDEX(Translations!$D:$ZZ, MATCH(80,Translations!$A:$A,0), MATCH('Project Information'!$C$4,Translations!$D$1:$ZZ$1,0))</f>
        <v/>
      </c>
      <c r="BD505" s="38">
        <f>IF(OR(TRIM("")="Evet",TRIM("")="Yes"),1,0)</f>
        <v/>
      </c>
      <c r="BE505" s="38" t="n">
        <v>3</v>
      </c>
      <c r="BF505" s="38">
        <f>BD505*BE505</f>
        <v/>
      </c>
    </row>
    <row r="506" ht="15" customHeight="1" s="39">
      <c r="AZ506" s="38">
        <f>INDEX(Translations!$D:$ZZ, MATCH(310,Translations!$A:$A,0), MATCH('Project Information'!$C$4,Translations!$D$1:$ZZ$1,0))</f>
        <v/>
      </c>
      <c r="BA506" s="38">
        <f>INDEX(Translations!$D:$ZZ, MATCH(261,Translations!$A:$A,0), MATCH('Project Information'!$C$4,Translations!$D$1:$ZZ$1,0))</f>
        <v/>
      </c>
      <c r="BB506" s="38">
        <f>INDEX(Translations!$D:$ZZ, MATCH(344,Translations!$A:$A,0), MATCH('Project Information'!$C$4,Translations!$D$1:$ZZ$1,0))</f>
        <v/>
      </c>
      <c r="BC506" s="38">
        <f>INDEX(Translations!$D:$ZZ, MATCH(81,Translations!$A:$A,0), MATCH('Project Information'!$C$4,Translations!$D$1:$ZZ$1,0))</f>
        <v/>
      </c>
      <c r="BD506" s="38">
        <f>IF(OR(TRIM("")="Evet",TRIM("")="Yes"),1,0)</f>
        <v/>
      </c>
      <c r="BE506" s="38" t="n">
        <v>2</v>
      </c>
      <c r="BF506" s="38">
        <f>BD506*BE506</f>
        <v/>
      </c>
    </row>
    <row r="507" ht="15" customHeight="1" s="39">
      <c r="AZ507" s="38">
        <f>INDEX(Translations!$D:$ZZ, MATCH(310,Translations!$A:$A,0), MATCH('Project Information'!$C$4,Translations!$D$1:$ZZ$1,0))</f>
        <v/>
      </c>
      <c r="BA507" s="38">
        <f>INDEX(Translations!$D:$ZZ, MATCH(261,Translations!$A:$A,0), MATCH('Project Information'!$C$4,Translations!$D$1:$ZZ$1,0))</f>
        <v/>
      </c>
      <c r="BB507" s="38">
        <f>INDEX(Translations!$D:$ZZ, MATCH(344,Translations!$A:$A,0), MATCH('Project Information'!$C$4,Translations!$D$1:$ZZ$1,0))</f>
        <v/>
      </c>
      <c r="BC507" s="38">
        <f>INDEX(Translations!$D:$ZZ, MATCH(82,Translations!$A:$A,0), MATCH('Project Information'!$C$4,Translations!$D$1:$ZZ$1,0))</f>
        <v/>
      </c>
      <c r="BD507" s="38">
        <f>IF(OR(TRIM("")="Evet",TRIM("")="Yes"),1,0)</f>
        <v/>
      </c>
      <c r="BE507" s="38" t="n">
        <v>2</v>
      </c>
      <c r="BF507" s="38">
        <f>BD507*BE507</f>
        <v/>
      </c>
    </row>
    <row r="508" ht="15" customHeight="1" s="39">
      <c r="AZ508" s="38">
        <f>INDEX(Translations!$D:$ZZ, MATCH(310,Translations!$A:$A,0), MATCH('Project Information'!$C$4,Translations!$D$1:$ZZ$1,0))</f>
        <v/>
      </c>
      <c r="BA508" s="38">
        <f>INDEX(Translations!$D:$ZZ, MATCH(261,Translations!$A:$A,0), MATCH('Project Information'!$C$4,Translations!$D$1:$ZZ$1,0))</f>
        <v/>
      </c>
      <c r="BB508" s="38">
        <f>INDEX(Translations!$D:$ZZ, MATCH(344,Translations!$A:$A,0), MATCH('Project Information'!$C$4,Translations!$D$1:$ZZ$1,0))</f>
        <v/>
      </c>
      <c r="BC508" s="38">
        <f>INDEX(Translations!$D:$ZZ, MATCH(83,Translations!$A:$A,0), MATCH('Project Information'!$C$4,Translations!$D$1:$ZZ$1,0))</f>
        <v/>
      </c>
      <c r="BD508" s="38">
        <f>IF(OR(TRIM("")="Evet",TRIM("")="Yes"),1,0)</f>
        <v/>
      </c>
      <c r="BE508" s="38" t="n">
        <v>2</v>
      </c>
      <c r="BF508" s="38">
        <f>BD508*BE508</f>
        <v/>
      </c>
    </row>
    <row r="509" ht="15" customHeight="1" s="39">
      <c r="AZ509" s="38">
        <f>INDEX(Translations!$D:$ZZ, MATCH(310,Translations!$A:$A,0), MATCH('Project Information'!$C$4,Translations!$D$1:$ZZ$1,0))</f>
        <v/>
      </c>
      <c r="BA509" s="38">
        <f>INDEX(Translations!$D:$ZZ, MATCH(261,Translations!$A:$A,0), MATCH('Project Information'!$C$4,Translations!$D$1:$ZZ$1,0))</f>
        <v/>
      </c>
      <c r="BB509" s="38">
        <f>INDEX(Translations!$D:$ZZ, MATCH(344,Translations!$A:$A,0), MATCH('Project Information'!$C$4,Translations!$D$1:$ZZ$1,0))</f>
        <v/>
      </c>
      <c r="BC509" s="38">
        <f>INDEX(Translations!$D:$ZZ, MATCH(85,Translations!$A:$A,0), MATCH('Project Information'!$C$4,Translations!$D$1:$ZZ$1,0))</f>
        <v/>
      </c>
      <c r="BD509" s="38">
        <f>IF(OR(TRIM("")="Evet",TRIM("")="Yes"),1,0)</f>
        <v/>
      </c>
      <c r="BE509" s="38" t="n">
        <v>3</v>
      </c>
      <c r="BF509" s="38">
        <f>BD509*BE509</f>
        <v/>
      </c>
    </row>
    <row r="510" ht="15" customHeight="1" s="39">
      <c r="AZ510" s="38">
        <f>INDEX(Translations!$D:$ZZ, MATCH(310,Translations!$A:$A,0), MATCH('Project Information'!$C$4,Translations!$D$1:$ZZ$1,0))</f>
        <v/>
      </c>
      <c r="BA510" s="38">
        <f>INDEX(Translations!$D:$ZZ, MATCH(261,Translations!$A:$A,0), MATCH('Project Information'!$C$4,Translations!$D$1:$ZZ$1,0))</f>
        <v/>
      </c>
      <c r="BB510" s="38">
        <f>INDEX(Translations!$D:$ZZ, MATCH(344,Translations!$A:$A,0), MATCH('Project Information'!$C$4,Translations!$D$1:$ZZ$1,0))</f>
        <v/>
      </c>
      <c r="BC510" s="38">
        <f>INDEX(Translations!$D:$ZZ, MATCH(86,Translations!$A:$A,0), MATCH('Project Information'!$C$4,Translations!$D$1:$ZZ$1,0))</f>
        <v/>
      </c>
      <c r="BD510" s="38">
        <f>IF(OR(TRIM("")="Evet",TRIM("")="Yes"),1,0)</f>
        <v/>
      </c>
      <c r="BE510" s="38" t="n">
        <v>1</v>
      </c>
      <c r="BF510" s="38">
        <f>BD510*BE510</f>
        <v/>
      </c>
    </row>
    <row r="511" ht="15" customHeight="1" s="39">
      <c r="AZ511" s="38">
        <f>INDEX(Translations!$D:$ZZ, MATCH(310,Translations!$A:$A,0), MATCH('Project Information'!$C$4,Translations!$D$1:$ZZ$1,0))</f>
        <v/>
      </c>
      <c r="BA511" s="38">
        <f>INDEX(Translations!$D:$ZZ, MATCH(261,Translations!$A:$A,0), MATCH('Project Information'!$C$4,Translations!$D$1:$ZZ$1,0))</f>
        <v/>
      </c>
      <c r="BB511" s="38">
        <f>INDEX(Translations!$D:$ZZ, MATCH(344,Translations!$A:$A,0), MATCH('Project Information'!$C$4,Translations!$D$1:$ZZ$1,0))</f>
        <v/>
      </c>
      <c r="BC511" s="38">
        <f>INDEX(Translations!$D:$ZZ, MATCH(87,Translations!$A:$A,0), MATCH('Project Information'!$C$4,Translations!$D$1:$ZZ$1,0))</f>
        <v/>
      </c>
      <c r="BD511" s="38">
        <f>IF(OR(TRIM("")="Evet",TRIM("")="Yes"),1,0)</f>
        <v/>
      </c>
      <c r="BE511" s="38" t="n">
        <v>3</v>
      </c>
      <c r="BF511" s="38">
        <f>BD511*BE511</f>
        <v/>
      </c>
    </row>
    <row r="512" ht="15" customHeight="1" s="39">
      <c r="AZ512" s="38">
        <f>INDEX(Translations!$D:$ZZ, MATCH(314,Translations!$A:$A,0), MATCH('Project Information'!$C$4,Translations!$D$1:$ZZ$1,0))</f>
        <v/>
      </c>
      <c r="BA512" s="38">
        <f>INDEX(Translations!$D:$ZZ, MATCH(177,Translations!$A:$A,0), MATCH('Project Information'!$C$4,Translations!$D$1:$ZZ$1,0))</f>
        <v/>
      </c>
      <c r="BB512" s="38">
        <f>INDEX(Translations!$D:$ZZ, MATCH(332,Translations!$A:$A,0), MATCH('Project Information'!$C$4,Translations!$D$1:$ZZ$1,0))</f>
        <v/>
      </c>
      <c r="BC512" s="38">
        <f>INDEX(Translations!$D:$ZZ, MATCH(83,Translations!$A:$A,0), MATCH('Project Information'!$C$4,Translations!$D$1:$ZZ$1,0))</f>
        <v/>
      </c>
      <c r="BD512" s="38">
        <f>MAX(N(0)-1,0)</f>
        <v/>
      </c>
      <c r="BE512" s="38" t="n">
        <v>0</v>
      </c>
      <c r="BF512" s="38">
        <f>BD512*BE512</f>
        <v/>
      </c>
    </row>
    <row r="513" ht="15" customHeight="1" s="39">
      <c r="AZ513" s="38">
        <f>INDEX(Translations!$D:$ZZ, MATCH(314,Translations!$A:$A,0), MATCH('Project Information'!$C$4,Translations!$D$1:$ZZ$1,0))</f>
        <v/>
      </c>
      <c r="BA513" s="38">
        <f>INDEX(Translations!$D:$ZZ, MATCH(177,Translations!$A:$A,0), MATCH('Project Information'!$C$4,Translations!$D$1:$ZZ$1,0))</f>
        <v/>
      </c>
      <c r="BB513" s="38">
        <f>INDEX(Translations!$D:$ZZ, MATCH(333,Translations!$A:$A,0), MATCH('Project Information'!$C$4,Translations!$D$1:$ZZ$1,0))</f>
        <v/>
      </c>
      <c r="BC513" s="38">
        <f>INDEX(Translations!$D:$ZZ, MATCH(83,Translations!$A:$A,0), MATCH('Project Information'!$C$4,Translations!$D$1:$ZZ$1,0))</f>
        <v/>
      </c>
      <c r="BD513" s="38">
        <f>MAX(N(0)-1,0)</f>
        <v/>
      </c>
      <c r="BE513" s="38" t="n">
        <v>0</v>
      </c>
      <c r="BF513" s="38">
        <f>BD513*BE513</f>
        <v/>
      </c>
    </row>
    <row r="514" ht="15" customHeight="1" s="39">
      <c r="AZ514" s="38">
        <f>INDEX(Translations!$D:$ZZ, MATCH(314,Translations!$A:$A,0), MATCH('Project Information'!$C$4,Translations!$D$1:$ZZ$1,0))</f>
        <v/>
      </c>
      <c r="BA514" s="38">
        <f>INDEX(Translations!$D:$ZZ, MATCH(177,Translations!$A:$A,0), MATCH('Project Information'!$C$4,Translations!$D$1:$ZZ$1,0))</f>
        <v/>
      </c>
      <c r="BB514" s="38">
        <f>INDEX(Translations!$D:$ZZ, MATCH(334,Translations!$A:$A,0), MATCH('Project Information'!$C$4,Translations!$D$1:$ZZ$1,0))</f>
        <v/>
      </c>
      <c r="BC514" s="38">
        <f>INDEX(Translations!$D:$ZZ, MATCH(83,Translations!$A:$A,0), MATCH('Project Information'!$C$4,Translations!$D$1:$ZZ$1,0))</f>
        <v/>
      </c>
      <c r="BD514" s="38">
        <f>MAX(N(0)-1,0)</f>
        <v/>
      </c>
      <c r="BE514" s="38" t="n">
        <v>0</v>
      </c>
      <c r="BF514" s="38">
        <f>BD514*BE514</f>
        <v/>
      </c>
    </row>
    <row r="515" ht="15" customHeight="1" s="39">
      <c r="AZ515" s="38">
        <f>INDEX(Translations!$D:$ZZ, MATCH(314,Translations!$A:$A,0), MATCH('Project Information'!$C$4,Translations!$D$1:$ZZ$1,0))</f>
        <v/>
      </c>
      <c r="BA515" s="38">
        <f>INDEX(Translations!$D:$ZZ, MATCH(177,Translations!$A:$A,0), MATCH('Project Information'!$C$4,Translations!$D$1:$ZZ$1,0))</f>
        <v/>
      </c>
      <c r="BB515" s="38">
        <f>INDEX(Translations!$D:$ZZ, MATCH(335,Translations!$A:$A,0), MATCH('Project Information'!$C$4,Translations!$D$1:$ZZ$1,0))</f>
        <v/>
      </c>
      <c r="BC515" s="38">
        <f>INDEX(Translations!$D:$ZZ, MATCH(83,Translations!$A:$A,0), MATCH('Project Information'!$C$4,Translations!$D$1:$ZZ$1,0))</f>
        <v/>
      </c>
      <c r="BD515" s="38">
        <f>MAX(N(0)-1,0)</f>
        <v/>
      </c>
      <c r="BE515" s="38" t="n">
        <v>0</v>
      </c>
      <c r="BF515" s="38">
        <f>BD515*BE515</f>
        <v/>
      </c>
    </row>
    <row r="516" ht="15" customHeight="1" s="39">
      <c r="AZ516" s="38">
        <f>INDEX(Translations!$D:$ZZ, MATCH(314,Translations!$A:$A,0), MATCH('Project Information'!$C$4,Translations!$D$1:$ZZ$1,0))</f>
        <v/>
      </c>
      <c r="BA516" s="38">
        <f>INDEX(Translations!$D:$ZZ, MATCH(177,Translations!$A:$A,0), MATCH('Project Information'!$C$4,Translations!$D$1:$ZZ$1,0))</f>
        <v/>
      </c>
      <c r="BB516" s="38">
        <f>INDEX(Translations!$D:$ZZ, MATCH(336,Translations!$A:$A,0), MATCH('Project Information'!$C$4,Translations!$D$1:$ZZ$1,0))</f>
        <v/>
      </c>
      <c r="BC516" s="38">
        <f>INDEX(Translations!$D:$ZZ, MATCH(83,Translations!$A:$A,0), MATCH('Project Information'!$C$4,Translations!$D$1:$ZZ$1,0))</f>
        <v/>
      </c>
      <c r="BD516" s="38">
        <f>MAX(N(0)-1,0)</f>
        <v/>
      </c>
      <c r="BE516" s="38" t="n">
        <v>0</v>
      </c>
      <c r="BF516" s="38">
        <f>BD516*BE516</f>
        <v/>
      </c>
    </row>
    <row r="517" ht="15" customHeight="1" s="39">
      <c r="AZ517" s="38">
        <f>INDEX(Translations!$D:$ZZ, MATCH(314,Translations!$A:$A,0), MATCH('Project Information'!$C$4,Translations!$D$1:$ZZ$1,0))</f>
        <v/>
      </c>
      <c r="BA517" s="38">
        <f>INDEX(Translations!$D:$ZZ, MATCH(177,Translations!$A:$A,0), MATCH('Project Information'!$C$4,Translations!$D$1:$ZZ$1,0))</f>
        <v/>
      </c>
      <c r="BB517" s="38">
        <f>INDEX(Translations!$D:$ZZ, MATCH(337,Translations!$A:$A,0), MATCH('Project Information'!$C$4,Translations!$D$1:$ZZ$1,0))</f>
        <v/>
      </c>
      <c r="BC517" s="38">
        <f>INDEX(Translations!$D:$ZZ, MATCH(83,Translations!$A:$A,0), MATCH('Project Information'!$C$4,Translations!$D$1:$ZZ$1,0))</f>
        <v/>
      </c>
      <c r="BD517" s="38">
        <f>MAX(N(0)-1,0)</f>
        <v/>
      </c>
      <c r="BE517" s="38" t="n">
        <v>0</v>
      </c>
      <c r="BF517" s="38">
        <f>BD517*BE517</f>
        <v/>
      </c>
    </row>
    <row r="518" ht="15" customHeight="1" s="39">
      <c r="AZ518" s="38">
        <f>INDEX(Translations!$D:$ZZ, MATCH(314,Translations!$A:$A,0), MATCH('Project Information'!$C$4,Translations!$D$1:$ZZ$1,0))</f>
        <v/>
      </c>
      <c r="BA518" s="38">
        <f>INDEX(Translations!$D:$ZZ, MATCH(177,Translations!$A:$A,0), MATCH('Project Information'!$C$4,Translations!$D$1:$ZZ$1,0))</f>
        <v/>
      </c>
      <c r="BB518" s="38">
        <f>INDEX(Translations!$D:$ZZ, MATCH(338,Translations!$A:$A,0), MATCH('Project Information'!$C$4,Translations!$D$1:$ZZ$1,0))</f>
        <v/>
      </c>
      <c r="BC518" s="38">
        <f>INDEX(Translations!$D:$ZZ, MATCH(83,Translations!$A:$A,0), MATCH('Project Information'!$C$4,Translations!$D$1:$ZZ$1,0))</f>
        <v/>
      </c>
      <c r="BD518" s="38">
        <f>MAX(N(0)-1,0)</f>
        <v/>
      </c>
      <c r="BE518" s="38" t="n">
        <v>0</v>
      </c>
      <c r="BF518" s="38">
        <f>BD518*BE518</f>
        <v/>
      </c>
    </row>
    <row r="519" ht="15" customHeight="1" s="39">
      <c r="AZ519" s="38">
        <f>INDEX(Translations!$D:$ZZ, MATCH(314,Translations!$A:$A,0), MATCH('Project Information'!$C$4,Translations!$D$1:$ZZ$1,0))</f>
        <v/>
      </c>
      <c r="BA519" s="38">
        <f>INDEX(Translations!$D:$ZZ, MATCH(177,Translations!$A:$A,0), MATCH('Project Information'!$C$4,Translations!$D$1:$ZZ$1,0))</f>
        <v/>
      </c>
      <c r="BB519" s="38">
        <f>INDEX(Translations!$D:$ZZ, MATCH(339,Translations!$A:$A,0), MATCH('Project Information'!$C$4,Translations!$D$1:$ZZ$1,0))</f>
        <v/>
      </c>
      <c r="BC519" s="38">
        <f>INDEX(Translations!$D:$ZZ, MATCH(83,Translations!$A:$A,0), MATCH('Project Information'!$C$4,Translations!$D$1:$ZZ$1,0))</f>
        <v/>
      </c>
      <c r="BD519" s="38">
        <f>MAX(N(0)-1,0)</f>
        <v/>
      </c>
      <c r="BE519" s="38" t="n">
        <v>0</v>
      </c>
      <c r="BF519" s="38">
        <f>BD519*BE519</f>
        <v/>
      </c>
    </row>
    <row r="520" ht="15" customHeight="1" s="39">
      <c r="AZ520" s="38">
        <f>INDEX(Translations!$D:$ZZ, MATCH(314,Translations!$A:$A,0), MATCH('Project Information'!$C$4,Translations!$D$1:$ZZ$1,0))</f>
        <v/>
      </c>
      <c r="BA520" s="38">
        <f>INDEX(Translations!$D:$ZZ, MATCH(177,Translations!$A:$A,0), MATCH('Project Information'!$C$4,Translations!$D$1:$ZZ$1,0))</f>
        <v/>
      </c>
      <c r="BB520" s="38">
        <f>INDEX(Translations!$D:$ZZ, MATCH(340,Translations!$A:$A,0), MATCH('Project Information'!$C$4,Translations!$D$1:$ZZ$1,0))</f>
        <v/>
      </c>
      <c r="BC520" s="38">
        <f>INDEX(Translations!$D:$ZZ, MATCH(83,Translations!$A:$A,0), MATCH('Project Information'!$C$4,Translations!$D$1:$ZZ$1,0))</f>
        <v/>
      </c>
      <c r="BD520" s="38">
        <f>MAX(N(0)-1,0)</f>
        <v/>
      </c>
      <c r="BE520" s="38" t="n">
        <v>0</v>
      </c>
      <c r="BF520" s="38">
        <f>BD520*BE520</f>
        <v/>
      </c>
    </row>
    <row r="521" ht="15" customHeight="1" s="39">
      <c r="AZ521" s="38">
        <f>INDEX(Translations!$D:$ZZ, MATCH(314,Translations!$A:$A,0), MATCH('Project Information'!$C$4,Translations!$D$1:$ZZ$1,0))</f>
        <v/>
      </c>
      <c r="BA521" s="38">
        <f>INDEX(Translations!$D:$ZZ, MATCH(177,Translations!$A:$A,0), MATCH('Project Information'!$C$4,Translations!$D$1:$ZZ$1,0))</f>
        <v/>
      </c>
      <c r="BB521" s="38">
        <f>INDEX(Translations!$D:$ZZ, MATCH(341,Translations!$A:$A,0), MATCH('Project Information'!$C$4,Translations!$D$1:$ZZ$1,0))</f>
        <v/>
      </c>
      <c r="BC521" s="38">
        <f>INDEX(Translations!$D:$ZZ, MATCH(83,Translations!$A:$A,0), MATCH('Project Information'!$C$4,Translations!$D$1:$ZZ$1,0))</f>
        <v/>
      </c>
      <c r="BD521" s="38">
        <f>MAX(N(0)-1,0)</f>
        <v/>
      </c>
      <c r="BE521" s="38" t="n">
        <v>0</v>
      </c>
      <c r="BF521" s="38">
        <f>BD521*BE521</f>
        <v/>
      </c>
    </row>
    <row r="522" ht="15" customHeight="1" s="39">
      <c r="AZ522" s="38">
        <f>INDEX(Translations!$D:$ZZ, MATCH(314,Translations!$A:$A,0), MATCH('Project Information'!$C$4,Translations!$D$1:$ZZ$1,0))</f>
        <v/>
      </c>
      <c r="BA522" s="38">
        <f>INDEX(Translations!$D:$ZZ, MATCH(177,Translations!$A:$A,0), MATCH('Project Information'!$C$4,Translations!$D$1:$ZZ$1,0))</f>
        <v/>
      </c>
      <c r="BB522" s="38">
        <f>INDEX(Translations!$D:$ZZ, MATCH(342,Translations!$A:$A,0), MATCH('Project Information'!$C$4,Translations!$D$1:$ZZ$1,0))</f>
        <v/>
      </c>
      <c r="BC522" s="38">
        <f>INDEX(Translations!$D:$ZZ, MATCH(83,Translations!$A:$A,0), MATCH('Project Information'!$C$4,Translations!$D$1:$ZZ$1,0))</f>
        <v/>
      </c>
      <c r="BD522" s="38">
        <f>MAX(N(0)-1,0)</f>
        <v/>
      </c>
      <c r="BE522" s="38" t="n">
        <v>0</v>
      </c>
      <c r="BF522" s="38">
        <f>BD522*BE522</f>
        <v/>
      </c>
    </row>
    <row r="523" ht="15" customHeight="1" s="39">
      <c r="AZ523" s="38">
        <f>INDEX(Translations!$D:$ZZ, MATCH(314,Translations!$A:$A,0), MATCH('Project Information'!$C$4,Translations!$D$1:$ZZ$1,0))</f>
        <v/>
      </c>
      <c r="BA523" s="38">
        <f>INDEX(Translations!$D:$ZZ, MATCH(177,Translations!$A:$A,0), MATCH('Project Information'!$C$4,Translations!$D$1:$ZZ$1,0))</f>
        <v/>
      </c>
      <c r="BB523" s="38">
        <f>INDEX(Translations!$D:$ZZ, MATCH(343,Translations!$A:$A,0), MATCH('Project Information'!$C$4,Translations!$D$1:$ZZ$1,0))</f>
        <v/>
      </c>
      <c r="BC523" s="38">
        <f>INDEX(Translations!$D:$ZZ, MATCH(83,Translations!$A:$A,0), MATCH('Project Information'!$C$4,Translations!$D$1:$ZZ$1,0))</f>
        <v/>
      </c>
      <c r="BD523" s="38">
        <f>MAX(N(0)-1,0)</f>
        <v/>
      </c>
      <c r="BE523" s="38" t="n">
        <v>0</v>
      </c>
      <c r="BF523" s="38">
        <f>BD523*BE523</f>
        <v/>
      </c>
    </row>
    <row r="524" ht="15" customHeight="1" s="39">
      <c r="AZ524" s="38">
        <f>INDEX(Translations!$D:$ZZ, MATCH(314,Translations!$A:$A,0), MATCH('Project Information'!$C$4,Translations!$D$1:$ZZ$1,0))</f>
        <v/>
      </c>
      <c r="BA524" s="38">
        <f>INDEX(Translations!$D:$ZZ, MATCH(177,Translations!$A:$A,0), MATCH('Project Information'!$C$4,Translations!$D$1:$ZZ$1,0))</f>
        <v/>
      </c>
      <c r="BB524" s="38">
        <f>INDEX(Translations!$D:$ZZ, MATCH(344,Translations!$A:$A,0), MATCH('Project Information'!$C$4,Translations!$D$1:$ZZ$1,0))</f>
        <v/>
      </c>
      <c r="BC524" s="38">
        <f>INDEX(Translations!$D:$ZZ, MATCH(83,Translations!$A:$A,0), MATCH('Project Information'!$C$4,Translations!$D$1:$ZZ$1,0))</f>
        <v/>
      </c>
      <c r="BD524" s="38">
        <f>MAX(N(0)-1,0)</f>
        <v/>
      </c>
      <c r="BE524" s="38" t="n">
        <v>0</v>
      </c>
      <c r="BF524" s="38">
        <f>BD524*BE524</f>
        <v/>
      </c>
    </row>
    <row r="525" ht="15" customHeight="1" s="39">
      <c r="AZ525" s="38">
        <f>INDEX(Translations!$D:$ZZ, MATCH(314,Translations!$A:$A,0), MATCH('Project Information'!$C$4,Translations!$D$1:$ZZ$1,0))</f>
        <v/>
      </c>
      <c r="BA525" s="38">
        <f>INDEX(Translations!$D:$ZZ, MATCH(177,Translations!$A:$A,0), MATCH('Project Information'!$C$4,Translations!$D$1:$ZZ$1,0))</f>
        <v/>
      </c>
      <c r="BB525" s="38">
        <f>INDEX(Translations!$D:$ZZ, MATCH(345,Translations!$A:$A,0), MATCH('Project Information'!$C$4,Translations!$D$1:$ZZ$1,0))</f>
        <v/>
      </c>
      <c r="BC525" s="38">
        <f>INDEX(Translations!$D:$ZZ, MATCH(83,Translations!$A:$A,0), MATCH('Project Information'!$C$4,Translations!$D$1:$ZZ$1,0))</f>
        <v/>
      </c>
      <c r="BD525" s="38">
        <f>MAX(N(0)-1,0)</f>
        <v/>
      </c>
      <c r="BE525" s="38" t="n">
        <v>0</v>
      </c>
      <c r="BF525" s="38">
        <f>BD525*BE525</f>
        <v/>
      </c>
    </row>
    <row r="526" ht="15" customHeight="1" s="39">
      <c r="AZ526" s="38">
        <f>INDEX(Translations!$D:$ZZ, MATCH(314,Translations!$A:$A,0), MATCH('Project Information'!$C$4,Translations!$D$1:$ZZ$1,0))</f>
        <v/>
      </c>
      <c r="BA526" s="38">
        <f>INDEX(Translations!$D:$ZZ, MATCH(177,Translations!$A:$A,0), MATCH('Project Information'!$C$4,Translations!$D$1:$ZZ$1,0))</f>
        <v/>
      </c>
      <c r="BB526" s="38">
        <f>INDEX(Translations!$D:$ZZ, MATCH(346,Translations!$A:$A,0), MATCH('Project Information'!$C$4,Translations!$D$1:$ZZ$1,0))</f>
        <v/>
      </c>
      <c r="BC526" s="38">
        <f>INDEX(Translations!$D:$ZZ, MATCH(83,Translations!$A:$A,0), MATCH('Project Information'!$C$4,Translations!$D$1:$ZZ$1,0))</f>
        <v/>
      </c>
      <c r="BD526" s="38">
        <f>MAX(N(0)-1,0)</f>
        <v/>
      </c>
      <c r="BE526" s="38" t="n">
        <v>0</v>
      </c>
      <c r="BF526" s="38">
        <f>BD526*BE526</f>
        <v/>
      </c>
    </row>
    <row r="527" ht="15" customHeight="1" s="39">
      <c r="AZ527" s="38">
        <f>INDEX(Translations!$D:$ZZ, MATCH(315,Translations!$A:$A,0), MATCH('Project Information'!$C$4,Translations!$D$1:$ZZ$1,0))</f>
        <v/>
      </c>
      <c r="BA527" s="38">
        <f>INDEX(Translations!$D:$ZZ, MATCH(181,Translations!$A:$A,0), MATCH('Project Information'!$C$4,Translations!$D$1:$ZZ$1,0))</f>
        <v/>
      </c>
      <c r="BB527" s="38">
        <f>INDEX(Translations!$D:$ZZ, MATCH(332,Translations!$A:$A,0), MATCH('Project Information'!$C$4,Translations!$D$1:$ZZ$1,0))</f>
        <v/>
      </c>
      <c r="BC527" s="38">
        <f>INDEX(Translations!$D:$ZZ, MATCH(79,Translations!$A:$A,0), MATCH('Project Information'!$C$4,Translations!$D$1:$ZZ$1,0))</f>
        <v/>
      </c>
      <c r="BD527" s="38">
        <f>MAX(N(0)-1,0)</f>
        <v/>
      </c>
      <c r="BE527" s="38" t="n">
        <v>0</v>
      </c>
      <c r="BF527" s="38">
        <f>BD527*BE527</f>
        <v/>
      </c>
    </row>
    <row r="528" ht="15" customHeight="1" s="39">
      <c r="AZ528" s="38">
        <f>INDEX(Translations!$D:$ZZ, MATCH(315,Translations!$A:$A,0), MATCH('Project Information'!$C$4,Translations!$D$1:$ZZ$1,0))</f>
        <v/>
      </c>
      <c r="BA528" s="38">
        <f>INDEX(Translations!$D:$ZZ, MATCH(181,Translations!$A:$A,0), MATCH('Project Information'!$C$4,Translations!$D$1:$ZZ$1,0))</f>
        <v/>
      </c>
      <c r="BB528" s="38">
        <f>INDEX(Translations!$D:$ZZ, MATCH(333,Translations!$A:$A,0), MATCH('Project Information'!$C$4,Translations!$D$1:$ZZ$1,0))</f>
        <v/>
      </c>
      <c r="BC528" s="38">
        <f>INDEX(Translations!$D:$ZZ, MATCH(79,Translations!$A:$A,0), MATCH('Project Information'!$C$4,Translations!$D$1:$ZZ$1,0))</f>
        <v/>
      </c>
      <c r="BD528" s="38">
        <f>MAX(N(0)-1,0)</f>
        <v/>
      </c>
      <c r="BE528" s="38" t="n">
        <v>0</v>
      </c>
      <c r="BF528" s="38">
        <f>BD528*BE528</f>
        <v/>
      </c>
    </row>
    <row r="529" ht="15" customHeight="1" s="39">
      <c r="AZ529" s="38">
        <f>INDEX(Translations!$D:$ZZ, MATCH(315,Translations!$A:$A,0), MATCH('Project Information'!$C$4,Translations!$D$1:$ZZ$1,0))</f>
        <v/>
      </c>
      <c r="BA529" s="38">
        <f>INDEX(Translations!$D:$ZZ, MATCH(181,Translations!$A:$A,0), MATCH('Project Information'!$C$4,Translations!$D$1:$ZZ$1,0))</f>
        <v/>
      </c>
      <c r="BB529" s="38">
        <f>INDEX(Translations!$D:$ZZ, MATCH(334,Translations!$A:$A,0), MATCH('Project Information'!$C$4,Translations!$D$1:$ZZ$1,0))</f>
        <v/>
      </c>
      <c r="BC529" s="38">
        <f>INDEX(Translations!$D:$ZZ, MATCH(79,Translations!$A:$A,0), MATCH('Project Information'!$C$4,Translations!$D$1:$ZZ$1,0))</f>
        <v/>
      </c>
      <c r="BD529" s="38">
        <f>MAX(N(0)-1,0)</f>
        <v/>
      </c>
      <c r="BE529" s="38" t="n">
        <v>0</v>
      </c>
      <c r="BF529" s="38">
        <f>BD529*BE529</f>
        <v/>
      </c>
    </row>
    <row r="530" ht="15" customHeight="1" s="39">
      <c r="AZ530" s="38">
        <f>INDEX(Translations!$D:$ZZ, MATCH(315,Translations!$A:$A,0), MATCH('Project Information'!$C$4,Translations!$D$1:$ZZ$1,0))</f>
        <v/>
      </c>
      <c r="BA530" s="38">
        <f>INDEX(Translations!$D:$ZZ, MATCH(181,Translations!$A:$A,0), MATCH('Project Information'!$C$4,Translations!$D$1:$ZZ$1,0))</f>
        <v/>
      </c>
      <c r="BB530" s="38">
        <f>INDEX(Translations!$D:$ZZ, MATCH(335,Translations!$A:$A,0), MATCH('Project Information'!$C$4,Translations!$D$1:$ZZ$1,0))</f>
        <v/>
      </c>
      <c r="BC530" s="38">
        <f>INDEX(Translations!$D:$ZZ, MATCH(79,Translations!$A:$A,0), MATCH('Project Information'!$C$4,Translations!$D$1:$ZZ$1,0))</f>
        <v/>
      </c>
      <c r="BD530" s="38">
        <f>MAX(N(0)-1,0)</f>
        <v/>
      </c>
      <c r="BE530" s="38" t="n">
        <v>0</v>
      </c>
      <c r="BF530" s="38">
        <f>BD530*BE530</f>
        <v/>
      </c>
    </row>
    <row r="531" ht="15" customHeight="1" s="39">
      <c r="AZ531" s="38">
        <f>INDEX(Translations!$D:$ZZ, MATCH(315,Translations!$A:$A,0), MATCH('Project Information'!$C$4,Translations!$D$1:$ZZ$1,0))</f>
        <v/>
      </c>
      <c r="BA531" s="38">
        <f>INDEX(Translations!$D:$ZZ, MATCH(181,Translations!$A:$A,0), MATCH('Project Information'!$C$4,Translations!$D$1:$ZZ$1,0))</f>
        <v/>
      </c>
      <c r="BB531" s="38">
        <f>INDEX(Translations!$D:$ZZ, MATCH(336,Translations!$A:$A,0), MATCH('Project Information'!$C$4,Translations!$D$1:$ZZ$1,0))</f>
        <v/>
      </c>
      <c r="BC531" s="38">
        <f>INDEX(Translations!$D:$ZZ, MATCH(79,Translations!$A:$A,0), MATCH('Project Information'!$C$4,Translations!$D$1:$ZZ$1,0))</f>
        <v/>
      </c>
      <c r="BD531" s="38">
        <f>MAX(N(0)-1,0)</f>
        <v/>
      </c>
      <c r="BE531" s="38" t="n">
        <v>0</v>
      </c>
      <c r="BF531" s="38">
        <f>BD531*BE531</f>
        <v/>
      </c>
    </row>
    <row r="532" ht="15" customHeight="1" s="39">
      <c r="AZ532" s="38">
        <f>INDEX(Translations!$D:$ZZ, MATCH(315,Translations!$A:$A,0), MATCH('Project Information'!$C$4,Translations!$D$1:$ZZ$1,0))</f>
        <v/>
      </c>
      <c r="BA532" s="38">
        <f>INDEX(Translations!$D:$ZZ, MATCH(181,Translations!$A:$A,0), MATCH('Project Information'!$C$4,Translations!$D$1:$ZZ$1,0))</f>
        <v/>
      </c>
      <c r="BB532" s="38">
        <f>INDEX(Translations!$D:$ZZ, MATCH(337,Translations!$A:$A,0), MATCH('Project Information'!$C$4,Translations!$D$1:$ZZ$1,0))</f>
        <v/>
      </c>
      <c r="BC532" s="38">
        <f>INDEX(Translations!$D:$ZZ, MATCH(79,Translations!$A:$A,0), MATCH('Project Information'!$C$4,Translations!$D$1:$ZZ$1,0))</f>
        <v/>
      </c>
      <c r="BD532" s="38">
        <f>MAX(N(0)-1,0)</f>
        <v/>
      </c>
      <c r="BE532" s="38" t="n">
        <v>0</v>
      </c>
      <c r="BF532" s="38">
        <f>BD532*BE532</f>
        <v/>
      </c>
    </row>
    <row r="533" ht="15" customHeight="1" s="39">
      <c r="AZ533" s="38">
        <f>INDEX(Translations!$D:$ZZ, MATCH(315,Translations!$A:$A,0), MATCH('Project Information'!$C$4,Translations!$D$1:$ZZ$1,0))</f>
        <v/>
      </c>
      <c r="BA533" s="38">
        <f>INDEX(Translations!$D:$ZZ, MATCH(181,Translations!$A:$A,0), MATCH('Project Information'!$C$4,Translations!$D$1:$ZZ$1,0))</f>
        <v/>
      </c>
      <c r="BB533" s="38">
        <f>INDEX(Translations!$D:$ZZ, MATCH(338,Translations!$A:$A,0), MATCH('Project Information'!$C$4,Translations!$D$1:$ZZ$1,0))</f>
        <v/>
      </c>
      <c r="BC533" s="38">
        <f>INDEX(Translations!$D:$ZZ, MATCH(79,Translations!$A:$A,0), MATCH('Project Information'!$C$4,Translations!$D$1:$ZZ$1,0))</f>
        <v/>
      </c>
      <c r="BD533" s="38">
        <f>MAX(N(0)-1,0)</f>
        <v/>
      </c>
      <c r="BE533" s="38" t="n">
        <v>0</v>
      </c>
      <c r="BF533" s="38">
        <f>BD533*BE533</f>
        <v/>
      </c>
    </row>
    <row r="534" ht="15" customHeight="1" s="39">
      <c r="AZ534" s="38">
        <f>INDEX(Translations!$D:$ZZ, MATCH(315,Translations!$A:$A,0), MATCH('Project Information'!$C$4,Translations!$D$1:$ZZ$1,0))</f>
        <v/>
      </c>
      <c r="BA534" s="38">
        <f>INDEX(Translations!$D:$ZZ, MATCH(181,Translations!$A:$A,0), MATCH('Project Information'!$C$4,Translations!$D$1:$ZZ$1,0))</f>
        <v/>
      </c>
      <c r="BB534" s="38">
        <f>INDEX(Translations!$D:$ZZ, MATCH(339,Translations!$A:$A,0), MATCH('Project Information'!$C$4,Translations!$D$1:$ZZ$1,0))</f>
        <v/>
      </c>
      <c r="BC534" s="38">
        <f>INDEX(Translations!$D:$ZZ, MATCH(79,Translations!$A:$A,0), MATCH('Project Information'!$C$4,Translations!$D$1:$ZZ$1,0))</f>
        <v/>
      </c>
      <c r="BD534" s="38">
        <f>MAX(N(0)-1,0)</f>
        <v/>
      </c>
      <c r="BE534" s="38" t="n">
        <v>0</v>
      </c>
      <c r="BF534" s="38">
        <f>BD534*BE534</f>
        <v/>
      </c>
    </row>
    <row r="535" ht="15" customHeight="1" s="39">
      <c r="AZ535" s="38">
        <f>INDEX(Translations!$D:$ZZ, MATCH(315,Translations!$A:$A,0), MATCH('Project Information'!$C$4,Translations!$D$1:$ZZ$1,0))</f>
        <v/>
      </c>
      <c r="BA535" s="38">
        <f>INDEX(Translations!$D:$ZZ, MATCH(181,Translations!$A:$A,0), MATCH('Project Information'!$C$4,Translations!$D$1:$ZZ$1,0))</f>
        <v/>
      </c>
      <c r="BB535" s="38">
        <f>INDEX(Translations!$D:$ZZ, MATCH(340,Translations!$A:$A,0), MATCH('Project Information'!$C$4,Translations!$D$1:$ZZ$1,0))</f>
        <v/>
      </c>
      <c r="BC535" s="38">
        <f>INDEX(Translations!$D:$ZZ, MATCH(79,Translations!$A:$A,0), MATCH('Project Information'!$C$4,Translations!$D$1:$ZZ$1,0))</f>
        <v/>
      </c>
      <c r="BD535" s="38">
        <f>MAX(N(0)-1,0)</f>
        <v/>
      </c>
      <c r="BE535" s="38" t="n">
        <v>0</v>
      </c>
      <c r="BF535" s="38">
        <f>BD535*BE535</f>
        <v/>
      </c>
    </row>
    <row r="536" ht="15" customHeight="1" s="39">
      <c r="AZ536" s="38">
        <f>INDEX(Translations!$D:$ZZ, MATCH(315,Translations!$A:$A,0), MATCH('Project Information'!$C$4,Translations!$D$1:$ZZ$1,0))</f>
        <v/>
      </c>
      <c r="BA536" s="38">
        <f>INDEX(Translations!$D:$ZZ, MATCH(181,Translations!$A:$A,0), MATCH('Project Information'!$C$4,Translations!$D$1:$ZZ$1,0))</f>
        <v/>
      </c>
      <c r="BB536" s="38">
        <f>INDEX(Translations!$D:$ZZ, MATCH(341,Translations!$A:$A,0), MATCH('Project Information'!$C$4,Translations!$D$1:$ZZ$1,0))</f>
        <v/>
      </c>
      <c r="BC536" s="38">
        <f>INDEX(Translations!$D:$ZZ, MATCH(79,Translations!$A:$A,0), MATCH('Project Information'!$C$4,Translations!$D$1:$ZZ$1,0))</f>
        <v/>
      </c>
      <c r="BD536" s="38">
        <f>MAX(N(0)-1,0)</f>
        <v/>
      </c>
      <c r="BE536" s="38" t="n">
        <v>0</v>
      </c>
      <c r="BF536" s="38">
        <f>BD536*BE536</f>
        <v/>
      </c>
    </row>
    <row r="537" ht="15" customHeight="1" s="39">
      <c r="AZ537" s="38">
        <f>INDEX(Translations!$D:$ZZ, MATCH(315,Translations!$A:$A,0), MATCH('Project Information'!$C$4,Translations!$D$1:$ZZ$1,0))</f>
        <v/>
      </c>
      <c r="BA537" s="38">
        <f>INDEX(Translations!$D:$ZZ, MATCH(181,Translations!$A:$A,0), MATCH('Project Information'!$C$4,Translations!$D$1:$ZZ$1,0))</f>
        <v/>
      </c>
      <c r="BB537" s="38">
        <f>INDEX(Translations!$D:$ZZ, MATCH(342,Translations!$A:$A,0), MATCH('Project Information'!$C$4,Translations!$D$1:$ZZ$1,0))</f>
        <v/>
      </c>
      <c r="BC537" s="38">
        <f>INDEX(Translations!$D:$ZZ, MATCH(79,Translations!$A:$A,0), MATCH('Project Information'!$C$4,Translations!$D$1:$ZZ$1,0))</f>
        <v/>
      </c>
      <c r="BD537" s="38">
        <f>MAX(N(0)-1,0)</f>
        <v/>
      </c>
      <c r="BE537" s="38" t="n">
        <v>0</v>
      </c>
      <c r="BF537" s="38">
        <f>BD537*BE537</f>
        <v/>
      </c>
    </row>
    <row r="538" ht="15" customHeight="1" s="39">
      <c r="AZ538" s="38">
        <f>INDEX(Translations!$D:$ZZ, MATCH(315,Translations!$A:$A,0), MATCH('Project Information'!$C$4,Translations!$D$1:$ZZ$1,0))</f>
        <v/>
      </c>
      <c r="BA538" s="38">
        <f>INDEX(Translations!$D:$ZZ, MATCH(181,Translations!$A:$A,0), MATCH('Project Information'!$C$4,Translations!$D$1:$ZZ$1,0))</f>
        <v/>
      </c>
      <c r="BB538" s="38">
        <f>INDEX(Translations!$D:$ZZ, MATCH(343,Translations!$A:$A,0), MATCH('Project Information'!$C$4,Translations!$D$1:$ZZ$1,0))</f>
        <v/>
      </c>
      <c r="BC538" s="38">
        <f>INDEX(Translations!$D:$ZZ, MATCH(79,Translations!$A:$A,0), MATCH('Project Information'!$C$4,Translations!$D$1:$ZZ$1,0))</f>
        <v/>
      </c>
      <c r="BD538" s="38">
        <f>MAX(N(0)-1,0)</f>
        <v/>
      </c>
      <c r="BE538" s="38" t="n">
        <v>0</v>
      </c>
      <c r="BF538" s="38">
        <f>BD538*BE538</f>
        <v/>
      </c>
    </row>
    <row r="539" ht="15" customHeight="1" s="39">
      <c r="AZ539" s="38">
        <f>INDEX(Translations!$D:$ZZ, MATCH(315,Translations!$A:$A,0), MATCH('Project Information'!$C$4,Translations!$D$1:$ZZ$1,0))</f>
        <v/>
      </c>
      <c r="BA539" s="38">
        <f>INDEX(Translations!$D:$ZZ, MATCH(181,Translations!$A:$A,0), MATCH('Project Information'!$C$4,Translations!$D$1:$ZZ$1,0))</f>
        <v/>
      </c>
      <c r="BB539" s="38">
        <f>INDEX(Translations!$D:$ZZ, MATCH(344,Translations!$A:$A,0), MATCH('Project Information'!$C$4,Translations!$D$1:$ZZ$1,0))</f>
        <v/>
      </c>
      <c r="BC539" s="38">
        <f>INDEX(Translations!$D:$ZZ, MATCH(79,Translations!$A:$A,0), MATCH('Project Information'!$C$4,Translations!$D$1:$ZZ$1,0))</f>
        <v/>
      </c>
      <c r="BD539" s="38">
        <f>MAX(N(0)-1,0)</f>
        <v/>
      </c>
      <c r="BE539" s="38" t="n">
        <v>0</v>
      </c>
      <c r="BF539" s="38">
        <f>BD539*BE539</f>
        <v/>
      </c>
    </row>
    <row r="540" ht="15" customHeight="1" s="39">
      <c r="AZ540" s="38">
        <f>INDEX(Translations!$D:$ZZ, MATCH(315,Translations!$A:$A,0), MATCH('Project Information'!$C$4,Translations!$D$1:$ZZ$1,0))</f>
        <v/>
      </c>
      <c r="BA540" s="38">
        <f>INDEX(Translations!$D:$ZZ, MATCH(181,Translations!$A:$A,0), MATCH('Project Information'!$C$4,Translations!$D$1:$ZZ$1,0))</f>
        <v/>
      </c>
      <c r="BB540" s="38">
        <f>INDEX(Translations!$D:$ZZ, MATCH(345,Translations!$A:$A,0), MATCH('Project Information'!$C$4,Translations!$D$1:$ZZ$1,0))</f>
        <v/>
      </c>
      <c r="BC540" s="38">
        <f>INDEX(Translations!$D:$ZZ, MATCH(79,Translations!$A:$A,0), MATCH('Project Information'!$C$4,Translations!$D$1:$ZZ$1,0))</f>
        <v/>
      </c>
      <c r="BD540" s="38">
        <f>MAX(N(0)-1,0)</f>
        <v/>
      </c>
      <c r="BE540" s="38" t="n">
        <v>0</v>
      </c>
      <c r="BF540" s="38">
        <f>BD540*BE540</f>
        <v/>
      </c>
    </row>
    <row r="541" ht="15" customHeight="1" s="39">
      <c r="AZ541" s="38">
        <f>INDEX(Translations!$D:$ZZ, MATCH(315,Translations!$A:$A,0), MATCH('Project Information'!$C$4,Translations!$D$1:$ZZ$1,0))</f>
        <v/>
      </c>
      <c r="BA541" s="38">
        <f>INDEX(Translations!$D:$ZZ, MATCH(181,Translations!$A:$A,0), MATCH('Project Information'!$C$4,Translations!$D$1:$ZZ$1,0))</f>
        <v/>
      </c>
      <c r="BB541" s="38">
        <f>INDEX(Translations!$D:$ZZ, MATCH(346,Translations!$A:$A,0), MATCH('Project Information'!$C$4,Translations!$D$1:$ZZ$1,0))</f>
        <v/>
      </c>
      <c r="BC541" s="38">
        <f>INDEX(Translations!$D:$ZZ, MATCH(79,Translations!$A:$A,0), MATCH('Project Information'!$C$4,Translations!$D$1:$ZZ$1,0))</f>
        <v/>
      </c>
      <c r="BD541" s="38">
        <f>MAX(N(0)-1,0)</f>
        <v/>
      </c>
      <c r="BE541" s="38" t="n">
        <v>0</v>
      </c>
      <c r="BF541" s="38">
        <f>BD541*BE541</f>
        <v/>
      </c>
    </row>
    <row r="542" ht="15" customHeight="1" s="39">
      <c r="AZ542" s="38">
        <f>INDEX(Translations!$D:$ZZ, MATCH(316,Translations!$A:$A,0), MATCH('Project Information'!$C$4,Translations!$D$1:$ZZ$1,0))</f>
        <v/>
      </c>
      <c r="BA542" s="38">
        <f>INDEX(Translations!$D:$ZZ, MATCH(183,Translations!$A:$A,0), MATCH('Project Information'!$C$4,Translations!$D$1:$ZZ$1,0))</f>
        <v/>
      </c>
      <c r="BB542" s="38">
        <f>INDEX(Translations!$D:$ZZ, MATCH(332,Translations!$A:$A,0), MATCH('Project Information'!$C$4,Translations!$D$1:$ZZ$1,0))</f>
        <v/>
      </c>
      <c r="BC542" s="38">
        <f>INDEX(Translations!$D:$ZZ, MATCH(75,Translations!$A:$A,0), MATCH('Project Information'!$C$4,Translations!$D$1:$ZZ$1,0))</f>
        <v/>
      </c>
      <c r="BD542" s="38">
        <f>IF(OR(TRIM("")="Evet",TRIM("")="Yes"),1,0)</f>
        <v/>
      </c>
      <c r="BE542" s="38" t="n">
        <v>3</v>
      </c>
      <c r="BF542" s="38">
        <f>BD542*BE542</f>
        <v/>
      </c>
    </row>
    <row r="543" ht="15" customHeight="1" s="39">
      <c r="AZ543" s="38">
        <f>INDEX(Translations!$D:$ZZ, MATCH(316,Translations!$A:$A,0), MATCH('Project Information'!$C$4,Translations!$D$1:$ZZ$1,0))</f>
        <v/>
      </c>
      <c r="BA543" s="38">
        <f>INDEX(Translations!$D:$ZZ, MATCH(183,Translations!$A:$A,0), MATCH('Project Information'!$C$4,Translations!$D$1:$ZZ$1,0))</f>
        <v/>
      </c>
      <c r="BB543" s="38">
        <f>INDEX(Translations!$D:$ZZ, MATCH(332,Translations!$A:$A,0), MATCH('Project Information'!$C$4,Translations!$D$1:$ZZ$1,0))</f>
        <v/>
      </c>
      <c r="BC543" s="38">
        <f>INDEX(Translations!$D:$ZZ, MATCH(76,Translations!$A:$A,0), MATCH('Project Information'!$C$4,Translations!$D$1:$ZZ$1,0))</f>
        <v/>
      </c>
      <c r="BD543" s="38">
        <f>IF(OR(TRIM("")="Evet",TRIM("")="Yes"),1,0)</f>
        <v/>
      </c>
      <c r="BE543" s="38" t="n">
        <v>2</v>
      </c>
      <c r="BF543" s="38">
        <f>BD543*BE543</f>
        <v/>
      </c>
    </row>
    <row r="544" ht="15" customHeight="1" s="39">
      <c r="AZ544" s="38">
        <f>INDEX(Translations!$D:$ZZ, MATCH(316,Translations!$A:$A,0), MATCH('Project Information'!$C$4,Translations!$D$1:$ZZ$1,0))</f>
        <v/>
      </c>
      <c r="BA544" s="38">
        <f>INDEX(Translations!$D:$ZZ, MATCH(183,Translations!$A:$A,0), MATCH('Project Information'!$C$4,Translations!$D$1:$ZZ$1,0))</f>
        <v/>
      </c>
      <c r="BB544" s="38">
        <f>INDEX(Translations!$D:$ZZ, MATCH(332,Translations!$A:$A,0), MATCH('Project Information'!$C$4,Translations!$D$1:$ZZ$1,0))</f>
        <v/>
      </c>
      <c r="BC544" s="38">
        <f>INDEX(Translations!$D:$ZZ, MATCH(79,Translations!$A:$A,0), MATCH('Project Information'!$C$4,Translations!$D$1:$ZZ$1,0))</f>
        <v/>
      </c>
      <c r="BD544" s="38">
        <f>IF(OR(TRIM("")="Evet",TRIM("")="Yes"),1,0)</f>
        <v/>
      </c>
      <c r="BE544" s="38" t="n">
        <v>2</v>
      </c>
      <c r="BF544" s="38">
        <f>BD544*BE544</f>
        <v/>
      </c>
    </row>
    <row r="545" ht="15" customHeight="1" s="39">
      <c r="AZ545" s="38">
        <f>INDEX(Translations!$D:$ZZ, MATCH(316,Translations!$A:$A,0), MATCH('Project Information'!$C$4,Translations!$D$1:$ZZ$1,0))</f>
        <v/>
      </c>
      <c r="BA545" s="38">
        <f>INDEX(Translations!$D:$ZZ, MATCH(183,Translations!$A:$A,0), MATCH('Project Information'!$C$4,Translations!$D$1:$ZZ$1,0))</f>
        <v/>
      </c>
      <c r="BB545" s="38">
        <f>INDEX(Translations!$D:$ZZ, MATCH(332,Translations!$A:$A,0), MATCH('Project Information'!$C$4,Translations!$D$1:$ZZ$1,0))</f>
        <v/>
      </c>
      <c r="BC545" s="38">
        <f>INDEX(Translations!$D:$ZZ, MATCH(80,Translations!$A:$A,0), MATCH('Project Information'!$C$4,Translations!$D$1:$ZZ$1,0))</f>
        <v/>
      </c>
      <c r="BD545" s="38">
        <f>IF(OR(TRIM("")="Evet",TRIM("")="Yes"),1,0)</f>
        <v/>
      </c>
      <c r="BE545" s="38" t="n">
        <v>2</v>
      </c>
      <c r="BF545" s="38">
        <f>BD545*BE545</f>
        <v/>
      </c>
    </row>
    <row r="546" ht="15" customHeight="1" s="39">
      <c r="AZ546" s="38">
        <f>INDEX(Translations!$D:$ZZ, MATCH(316,Translations!$A:$A,0), MATCH('Project Information'!$C$4,Translations!$D$1:$ZZ$1,0))</f>
        <v/>
      </c>
      <c r="BA546" s="38">
        <f>INDEX(Translations!$D:$ZZ, MATCH(183,Translations!$A:$A,0), MATCH('Project Information'!$C$4,Translations!$D$1:$ZZ$1,0))</f>
        <v/>
      </c>
      <c r="BB546" s="38">
        <f>INDEX(Translations!$D:$ZZ, MATCH(332,Translations!$A:$A,0), MATCH('Project Information'!$C$4,Translations!$D$1:$ZZ$1,0))</f>
        <v/>
      </c>
      <c r="BC546" s="38">
        <f>INDEX(Translations!$D:$ZZ, MATCH(83,Translations!$A:$A,0), MATCH('Project Information'!$C$4,Translations!$D$1:$ZZ$1,0))</f>
        <v/>
      </c>
      <c r="BD546" s="38">
        <f>IF(OR(TRIM("")="Evet",TRIM("")="Yes"),1,0)</f>
        <v/>
      </c>
      <c r="BE546" s="38" t="n">
        <v>2</v>
      </c>
      <c r="BF546" s="38">
        <f>BD546*BE546</f>
        <v/>
      </c>
    </row>
    <row r="547" ht="15" customHeight="1" s="39">
      <c r="AZ547" s="38">
        <f>INDEX(Translations!$D:$ZZ, MATCH(316,Translations!$A:$A,0), MATCH('Project Information'!$C$4,Translations!$D$1:$ZZ$1,0))</f>
        <v/>
      </c>
      <c r="BA547" s="38">
        <f>INDEX(Translations!$D:$ZZ, MATCH(183,Translations!$A:$A,0), MATCH('Project Information'!$C$4,Translations!$D$1:$ZZ$1,0))</f>
        <v/>
      </c>
      <c r="BB547" s="38">
        <f>INDEX(Translations!$D:$ZZ, MATCH(332,Translations!$A:$A,0), MATCH('Project Information'!$C$4,Translations!$D$1:$ZZ$1,0))</f>
        <v/>
      </c>
      <c r="BC547" s="38">
        <f>INDEX(Translations!$D:$ZZ, MATCH(84,Translations!$A:$A,0), MATCH('Project Information'!$C$4,Translations!$D$1:$ZZ$1,0))</f>
        <v/>
      </c>
      <c r="BD547" s="38">
        <f>IF(OR(TRIM("")="Evet",TRIM("")="Yes"),1,0)</f>
        <v/>
      </c>
      <c r="BE547" s="38" t="n">
        <v>2</v>
      </c>
      <c r="BF547" s="38">
        <f>BD547*BE547</f>
        <v/>
      </c>
    </row>
    <row r="548" ht="15" customHeight="1" s="39">
      <c r="AZ548" s="38">
        <f>INDEX(Translations!$D:$ZZ, MATCH(316,Translations!$A:$A,0), MATCH('Project Information'!$C$4,Translations!$D$1:$ZZ$1,0))</f>
        <v/>
      </c>
      <c r="BA548" s="38">
        <f>INDEX(Translations!$D:$ZZ, MATCH(183,Translations!$A:$A,0), MATCH('Project Information'!$C$4,Translations!$D$1:$ZZ$1,0))</f>
        <v/>
      </c>
      <c r="BB548" s="38">
        <f>INDEX(Translations!$D:$ZZ, MATCH(332,Translations!$A:$A,0), MATCH('Project Information'!$C$4,Translations!$D$1:$ZZ$1,0))</f>
        <v/>
      </c>
      <c r="BC548" s="38">
        <f>INDEX(Translations!$D:$ZZ, MATCH(85,Translations!$A:$A,0), MATCH('Project Information'!$C$4,Translations!$D$1:$ZZ$1,0))</f>
        <v/>
      </c>
      <c r="BD548" s="38">
        <f>IF(OR(TRIM("")="Evet",TRIM("")="Yes"),1,0)</f>
        <v/>
      </c>
      <c r="BE548" s="38" t="n">
        <v>2</v>
      </c>
      <c r="BF548" s="38">
        <f>BD548*BE548</f>
        <v/>
      </c>
    </row>
    <row r="549" ht="15" customHeight="1" s="39">
      <c r="AZ549" s="38">
        <f>INDEX(Translations!$D:$ZZ, MATCH(316,Translations!$A:$A,0), MATCH('Project Information'!$C$4,Translations!$D$1:$ZZ$1,0))</f>
        <v/>
      </c>
      <c r="BA549" s="38">
        <f>INDEX(Translations!$D:$ZZ, MATCH(183,Translations!$A:$A,0), MATCH('Project Information'!$C$4,Translations!$D$1:$ZZ$1,0))</f>
        <v/>
      </c>
      <c r="BB549" s="38">
        <f>INDEX(Translations!$D:$ZZ, MATCH(332,Translations!$A:$A,0), MATCH('Project Information'!$C$4,Translations!$D$1:$ZZ$1,0))</f>
        <v/>
      </c>
      <c r="BC549" s="38">
        <f>INDEX(Translations!$D:$ZZ, MATCH(87,Translations!$A:$A,0), MATCH('Project Information'!$C$4,Translations!$D$1:$ZZ$1,0))</f>
        <v/>
      </c>
      <c r="BD549" s="38">
        <f>IF(OR(TRIM("")="Evet",TRIM("")="Yes"),1,0)</f>
        <v/>
      </c>
      <c r="BE549" s="38" t="n">
        <v>2</v>
      </c>
      <c r="BF549" s="38">
        <f>BD549*BE549</f>
        <v/>
      </c>
    </row>
    <row r="550" ht="15" customHeight="1" s="39">
      <c r="AZ550" s="38">
        <f>INDEX(Translations!$D:$ZZ, MATCH(316,Translations!$A:$A,0), MATCH('Project Information'!$C$4,Translations!$D$1:$ZZ$1,0))</f>
        <v/>
      </c>
      <c r="BA550" s="38">
        <f>INDEX(Translations!$D:$ZZ, MATCH(183,Translations!$A:$A,0), MATCH('Project Information'!$C$4,Translations!$D$1:$ZZ$1,0))</f>
        <v/>
      </c>
      <c r="BB550" s="38">
        <f>INDEX(Translations!$D:$ZZ, MATCH(333,Translations!$A:$A,0), MATCH('Project Information'!$C$4,Translations!$D$1:$ZZ$1,0))</f>
        <v/>
      </c>
      <c r="BC550" s="38">
        <f>INDEX(Translations!$D:$ZZ, MATCH(75,Translations!$A:$A,0), MATCH('Project Information'!$C$4,Translations!$D$1:$ZZ$1,0))</f>
        <v/>
      </c>
      <c r="BD550" s="38">
        <f>IF(OR(TRIM("")="Evet",TRIM("")="Yes"),1,0)</f>
        <v/>
      </c>
      <c r="BE550" s="38" t="n">
        <v>3</v>
      </c>
      <c r="BF550" s="38">
        <f>BD550*BE550</f>
        <v/>
      </c>
    </row>
    <row r="551" ht="15" customHeight="1" s="39">
      <c r="AZ551" s="38">
        <f>INDEX(Translations!$D:$ZZ, MATCH(316,Translations!$A:$A,0), MATCH('Project Information'!$C$4,Translations!$D$1:$ZZ$1,0))</f>
        <v/>
      </c>
      <c r="BA551" s="38">
        <f>INDEX(Translations!$D:$ZZ, MATCH(183,Translations!$A:$A,0), MATCH('Project Information'!$C$4,Translations!$D$1:$ZZ$1,0))</f>
        <v/>
      </c>
      <c r="BB551" s="38">
        <f>INDEX(Translations!$D:$ZZ, MATCH(333,Translations!$A:$A,0), MATCH('Project Information'!$C$4,Translations!$D$1:$ZZ$1,0))</f>
        <v/>
      </c>
      <c r="BC551" s="38">
        <f>INDEX(Translations!$D:$ZZ, MATCH(76,Translations!$A:$A,0), MATCH('Project Information'!$C$4,Translations!$D$1:$ZZ$1,0))</f>
        <v/>
      </c>
      <c r="BD551" s="38">
        <f>IF(OR(TRIM("")="Evet",TRIM("")="Yes"),1,0)</f>
        <v/>
      </c>
      <c r="BE551" s="38" t="n">
        <v>2</v>
      </c>
      <c r="BF551" s="38">
        <f>BD551*BE551</f>
        <v/>
      </c>
    </row>
    <row r="552" ht="15" customHeight="1" s="39">
      <c r="AZ552" s="38">
        <f>INDEX(Translations!$D:$ZZ, MATCH(316,Translations!$A:$A,0), MATCH('Project Information'!$C$4,Translations!$D$1:$ZZ$1,0))</f>
        <v/>
      </c>
      <c r="BA552" s="38">
        <f>INDEX(Translations!$D:$ZZ, MATCH(183,Translations!$A:$A,0), MATCH('Project Information'!$C$4,Translations!$D$1:$ZZ$1,0))</f>
        <v/>
      </c>
      <c r="BB552" s="38">
        <f>INDEX(Translations!$D:$ZZ, MATCH(333,Translations!$A:$A,0), MATCH('Project Information'!$C$4,Translations!$D$1:$ZZ$1,0))</f>
        <v/>
      </c>
      <c r="BC552" s="38">
        <f>INDEX(Translations!$D:$ZZ, MATCH(79,Translations!$A:$A,0), MATCH('Project Information'!$C$4,Translations!$D$1:$ZZ$1,0))</f>
        <v/>
      </c>
      <c r="BD552" s="38">
        <f>IF(OR(TRIM("")="Evet",TRIM("")="Yes"),1,0)</f>
        <v/>
      </c>
      <c r="BE552" s="38" t="n">
        <v>2</v>
      </c>
      <c r="BF552" s="38">
        <f>BD552*BE552</f>
        <v/>
      </c>
    </row>
    <row r="553" ht="15" customHeight="1" s="39">
      <c r="AZ553" s="38">
        <f>INDEX(Translations!$D:$ZZ, MATCH(316,Translations!$A:$A,0), MATCH('Project Information'!$C$4,Translations!$D$1:$ZZ$1,0))</f>
        <v/>
      </c>
      <c r="BA553" s="38">
        <f>INDEX(Translations!$D:$ZZ, MATCH(183,Translations!$A:$A,0), MATCH('Project Information'!$C$4,Translations!$D$1:$ZZ$1,0))</f>
        <v/>
      </c>
      <c r="BB553" s="38">
        <f>INDEX(Translations!$D:$ZZ, MATCH(333,Translations!$A:$A,0), MATCH('Project Information'!$C$4,Translations!$D$1:$ZZ$1,0))</f>
        <v/>
      </c>
      <c r="BC553" s="38">
        <f>INDEX(Translations!$D:$ZZ, MATCH(80,Translations!$A:$A,0), MATCH('Project Information'!$C$4,Translations!$D$1:$ZZ$1,0))</f>
        <v/>
      </c>
      <c r="BD553" s="38">
        <f>IF(OR(TRIM("")="Evet",TRIM("")="Yes"),1,0)</f>
        <v/>
      </c>
      <c r="BE553" s="38" t="n">
        <v>2</v>
      </c>
      <c r="BF553" s="38">
        <f>BD553*BE553</f>
        <v/>
      </c>
    </row>
    <row r="554" ht="15" customHeight="1" s="39">
      <c r="AZ554" s="38">
        <f>INDEX(Translations!$D:$ZZ, MATCH(316,Translations!$A:$A,0), MATCH('Project Information'!$C$4,Translations!$D$1:$ZZ$1,0))</f>
        <v/>
      </c>
      <c r="BA554" s="38">
        <f>INDEX(Translations!$D:$ZZ, MATCH(183,Translations!$A:$A,0), MATCH('Project Information'!$C$4,Translations!$D$1:$ZZ$1,0))</f>
        <v/>
      </c>
      <c r="BB554" s="38">
        <f>INDEX(Translations!$D:$ZZ, MATCH(333,Translations!$A:$A,0), MATCH('Project Information'!$C$4,Translations!$D$1:$ZZ$1,0))</f>
        <v/>
      </c>
      <c r="BC554" s="38">
        <f>INDEX(Translations!$D:$ZZ, MATCH(83,Translations!$A:$A,0), MATCH('Project Information'!$C$4,Translations!$D$1:$ZZ$1,0))</f>
        <v/>
      </c>
      <c r="BD554" s="38">
        <f>IF(OR(TRIM("")="Evet",TRIM("")="Yes"),1,0)</f>
        <v/>
      </c>
      <c r="BE554" s="38" t="n">
        <v>2</v>
      </c>
      <c r="BF554" s="38">
        <f>BD554*BE554</f>
        <v/>
      </c>
    </row>
    <row r="555" ht="15" customHeight="1" s="39">
      <c r="AZ555" s="38">
        <f>INDEX(Translations!$D:$ZZ, MATCH(316,Translations!$A:$A,0), MATCH('Project Information'!$C$4,Translations!$D$1:$ZZ$1,0))</f>
        <v/>
      </c>
      <c r="BA555" s="38">
        <f>INDEX(Translations!$D:$ZZ, MATCH(183,Translations!$A:$A,0), MATCH('Project Information'!$C$4,Translations!$D$1:$ZZ$1,0))</f>
        <v/>
      </c>
      <c r="BB555" s="38">
        <f>INDEX(Translations!$D:$ZZ, MATCH(333,Translations!$A:$A,0), MATCH('Project Information'!$C$4,Translations!$D$1:$ZZ$1,0))</f>
        <v/>
      </c>
      <c r="BC555" s="38">
        <f>INDEX(Translations!$D:$ZZ, MATCH(84,Translations!$A:$A,0), MATCH('Project Information'!$C$4,Translations!$D$1:$ZZ$1,0))</f>
        <v/>
      </c>
      <c r="BD555" s="38">
        <f>IF(OR(TRIM("")="Evet",TRIM("")="Yes"),1,0)</f>
        <v/>
      </c>
      <c r="BE555" s="38" t="n">
        <v>2</v>
      </c>
      <c r="BF555" s="38">
        <f>BD555*BE555</f>
        <v/>
      </c>
    </row>
    <row r="556" ht="15" customHeight="1" s="39">
      <c r="AZ556" s="38">
        <f>INDEX(Translations!$D:$ZZ, MATCH(316,Translations!$A:$A,0), MATCH('Project Information'!$C$4,Translations!$D$1:$ZZ$1,0))</f>
        <v/>
      </c>
      <c r="BA556" s="38">
        <f>INDEX(Translations!$D:$ZZ, MATCH(183,Translations!$A:$A,0), MATCH('Project Information'!$C$4,Translations!$D$1:$ZZ$1,0))</f>
        <v/>
      </c>
      <c r="BB556" s="38">
        <f>INDEX(Translations!$D:$ZZ, MATCH(333,Translations!$A:$A,0), MATCH('Project Information'!$C$4,Translations!$D$1:$ZZ$1,0))</f>
        <v/>
      </c>
      <c r="BC556" s="38">
        <f>INDEX(Translations!$D:$ZZ, MATCH(85,Translations!$A:$A,0), MATCH('Project Information'!$C$4,Translations!$D$1:$ZZ$1,0))</f>
        <v/>
      </c>
      <c r="BD556" s="38">
        <f>IF(OR(TRIM("")="Evet",TRIM("")="Yes"),1,0)</f>
        <v/>
      </c>
      <c r="BE556" s="38" t="n">
        <v>2</v>
      </c>
      <c r="BF556" s="38">
        <f>BD556*BE556</f>
        <v/>
      </c>
    </row>
    <row r="557" ht="15" customHeight="1" s="39">
      <c r="AZ557" s="38">
        <f>INDEX(Translations!$D:$ZZ, MATCH(316,Translations!$A:$A,0), MATCH('Project Information'!$C$4,Translations!$D$1:$ZZ$1,0))</f>
        <v/>
      </c>
      <c r="BA557" s="38">
        <f>INDEX(Translations!$D:$ZZ, MATCH(183,Translations!$A:$A,0), MATCH('Project Information'!$C$4,Translations!$D$1:$ZZ$1,0))</f>
        <v/>
      </c>
      <c r="BB557" s="38">
        <f>INDEX(Translations!$D:$ZZ, MATCH(333,Translations!$A:$A,0), MATCH('Project Information'!$C$4,Translations!$D$1:$ZZ$1,0))</f>
        <v/>
      </c>
      <c r="BC557" s="38">
        <f>INDEX(Translations!$D:$ZZ, MATCH(87,Translations!$A:$A,0), MATCH('Project Information'!$C$4,Translations!$D$1:$ZZ$1,0))</f>
        <v/>
      </c>
      <c r="BD557" s="38">
        <f>IF(OR(TRIM("")="Evet",TRIM("")="Yes"),1,0)</f>
        <v/>
      </c>
      <c r="BE557" s="38" t="n">
        <v>2</v>
      </c>
      <c r="BF557" s="38">
        <f>BD557*BE557</f>
        <v/>
      </c>
    </row>
    <row r="558" ht="15" customHeight="1" s="39">
      <c r="AZ558" s="38">
        <f>INDEX(Translations!$D:$ZZ, MATCH(316,Translations!$A:$A,0), MATCH('Project Information'!$C$4,Translations!$D$1:$ZZ$1,0))</f>
        <v/>
      </c>
      <c r="BA558" s="38">
        <f>INDEX(Translations!$D:$ZZ, MATCH(183,Translations!$A:$A,0), MATCH('Project Information'!$C$4,Translations!$D$1:$ZZ$1,0))</f>
        <v/>
      </c>
      <c r="BB558" s="38">
        <f>INDEX(Translations!$D:$ZZ, MATCH(334,Translations!$A:$A,0), MATCH('Project Information'!$C$4,Translations!$D$1:$ZZ$1,0))</f>
        <v/>
      </c>
      <c r="BC558" s="38">
        <f>INDEX(Translations!$D:$ZZ, MATCH(75,Translations!$A:$A,0), MATCH('Project Information'!$C$4,Translations!$D$1:$ZZ$1,0))</f>
        <v/>
      </c>
      <c r="BD558" s="38">
        <f>IF(OR(TRIM("")="Evet",TRIM("")="Yes"),1,0)</f>
        <v/>
      </c>
      <c r="BE558" s="38" t="n">
        <v>3</v>
      </c>
      <c r="BF558" s="38">
        <f>BD558*BE558</f>
        <v/>
      </c>
    </row>
    <row r="559" ht="15" customHeight="1" s="39">
      <c r="AZ559" s="38">
        <f>INDEX(Translations!$D:$ZZ, MATCH(316,Translations!$A:$A,0), MATCH('Project Information'!$C$4,Translations!$D$1:$ZZ$1,0))</f>
        <v/>
      </c>
      <c r="BA559" s="38">
        <f>INDEX(Translations!$D:$ZZ, MATCH(183,Translations!$A:$A,0), MATCH('Project Information'!$C$4,Translations!$D$1:$ZZ$1,0))</f>
        <v/>
      </c>
      <c r="BB559" s="38">
        <f>INDEX(Translations!$D:$ZZ, MATCH(334,Translations!$A:$A,0), MATCH('Project Information'!$C$4,Translations!$D$1:$ZZ$1,0))</f>
        <v/>
      </c>
      <c r="BC559" s="38">
        <f>INDEX(Translations!$D:$ZZ, MATCH(76,Translations!$A:$A,0), MATCH('Project Information'!$C$4,Translations!$D$1:$ZZ$1,0))</f>
        <v/>
      </c>
      <c r="BD559" s="38">
        <f>IF(OR(TRIM("")="Evet",TRIM("")="Yes"),1,0)</f>
        <v/>
      </c>
      <c r="BE559" s="38" t="n">
        <v>2</v>
      </c>
      <c r="BF559" s="38">
        <f>BD559*BE559</f>
        <v/>
      </c>
    </row>
    <row r="560" ht="15" customHeight="1" s="39">
      <c r="AZ560" s="38">
        <f>INDEX(Translations!$D:$ZZ, MATCH(316,Translations!$A:$A,0), MATCH('Project Information'!$C$4,Translations!$D$1:$ZZ$1,0))</f>
        <v/>
      </c>
      <c r="BA560" s="38">
        <f>INDEX(Translations!$D:$ZZ, MATCH(183,Translations!$A:$A,0), MATCH('Project Information'!$C$4,Translations!$D$1:$ZZ$1,0))</f>
        <v/>
      </c>
      <c r="BB560" s="38">
        <f>INDEX(Translations!$D:$ZZ, MATCH(334,Translations!$A:$A,0), MATCH('Project Information'!$C$4,Translations!$D$1:$ZZ$1,0))</f>
        <v/>
      </c>
      <c r="BC560" s="38">
        <f>INDEX(Translations!$D:$ZZ, MATCH(79,Translations!$A:$A,0), MATCH('Project Information'!$C$4,Translations!$D$1:$ZZ$1,0))</f>
        <v/>
      </c>
      <c r="BD560" s="38">
        <f>IF(OR(TRIM("")="Evet",TRIM("")="Yes"),1,0)</f>
        <v/>
      </c>
      <c r="BE560" s="38" t="n">
        <v>2</v>
      </c>
      <c r="BF560" s="38">
        <f>BD560*BE560</f>
        <v/>
      </c>
    </row>
    <row r="561" ht="15" customHeight="1" s="39">
      <c r="AZ561" s="38">
        <f>INDEX(Translations!$D:$ZZ, MATCH(316,Translations!$A:$A,0), MATCH('Project Information'!$C$4,Translations!$D$1:$ZZ$1,0))</f>
        <v/>
      </c>
      <c r="BA561" s="38">
        <f>INDEX(Translations!$D:$ZZ, MATCH(183,Translations!$A:$A,0), MATCH('Project Information'!$C$4,Translations!$D$1:$ZZ$1,0))</f>
        <v/>
      </c>
      <c r="BB561" s="38">
        <f>INDEX(Translations!$D:$ZZ, MATCH(334,Translations!$A:$A,0), MATCH('Project Information'!$C$4,Translations!$D$1:$ZZ$1,0))</f>
        <v/>
      </c>
      <c r="BC561" s="38">
        <f>INDEX(Translations!$D:$ZZ, MATCH(80,Translations!$A:$A,0), MATCH('Project Information'!$C$4,Translations!$D$1:$ZZ$1,0))</f>
        <v/>
      </c>
      <c r="BD561" s="38">
        <f>IF(OR(TRIM("")="Evet",TRIM("")="Yes"),1,0)</f>
        <v/>
      </c>
      <c r="BE561" s="38" t="n">
        <v>2</v>
      </c>
      <c r="BF561" s="38">
        <f>BD561*BE561</f>
        <v/>
      </c>
    </row>
    <row r="562" ht="15" customHeight="1" s="39">
      <c r="AZ562" s="38">
        <f>INDEX(Translations!$D:$ZZ, MATCH(316,Translations!$A:$A,0), MATCH('Project Information'!$C$4,Translations!$D$1:$ZZ$1,0))</f>
        <v/>
      </c>
      <c r="BA562" s="38">
        <f>INDEX(Translations!$D:$ZZ, MATCH(183,Translations!$A:$A,0), MATCH('Project Information'!$C$4,Translations!$D$1:$ZZ$1,0))</f>
        <v/>
      </c>
      <c r="BB562" s="38">
        <f>INDEX(Translations!$D:$ZZ, MATCH(334,Translations!$A:$A,0), MATCH('Project Information'!$C$4,Translations!$D$1:$ZZ$1,0))</f>
        <v/>
      </c>
      <c r="BC562" s="38">
        <f>INDEX(Translations!$D:$ZZ, MATCH(83,Translations!$A:$A,0), MATCH('Project Information'!$C$4,Translations!$D$1:$ZZ$1,0))</f>
        <v/>
      </c>
      <c r="BD562" s="38">
        <f>IF(OR(TRIM("")="Evet",TRIM("")="Yes"),1,0)</f>
        <v/>
      </c>
      <c r="BE562" s="38" t="n">
        <v>2</v>
      </c>
      <c r="BF562" s="38">
        <f>BD562*BE562</f>
        <v/>
      </c>
    </row>
    <row r="563" ht="15" customHeight="1" s="39">
      <c r="AZ563" s="38">
        <f>INDEX(Translations!$D:$ZZ, MATCH(316,Translations!$A:$A,0), MATCH('Project Information'!$C$4,Translations!$D$1:$ZZ$1,0))</f>
        <v/>
      </c>
      <c r="BA563" s="38">
        <f>INDEX(Translations!$D:$ZZ, MATCH(183,Translations!$A:$A,0), MATCH('Project Information'!$C$4,Translations!$D$1:$ZZ$1,0))</f>
        <v/>
      </c>
      <c r="BB563" s="38">
        <f>INDEX(Translations!$D:$ZZ, MATCH(334,Translations!$A:$A,0), MATCH('Project Information'!$C$4,Translations!$D$1:$ZZ$1,0))</f>
        <v/>
      </c>
      <c r="BC563" s="38">
        <f>INDEX(Translations!$D:$ZZ, MATCH(84,Translations!$A:$A,0), MATCH('Project Information'!$C$4,Translations!$D$1:$ZZ$1,0))</f>
        <v/>
      </c>
      <c r="BD563" s="38">
        <f>IF(OR(TRIM("")="Evet",TRIM("")="Yes"),1,0)</f>
        <v/>
      </c>
      <c r="BE563" s="38" t="n">
        <v>2</v>
      </c>
      <c r="BF563" s="38">
        <f>BD563*BE563</f>
        <v/>
      </c>
    </row>
    <row r="564" ht="15" customHeight="1" s="39">
      <c r="AZ564" s="38">
        <f>INDEX(Translations!$D:$ZZ, MATCH(316,Translations!$A:$A,0), MATCH('Project Information'!$C$4,Translations!$D$1:$ZZ$1,0))</f>
        <v/>
      </c>
      <c r="BA564" s="38">
        <f>INDEX(Translations!$D:$ZZ, MATCH(183,Translations!$A:$A,0), MATCH('Project Information'!$C$4,Translations!$D$1:$ZZ$1,0))</f>
        <v/>
      </c>
      <c r="BB564" s="38">
        <f>INDEX(Translations!$D:$ZZ, MATCH(334,Translations!$A:$A,0), MATCH('Project Information'!$C$4,Translations!$D$1:$ZZ$1,0))</f>
        <v/>
      </c>
      <c r="BC564" s="38">
        <f>INDEX(Translations!$D:$ZZ, MATCH(85,Translations!$A:$A,0), MATCH('Project Information'!$C$4,Translations!$D$1:$ZZ$1,0))</f>
        <v/>
      </c>
      <c r="BD564" s="38">
        <f>IF(OR(TRIM("")="Evet",TRIM("")="Yes"),1,0)</f>
        <v/>
      </c>
      <c r="BE564" s="38" t="n">
        <v>2</v>
      </c>
      <c r="BF564" s="38">
        <f>BD564*BE564</f>
        <v/>
      </c>
    </row>
    <row r="565" ht="15" customHeight="1" s="39">
      <c r="AZ565" s="38">
        <f>INDEX(Translations!$D:$ZZ, MATCH(316,Translations!$A:$A,0), MATCH('Project Information'!$C$4,Translations!$D$1:$ZZ$1,0))</f>
        <v/>
      </c>
      <c r="BA565" s="38">
        <f>INDEX(Translations!$D:$ZZ, MATCH(183,Translations!$A:$A,0), MATCH('Project Information'!$C$4,Translations!$D$1:$ZZ$1,0))</f>
        <v/>
      </c>
      <c r="BB565" s="38">
        <f>INDEX(Translations!$D:$ZZ, MATCH(334,Translations!$A:$A,0), MATCH('Project Information'!$C$4,Translations!$D$1:$ZZ$1,0))</f>
        <v/>
      </c>
      <c r="BC565" s="38">
        <f>INDEX(Translations!$D:$ZZ, MATCH(87,Translations!$A:$A,0), MATCH('Project Information'!$C$4,Translations!$D$1:$ZZ$1,0))</f>
        <v/>
      </c>
      <c r="BD565" s="38">
        <f>IF(OR(TRIM("")="Evet",TRIM("")="Yes"),1,0)</f>
        <v/>
      </c>
      <c r="BE565" s="38" t="n">
        <v>2</v>
      </c>
      <c r="BF565" s="38">
        <f>BD565*BE565</f>
        <v/>
      </c>
    </row>
    <row r="566" ht="15" customHeight="1" s="39">
      <c r="AZ566" s="38">
        <f>INDEX(Translations!$D:$ZZ, MATCH(316,Translations!$A:$A,0), MATCH('Project Information'!$C$4,Translations!$D$1:$ZZ$1,0))</f>
        <v/>
      </c>
      <c r="BA566" s="38">
        <f>INDEX(Translations!$D:$ZZ, MATCH(183,Translations!$A:$A,0), MATCH('Project Information'!$C$4,Translations!$D$1:$ZZ$1,0))</f>
        <v/>
      </c>
      <c r="BB566" s="38">
        <f>INDEX(Translations!$D:$ZZ, MATCH(335,Translations!$A:$A,0), MATCH('Project Information'!$C$4,Translations!$D$1:$ZZ$1,0))</f>
        <v/>
      </c>
      <c r="BC566" s="38">
        <f>INDEX(Translations!$D:$ZZ, MATCH(75,Translations!$A:$A,0), MATCH('Project Information'!$C$4,Translations!$D$1:$ZZ$1,0))</f>
        <v/>
      </c>
      <c r="BD566" s="38">
        <f>IF(OR(TRIM("")="Evet",TRIM("")="Yes"),1,0)</f>
        <v/>
      </c>
      <c r="BE566" s="38" t="n">
        <v>3</v>
      </c>
      <c r="BF566" s="38">
        <f>BD566*BE566</f>
        <v/>
      </c>
    </row>
    <row r="567" ht="15" customHeight="1" s="39">
      <c r="AZ567" s="38">
        <f>INDEX(Translations!$D:$ZZ, MATCH(316,Translations!$A:$A,0), MATCH('Project Information'!$C$4,Translations!$D$1:$ZZ$1,0))</f>
        <v/>
      </c>
      <c r="BA567" s="38">
        <f>INDEX(Translations!$D:$ZZ, MATCH(183,Translations!$A:$A,0), MATCH('Project Information'!$C$4,Translations!$D$1:$ZZ$1,0))</f>
        <v/>
      </c>
      <c r="BB567" s="38">
        <f>INDEX(Translations!$D:$ZZ, MATCH(335,Translations!$A:$A,0), MATCH('Project Information'!$C$4,Translations!$D$1:$ZZ$1,0))</f>
        <v/>
      </c>
      <c r="BC567" s="38">
        <f>INDEX(Translations!$D:$ZZ, MATCH(76,Translations!$A:$A,0), MATCH('Project Information'!$C$4,Translations!$D$1:$ZZ$1,0))</f>
        <v/>
      </c>
      <c r="BD567" s="38">
        <f>IF(OR(TRIM("")="Evet",TRIM("")="Yes"),1,0)</f>
        <v/>
      </c>
      <c r="BE567" s="38" t="n">
        <v>2</v>
      </c>
      <c r="BF567" s="38">
        <f>BD567*BE567</f>
        <v/>
      </c>
    </row>
    <row r="568" ht="15" customHeight="1" s="39">
      <c r="AZ568" s="38">
        <f>INDEX(Translations!$D:$ZZ, MATCH(316,Translations!$A:$A,0), MATCH('Project Information'!$C$4,Translations!$D$1:$ZZ$1,0))</f>
        <v/>
      </c>
      <c r="BA568" s="38">
        <f>INDEX(Translations!$D:$ZZ, MATCH(183,Translations!$A:$A,0), MATCH('Project Information'!$C$4,Translations!$D$1:$ZZ$1,0))</f>
        <v/>
      </c>
      <c r="BB568" s="38">
        <f>INDEX(Translations!$D:$ZZ, MATCH(335,Translations!$A:$A,0), MATCH('Project Information'!$C$4,Translations!$D$1:$ZZ$1,0))</f>
        <v/>
      </c>
      <c r="BC568" s="38">
        <f>INDEX(Translations!$D:$ZZ, MATCH(79,Translations!$A:$A,0), MATCH('Project Information'!$C$4,Translations!$D$1:$ZZ$1,0))</f>
        <v/>
      </c>
      <c r="BD568" s="38">
        <f>IF(OR(TRIM("")="Evet",TRIM("")="Yes"),1,0)</f>
        <v/>
      </c>
      <c r="BE568" s="38" t="n">
        <v>2</v>
      </c>
      <c r="BF568" s="38">
        <f>BD568*BE568</f>
        <v/>
      </c>
    </row>
    <row r="569" ht="15" customHeight="1" s="39">
      <c r="AZ569" s="38">
        <f>INDEX(Translations!$D:$ZZ, MATCH(316,Translations!$A:$A,0), MATCH('Project Information'!$C$4,Translations!$D$1:$ZZ$1,0))</f>
        <v/>
      </c>
      <c r="BA569" s="38">
        <f>INDEX(Translations!$D:$ZZ, MATCH(183,Translations!$A:$A,0), MATCH('Project Information'!$C$4,Translations!$D$1:$ZZ$1,0))</f>
        <v/>
      </c>
      <c r="BB569" s="38">
        <f>INDEX(Translations!$D:$ZZ, MATCH(335,Translations!$A:$A,0), MATCH('Project Information'!$C$4,Translations!$D$1:$ZZ$1,0))</f>
        <v/>
      </c>
      <c r="BC569" s="38">
        <f>INDEX(Translations!$D:$ZZ, MATCH(80,Translations!$A:$A,0), MATCH('Project Information'!$C$4,Translations!$D$1:$ZZ$1,0))</f>
        <v/>
      </c>
      <c r="BD569" s="38">
        <f>IF(OR(TRIM("")="Evet",TRIM("")="Yes"),1,0)</f>
        <v/>
      </c>
      <c r="BE569" s="38" t="n">
        <v>2</v>
      </c>
      <c r="BF569" s="38">
        <f>BD569*BE569</f>
        <v/>
      </c>
    </row>
    <row r="570" ht="15" customHeight="1" s="39">
      <c r="AZ570" s="38">
        <f>INDEX(Translations!$D:$ZZ, MATCH(316,Translations!$A:$A,0), MATCH('Project Information'!$C$4,Translations!$D$1:$ZZ$1,0))</f>
        <v/>
      </c>
      <c r="BA570" s="38">
        <f>INDEX(Translations!$D:$ZZ, MATCH(183,Translations!$A:$A,0), MATCH('Project Information'!$C$4,Translations!$D$1:$ZZ$1,0))</f>
        <v/>
      </c>
      <c r="BB570" s="38">
        <f>INDEX(Translations!$D:$ZZ, MATCH(335,Translations!$A:$A,0), MATCH('Project Information'!$C$4,Translations!$D$1:$ZZ$1,0))</f>
        <v/>
      </c>
      <c r="BC570" s="38">
        <f>INDEX(Translations!$D:$ZZ, MATCH(83,Translations!$A:$A,0), MATCH('Project Information'!$C$4,Translations!$D$1:$ZZ$1,0))</f>
        <v/>
      </c>
      <c r="BD570" s="38">
        <f>IF(OR(TRIM("")="Evet",TRIM("")="Yes"),1,0)</f>
        <v/>
      </c>
      <c r="BE570" s="38" t="n">
        <v>2</v>
      </c>
      <c r="BF570" s="38">
        <f>BD570*BE570</f>
        <v/>
      </c>
    </row>
    <row r="571" ht="15" customHeight="1" s="39">
      <c r="AZ571" s="38">
        <f>INDEX(Translations!$D:$ZZ, MATCH(316,Translations!$A:$A,0), MATCH('Project Information'!$C$4,Translations!$D$1:$ZZ$1,0))</f>
        <v/>
      </c>
      <c r="BA571" s="38">
        <f>INDEX(Translations!$D:$ZZ, MATCH(183,Translations!$A:$A,0), MATCH('Project Information'!$C$4,Translations!$D$1:$ZZ$1,0))</f>
        <v/>
      </c>
      <c r="BB571" s="38">
        <f>INDEX(Translations!$D:$ZZ, MATCH(335,Translations!$A:$A,0), MATCH('Project Information'!$C$4,Translations!$D$1:$ZZ$1,0))</f>
        <v/>
      </c>
      <c r="BC571" s="38">
        <f>INDEX(Translations!$D:$ZZ, MATCH(84,Translations!$A:$A,0), MATCH('Project Information'!$C$4,Translations!$D$1:$ZZ$1,0))</f>
        <v/>
      </c>
      <c r="BD571" s="38">
        <f>IF(OR(TRIM("")="Evet",TRIM("")="Yes"),1,0)</f>
        <v/>
      </c>
      <c r="BE571" s="38" t="n">
        <v>2</v>
      </c>
      <c r="BF571" s="38">
        <f>BD571*BE571</f>
        <v/>
      </c>
    </row>
    <row r="572" ht="15" customHeight="1" s="39">
      <c r="AZ572" s="38">
        <f>INDEX(Translations!$D:$ZZ, MATCH(316,Translations!$A:$A,0), MATCH('Project Information'!$C$4,Translations!$D$1:$ZZ$1,0))</f>
        <v/>
      </c>
      <c r="BA572" s="38">
        <f>INDEX(Translations!$D:$ZZ, MATCH(183,Translations!$A:$A,0), MATCH('Project Information'!$C$4,Translations!$D$1:$ZZ$1,0))</f>
        <v/>
      </c>
      <c r="BB572" s="38">
        <f>INDEX(Translations!$D:$ZZ, MATCH(335,Translations!$A:$A,0), MATCH('Project Information'!$C$4,Translations!$D$1:$ZZ$1,0))</f>
        <v/>
      </c>
      <c r="BC572" s="38">
        <f>INDEX(Translations!$D:$ZZ, MATCH(85,Translations!$A:$A,0), MATCH('Project Information'!$C$4,Translations!$D$1:$ZZ$1,0))</f>
        <v/>
      </c>
      <c r="BD572" s="38">
        <f>IF(OR(TRIM("")="Evet",TRIM("")="Yes"),1,0)</f>
        <v/>
      </c>
      <c r="BE572" s="38" t="n">
        <v>2</v>
      </c>
      <c r="BF572" s="38">
        <f>BD572*BE572</f>
        <v/>
      </c>
    </row>
    <row r="573" ht="15" customHeight="1" s="39">
      <c r="AZ573" s="38">
        <f>INDEX(Translations!$D:$ZZ, MATCH(316,Translations!$A:$A,0), MATCH('Project Information'!$C$4,Translations!$D$1:$ZZ$1,0))</f>
        <v/>
      </c>
      <c r="BA573" s="38">
        <f>INDEX(Translations!$D:$ZZ, MATCH(183,Translations!$A:$A,0), MATCH('Project Information'!$C$4,Translations!$D$1:$ZZ$1,0))</f>
        <v/>
      </c>
      <c r="BB573" s="38">
        <f>INDEX(Translations!$D:$ZZ, MATCH(335,Translations!$A:$A,0), MATCH('Project Information'!$C$4,Translations!$D$1:$ZZ$1,0))</f>
        <v/>
      </c>
      <c r="BC573" s="38">
        <f>INDEX(Translations!$D:$ZZ, MATCH(87,Translations!$A:$A,0), MATCH('Project Information'!$C$4,Translations!$D$1:$ZZ$1,0))</f>
        <v/>
      </c>
      <c r="BD573" s="38">
        <f>IF(OR(TRIM("")="Evet",TRIM("")="Yes"),1,0)</f>
        <v/>
      </c>
      <c r="BE573" s="38" t="n">
        <v>2</v>
      </c>
      <c r="BF573" s="38">
        <f>BD573*BE573</f>
        <v/>
      </c>
    </row>
    <row r="574" ht="15" customHeight="1" s="39">
      <c r="AZ574" s="38">
        <f>INDEX(Translations!$D:$ZZ, MATCH(316,Translations!$A:$A,0), MATCH('Project Information'!$C$4,Translations!$D$1:$ZZ$1,0))</f>
        <v/>
      </c>
      <c r="BA574" s="38">
        <f>INDEX(Translations!$D:$ZZ, MATCH(183,Translations!$A:$A,0), MATCH('Project Information'!$C$4,Translations!$D$1:$ZZ$1,0))</f>
        <v/>
      </c>
      <c r="BB574" s="38">
        <f>INDEX(Translations!$D:$ZZ, MATCH(336,Translations!$A:$A,0), MATCH('Project Information'!$C$4,Translations!$D$1:$ZZ$1,0))</f>
        <v/>
      </c>
      <c r="BC574" s="38">
        <f>INDEX(Translations!$D:$ZZ, MATCH(75,Translations!$A:$A,0), MATCH('Project Information'!$C$4,Translations!$D$1:$ZZ$1,0))</f>
        <v/>
      </c>
      <c r="BD574" s="38">
        <f>IF(OR(TRIM("")="Evet",TRIM("")="Yes"),1,0)</f>
        <v/>
      </c>
      <c r="BE574" s="38" t="n">
        <v>3</v>
      </c>
      <c r="BF574" s="38">
        <f>BD574*BE574</f>
        <v/>
      </c>
    </row>
    <row r="575" ht="15" customHeight="1" s="39">
      <c r="AZ575" s="38">
        <f>INDEX(Translations!$D:$ZZ, MATCH(316,Translations!$A:$A,0), MATCH('Project Information'!$C$4,Translations!$D$1:$ZZ$1,0))</f>
        <v/>
      </c>
      <c r="BA575" s="38">
        <f>INDEX(Translations!$D:$ZZ, MATCH(183,Translations!$A:$A,0), MATCH('Project Information'!$C$4,Translations!$D$1:$ZZ$1,0))</f>
        <v/>
      </c>
      <c r="BB575" s="38">
        <f>INDEX(Translations!$D:$ZZ, MATCH(336,Translations!$A:$A,0), MATCH('Project Information'!$C$4,Translations!$D$1:$ZZ$1,0))</f>
        <v/>
      </c>
      <c r="BC575" s="38">
        <f>INDEX(Translations!$D:$ZZ, MATCH(76,Translations!$A:$A,0), MATCH('Project Information'!$C$4,Translations!$D$1:$ZZ$1,0))</f>
        <v/>
      </c>
      <c r="BD575" s="38">
        <f>IF(OR(TRIM("")="Evet",TRIM("")="Yes"),1,0)</f>
        <v/>
      </c>
      <c r="BE575" s="38" t="n">
        <v>2</v>
      </c>
      <c r="BF575" s="38">
        <f>BD575*BE575</f>
        <v/>
      </c>
    </row>
    <row r="576" ht="15" customHeight="1" s="39">
      <c r="AZ576" s="38">
        <f>INDEX(Translations!$D:$ZZ, MATCH(316,Translations!$A:$A,0), MATCH('Project Information'!$C$4,Translations!$D$1:$ZZ$1,0))</f>
        <v/>
      </c>
      <c r="BA576" s="38">
        <f>INDEX(Translations!$D:$ZZ, MATCH(183,Translations!$A:$A,0), MATCH('Project Information'!$C$4,Translations!$D$1:$ZZ$1,0))</f>
        <v/>
      </c>
      <c r="BB576" s="38">
        <f>INDEX(Translations!$D:$ZZ, MATCH(336,Translations!$A:$A,0), MATCH('Project Information'!$C$4,Translations!$D$1:$ZZ$1,0))</f>
        <v/>
      </c>
      <c r="BC576" s="38">
        <f>INDEX(Translations!$D:$ZZ, MATCH(79,Translations!$A:$A,0), MATCH('Project Information'!$C$4,Translations!$D$1:$ZZ$1,0))</f>
        <v/>
      </c>
      <c r="BD576" s="38">
        <f>IF(OR(TRIM("")="Evet",TRIM("")="Yes"),1,0)</f>
        <v/>
      </c>
      <c r="BE576" s="38" t="n">
        <v>2</v>
      </c>
      <c r="BF576" s="38">
        <f>BD576*BE576</f>
        <v/>
      </c>
    </row>
    <row r="577" ht="15" customHeight="1" s="39">
      <c r="AZ577" s="38">
        <f>INDEX(Translations!$D:$ZZ, MATCH(316,Translations!$A:$A,0), MATCH('Project Information'!$C$4,Translations!$D$1:$ZZ$1,0))</f>
        <v/>
      </c>
      <c r="BA577" s="38">
        <f>INDEX(Translations!$D:$ZZ, MATCH(183,Translations!$A:$A,0), MATCH('Project Information'!$C$4,Translations!$D$1:$ZZ$1,0))</f>
        <v/>
      </c>
      <c r="BB577" s="38">
        <f>INDEX(Translations!$D:$ZZ, MATCH(336,Translations!$A:$A,0), MATCH('Project Information'!$C$4,Translations!$D$1:$ZZ$1,0))</f>
        <v/>
      </c>
      <c r="BC577" s="38">
        <f>INDEX(Translations!$D:$ZZ, MATCH(80,Translations!$A:$A,0), MATCH('Project Information'!$C$4,Translations!$D$1:$ZZ$1,0))</f>
        <v/>
      </c>
      <c r="BD577" s="38">
        <f>IF(OR(TRIM("")="Evet",TRIM("")="Yes"),1,0)</f>
        <v/>
      </c>
      <c r="BE577" s="38" t="n">
        <v>2</v>
      </c>
      <c r="BF577" s="38">
        <f>BD577*BE577</f>
        <v/>
      </c>
    </row>
    <row r="578" ht="15" customHeight="1" s="39">
      <c r="AZ578" s="38">
        <f>INDEX(Translations!$D:$ZZ, MATCH(316,Translations!$A:$A,0), MATCH('Project Information'!$C$4,Translations!$D$1:$ZZ$1,0))</f>
        <v/>
      </c>
      <c r="BA578" s="38">
        <f>INDEX(Translations!$D:$ZZ, MATCH(183,Translations!$A:$A,0), MATCH('Project Information'!$C$4,Translations!$D$1:$ZZ$1,0))</f>
        <v/>
      </c>
      <c r="BB578" s="38">
        <f>INDEX(Translations!$D:$ZZ, MATCH(336,Translations!$A:$A,0), MATCH('Project Information'!$C$4,Translations!$D$1:$ZZ$1,0))</f>
        <v/>
      </c>
      <c r="BC578" s="38">
        <f>INDEX(Translations!$D:$ZZ, MATCH(83,Translations!$A:$A,0), MATCH('Project Information'!$C$4,Translations!$D$1:$ZZ$1,0))</f>
        <v/>
      </c>
      <c r="BD578" s="38">
        <f>IF(OR(TRIM("")="Evet",TRIM("")="Yes"),1,0)</f>
        <v/>
      </c>
      <c r="BE578" s="38" t="n">
        <v>2</v>
      </c>
      <c r="BF578" s="38">
        <f>BD578*BE578</f>
        <v/>
      </c>
    </row>
    <row r="579" ht="15" customHeight="1" s="39">
      <c r="AZ579" s="38">
        <f>INDEX(Translations!$D:$ZZ, MATCH(316,Translations!$A:$A,0), MATCH('Project Information'!$C$4,Translations!$D$1:$ZZ$1,0))</f>
        <v/>
      </c>
      <c r="BA579" s="38">
        <f>INDEX(Translations!$D:$ZZ, MATCH(183,Translations!$A:$A,0), MATCH('Project Information'!$C$4,Translations!$D$1:$ZZ$1,0))</f>
        <v/>
      </c>
      <c r="BB579" s="38">
        <f>INDEX(Translations!$D:$ZZ, MATCH(336,Translations!$A:$A,0), MATCH('Project Information'!$C$4,Translations!$D$1:$ZZ$1,0))</f>
        <v/>
      </c>
      <c r="BC579" s="38">
        <f>INDEX(Translations!$D:$ZZ, MATCH(84,Translations!$A:$A,0), MATCH('Project Information'!$C$4,Translations!$D$1:$ZZ$1,0))</f>
        <v/>
      </c>
      <c r="BD579" s="38">
        <f>IF(OR(TRIM("")="Evet",TRIM("")="Yes"),1,0)</f>
        <v/>
      </c>
      <c r="BE579" s="38" t="n">
        <v>2</v>
      </c>
      <c r="BF579" s="38">
        <f>BD579*BE579</f>
        <v/>
      </c>
    </row>
    <row r="580" ht="15" customHeight="1" s="39">
      <c r="AZ580" s="38">
        <f>INDEX(Translations!$D:$ZZ, MATCH(316,Translations!$A:$A,0), MATCH('Project Information'!$C$4,Translations!$D$1:$ZZ$1,0))</f>
        <v/>
      </c>
      <c r="BA580" s="38">
        <f>INDEX(Translations!$D:$ZZ, MATCH(183,Translations!$A:$A,0), MATCH('Project Information'!$C$4,Translations!$D$1:$ZZ$1,0))</f>
        <v/>
      </c>
      <c r="BB580" s="38">
        <f>INDEX(Translations!$D:$ZZ, MATCH(336,Translations!$A:$A,0), MATCH('Project Information'!$C$4,Translations!$D$1:$ZZ$1,0))</f>
        <v/>
      </c>
      <c r="BC580" s="38">
        <f>INDEX(Translations!$D:$ZZ, MATCH(85,Translations!$A:$A,0), MATCH('Project Information'!$C$4,Translations!$D$1:$ZZ$1,0))</f>
        <v/>
      </c>
      <c r="BD580" s="38">
        <f>IF(OR(TRIM("")="Evet",TRIM("")="Yes"),1,0)</f>
        <v/>
      </c>
      <c r="BE580" s="38" t="n">
        <v>2</v>
      </c>
      <c r="BF580" s="38">
        <f>BD580*BE580</f>
        <v/>
      </c>
    </row>
    <row r="581" ht="15" customHeight="1" s="39">
      <c r="AZ581" s="38">
        <f>INDEX(Translations!$D:$ZZ, MATCH(316,Translations!$A:$A,0), MATCH('Project Information'!$C$4,Translations!$D$1:$ZZ$1,0))</f>
        <v/>
      </c>
      <c r="BA581" s="38">
        <f>INDEX(Translations!$D:$ZZ, MATCH(183,Translations!$A:$A,0), MATCH('Project Information'!$C$4,Translations!$D$1:$ZZ$1,0))</f>
        <v/>
      </c>
      <c r="BB581" s="38">
        <f>INDEX(Translations!$D:$ZZ, MATCH(336,Translations!$A:$A,0), MATCH('Project Information'!$C$4,Translations!$D$1:$ZZ$1,0))</f>
        <v/>
      </c>
      <c r="BC581" s="38">
        <f>INDEX(Translations!$D:$ZZ, MATCH(87,Translations!$A:$A,0), MATCH('Project Information'!$C$4,Translations!$D$1:$ZZ$1,0))</f>
        <v/>
      </c>
      <c r="BD581" s="38">
        <f>IF(OR(TRIM("")="Evet",TRIM("")="Yes"),1,0)</f>
        <v/>
      </c>
      <c r="BE581" s="38" t="n">
        <v>2</v>
      </c>
      <c r="BF581" s="38">
        <f>BD581*BE581</f>
        <v/>
      </c>
    </row>
    <row r="582" ht="15" customHeight="1" s="39">
      <c r="AZ582" s="38">
        <f>INDEX(Translations!$D:$ZZ, MATCH(316,Translations!$A:$A,0), MATCH('Project Information'!$C$4,Translations!$D$1:$ZZ$1,0))</f>
        <v/>
      </c>
      <c r="BA582" s="38">
        <f>INDEX(Translations!$D:$ZZ, MATCH(183,Translations!$A:$A,0), MATCH('Project Information'!$C$4,Translations!$D$1:$ZZ$1,0))</f>
        <v/>
      </c>
      <c r="BB582" s="38">
        <f>INDEX(Translations!$D:$ZZ, MATCH(337,Translations!$A:$A,0), MATCH('Project Information'!$C$4,Translations!$D$1:$ZZ$1,0))</f>
        <v/>
      </c>
      <c r="BC582" s="38">
        <f>INDEX(Translations!$D:$ZZ, MATCH(75,Translations!$A:$A,0), MATCH('Project Information'!$C$4,Translations!$D$1:$ZZ$1,0))</f>
        <v/>
      </c>
      <c r="BD582" s="38">
        <f>IF(OR(TRIM("")="Evet",TRIM("")="Yes"),1,0)</f>
        <v/>
      </c>
      <c r="BE582" s="38" t="n">
        <v>3</v>
      </c>
      <c r="BF582" s="38">
        <f>BD582*BE582</f>
        <v/>
      </c>
    </row>
    <row r="583" ht="15" customHeight="1" s="39">
      <c r="AZ583" s="38">
        <f>INDEX(Translations!$D:$ZZ, MATCH(316,Translations!$A:$A,0), MATCH('Project Information'!$C$4,Translations!$D$1:$ZZ$1,0))</f>
        <v/>
      </c>
      <c r="BA583" s="38">
        <f>INDEX(Translations!$D:$ZZ, MATCH(183,Translations!$A:$A,0), MATCH('Project Information'!$C$4,Translations!$D$1:$ZZ$1,0))</f>
        <v/>
      </c>
      <c r="BB583" s="38">
        <f>INDEX(Translations!$D:$ZZ, MATCH(337,Translations!$A:$A,0), MATCH('Project Information'!$C$4,Translations!$D$1:$ZZ$1,0))</f>
        <v/>
      </c>
      <c r="BC583" s="38">
        <f>INDEX(Translations!$D:$ZZ, MATCH(76,Translations!$A:$A,0), MATCH('Project Information'!$C$4,Translations!$D$1:$ZZ$1,0))</f>
        <v/>
      </c>
      <c r="BD583" s="38">
        <f>IF(OR(TRIM("")="Evet",TRIM("")="Yes"),1,0)</f>
        <v/>
      </c>
      <c r="BE583" s="38" t="n">
        <v>2</v>
      </c>
      <c r="BF583" s="38">
        <f>BD583*BE583</f>
        <v/>
      </c>
    </row>
    <row r="584" ht="15" customHeight="1" s="39">
      <c r="AZ584" s="38">
        <f>INDEX(Translations!$D:$ZZ, MATCH(316,Translations!$A:$A,0), MATCH('Project Information'!$C$4,Translations!$D$1:$ZZ$1,0))</f>
        <v/>
      </c>
      <c r="BA584" s="38">
        <f>INDEX(Translations!$D:$ZZ, MATCH(183,Translations!$A:$A,0), MATCH('Project Information'!$C$4,Translations!$D$1:$ZZ$1,0))</f>
        <v/>
      </c>
      <c r="BB584" s="38">
        <f>INDEX(Translations!$D:$ZZ, MATCH(337,Translations!$A:$A,0), MATCH('Project Information'!$C$4,Translations!$D$1:$ZZ$1,0))</f>
        <v/>
      </c>
      <c r="BC584" s="38">
        <f>INDEX(Translations!$D:$ZZ, MATCH(79,Translations!$A:$A,0), MATCH('Project Information'!$C$4,Translations!$D$1:$ZZ$1,0))</f>
        <v/>
      </c>
      <c r="BD584" s="38">
        <f>IF(OR(TRIM("")="Evet",TRIM("")="Yes"),1,0)</f>
        <v/>
      </c>
      <c r="BE584" s="38" t="n">
        <v>2</v>
      </c>
      <c r="BF584" s="38">
        <f>BD584*BE584</f>
        <v/>
      </c>
    </row>
    <row r="585" ht="15" customHeight="1" s="39">
      <c r="AZ585" s="38">
        <f>INDEX(Translations!$D:$ZZ, MATCH(316,Translations!$A:$A,0), MATCH('Project Information'!$C$4,Translations!$D$1:$ZZ$1,0))</f>
        <v/>
      </c>
      <c r="BA585" s="38">
        <f>INDEX(Translations!$D:$ZZ, MATCH(183,Translations!$A:$A,0), MATCH('Project Information'!$C$4,Translations!$D$1:$ZZ$1,0))</f>
        <v/>
      </c>
      <c r="BB585" s="38">
        <f>INDEX(Translations!$D:$ZZ, MATCH(337,Translations!$A:$A,0), MATCH('Project Information'!$C$4,Translations!$D$1:$ZZ$1,0))</f>
        <v/>
      </c>
      <c r="BC585" s="38">
        <f>INDEX(Translations!$D:$ZZ, MATCH(80,Translations!$A:$A,0), MATCH('Project Information'!$C$4,Translations!$D$1:$ZZ$1,0))</f>
        <v/>
      </c>
      <c r="BD585" s="38">
        <f>IF(OR(TRIM("")="Evet",TRIM("")="Yes"),1,0)</f>
        <v/>
      </c>
      <c r="BE585" s="38" t="n">
        <v>2</v>
      </c>
      <c r="BF585" s="38">
        <f>BD585*BE585</f>
        <v/>
      </c>
    </row>
    <row r="586" ht="15" customHeight="1" s="39">
      <c r="AZ586" s="38">
        <f>INDEX(Translations!$D:$ZZ, MATCH(316,Translations!$A:$A,0), MATCH('Project Information'!$C$4,Translations!$D$1:$ZZ$1,0))</f>
        <v/>
      </c>
      <c r="BA586" s="38">
        <f>INDEX(Translations!$D:$ZZ, MATCH(183,Translations!$A:$A,0), MATCH('Project Information'!$C$4,Translations!$D$1:$ZZ$1,0))</f>
        <v/>
      </c>
      <c r="BB586" s="38">
        <f>INDEX(Translations!$D:$ZZ, MATCH(337,Translations!$A:$A,0), MATCH('Project Information'!$C$4,Translations!$D$1:$ZZ$1,0))</f>
        <v/>
      </c>
      <c r="BC586" s="38">
        <f>INDEX(Translations!$D:$ZZ, MATCH(83,Translations!$A:$A,0), MATCH('Project Information'!$C$4,Translations!$D$1:$ZZ$1,0))</f>
        <v/>
      </c>
      <c r="BD586" s="38">
        <f>IF(OR(TRIM("")="Evet",TRIM("")="Yes"),1,0)</f>
        <v/>
      </c>
      <c r="BE586" s="38" t="n">
        <v>2</v>
      </c>
      <c r="BF586" s="38">
        <f>BD586*BE586</f>
        <v/>
      </c>
    </row>
    <row r="587" ht="15" customHeight="1" s="39">
      <c r="AZ587" s="38">
        <f>INDEX(Translations!$D:$ZZ, MATCH(316,Translations!$A:$A,0), MATCH('Project Information'!$C$4,Translations!$D$1:$ZZ$1,0))</f>
        <v/>
      </c>
      <c r="BA587" s="38">
        <f>INDEX(Translations!$D:$ZZ, MATCH(183,Translations!$A:$A,0), MATCH('Project Information'!$C$4,Translations!$D$1:$ZZ$1,0))</f>
        <v/>
      </c>
      <c r="BB587" s="38">
        <f>INDEX(Translations!$D:$ZZ, MATCH(337,Translations!$A:$A,0), MATCH('Project Information'!$C$4,Translations!$D$1:$ZZ$1,0))</f>
        <v/>
      </c>
      <c r="BC587" s="38">
        <f>INDEX(Translations!$D:$ZZ, MATCH(84,Translations!$A:$A,0), MATCH('Project Information'!$C$4,Translations!$D$1:$ZZ$1,0))</f>
        <v/>
      </c>
      <c r="BD587" s="38">
        <f>IF(OR(TRIM("")="Evet",TRIM("")="Yes"),1,0)</f>
        <v/>
      </c>
      <c r="BE587" s="38" t="n">
        <v>2</v>
      </c>
      <c r="BF587" s="38">
        <f>BD587*BE587</f>
        <v/>
      </c>
    </row>
    <row r="588" ht="15" customHeight="1" s="39">
      <c r="AZ588" s="38">
        <f>INDEX(Translations!$D:$ZZ, MATCH(316,Translations!$A:$A,0), MATCH('Project Information'!$C$4,Translations!$D$1:$ZZ$1,0))</f>
        <v/>
      </c>
      <c r="BA588" s="38">
        <f>INDEX(Translations!$D:$ZZ, MATCH(183,Translations!$A:$A,0), MATCH('Project Information'!$C$4,Translations!$D$1:$ZZ$1,0))</f>
        <v/>
      </c>
      <c r="BB588" s="38">
        <f>INDEX(Translations!$D:$ZZ, MATCH(337,Translations!$A:$A,0), MATCH('Project Information'!$C$4,Translations!$D$1:$ZZ$1,0))</f>
        <v/>
      </c>
      <c r="BC588" s="38">
        <f>INDEX(Translations!$D:$ZZ, MATCH(85,Translations!$A:$A,0), MATCH('Project Information'!$C$4,Translations!$D$1:$ZZ$1,0))</f>
        <v/>
      </c>
      <c r="BD588" s="38">
        <f>IF(OR(TRIM("")="Evet",TRIM("")="Yes"),1,0)</f>
        <v/>
      </c>
      <c r="BE588" s="38" t="n">
        <v>2</v>
      </c>
      <c r="BF588" s="38">
        <f>BD588*BE588</f>
        <v/>
      </c>
    </row>
    <row r="589" ht="15" customHeight="1" s="39">
      <c r="AZ589" s="38">
        <f>INDEX(Translations!$D:$ZZ, MATCH(316,Translations!$A:$A,0), MATCH('Project Information'!$C$4,Translations!$D$1:$ZZ$1,0))</f>
        <v/>
      </c>
      <c r="BA589" s="38">
        <f>INDEX(Translations!$D:$ZZ, MATCH(183,Translations!$A:$A,0), MATCH('Project Information'!$C$4,Translations!$D$1:$ZZ$1,0))</f>
        <v/>
      </c>
      <c r="BB589" s="38">
        <f>INDEX(Translations!$D:$ZZ, MATCH(337,Translations!$A:$A,0), MATCH('Project Information'!$C$4,Translations!$D$1:$ZZ$1,0))</f>
        <v/>
      </c>
      <c r="BC589" s="38">
        <f>INDEX(Translations!$D:$ZZ, MATCH(87,Translations!$A:$A,0), MATCH('Project Information'!$C$4,Translations!$D$1:$ZZ$1,0))</f>
        <v/>
      </c>
      <c r="BD589" s="38">
        <f>IF(OR(TRIM("")="Evet",TRIM("")="Yes"),1,0)</f>
        <v/>
      </c>
      <c r="BE589" s="38" t="n">
        <v>2</v>
      </c>
      <c r="BF589" s="38">
        <f>BD589*BE589</f>
        <v/>
      </c>
    </row>
    <row r="590" ht="15" customHeight="1" s="39">
      <c r="AZ590" s="38">
        <f>INDEX(Translations!$D:$ZZ, MATCH(316,Translations!$A:$A,0), MATCH('Project Information'!$C$4,Translations!$D$1:$ZZ$1,0))</f>
        <v/>
      </c>
      <c r="BA590" s="38">
        <f>INDEX(Translations!$D:$ZZ, MATCH(183,Translations!$A:$A,0), MATCH('Project Information'!$C$4,Translations!$D$1:$ZZ$1,0))</f>
        <v/>
      </c>
      <c r="BB590" s="38">
        <f>INDEX(Translations!$D:$ZZ, MATCH(338,Translations!$A:$A,0), MATCH('Project Information'!$C$4,Translations!$D$1:$ZZ$1,0))</f>
        <v/>
      </c>
      <c r="BC590" s="38">
        <f>INDEX(Translations!$D:$ZZ, MATCH(75,Translations!$A:$A,0), MATCH('Project Information'!$C$4,Translations!$D$1:$ZZ$1,0))</f>
        <v/>
      </c>
      <c r="BD590" s="38">
        <f>IF(OR(TRIM("")="Evet",TRIM("")="Yes"),1,0)</f>
        <v/>
      </c>
      <c r="BE590" s="38" t="n">
        <v>3</v>
      </c>
      <c r="BF590" s="38">
        <f>BD590*BE590</f>
        <v/>
      </c>
    </row>
    <row r="591" ht="15" customHeight="1" s="39">
      <c r="AZ591" s="38">
        <f>INDEX(Translations!$D:$ZZ, MATCH(316,Translations!$A:$A,0), MATCH('Project Information'!$C$4,Translations!$D$1:$ZZ$1,0))</f>
        <v/>
      </c>
      <c r="BA591" s="38">
        <f>INDEX(Translations!$D:$ZZ, MATCH(183,Translations!$A:$A,0), MATCH('Project Information'!$C$4,Translations!$D$1:$ZZ$1,0))</f>
        <v/>
      </c>
      <c r="BB591" s="38">
        <f>INDEX(Translations!$D:$ZZ, MATCH(338,Translations!$A:$A,0), MATCH('Project Information'!$C$4,Translations!$D$1:$ZZ$1,0))</f>
        <v/>
      </c>
      <c r="BC591" s="38">
        <f>INDEX(Translations!$D:$ZZ, MATCH(76,Translations!$A:$A,0), MATCH('Project Information'!$C$4,Translations!$D$1:$ZZ$1,0))</f>
        <v/>
      </c>
      <c r="BD591" s="38">
        <f>IF(OR(TRIM("")="Evet",TRIM("")="Yes"),1,0)</f>
        <v/>
      </c>
      <c r="BE591" s="38" t="n">
        <v>2</v>
      </c>
      <c r="BF591" s="38">
        <f>BD591*BE591</f>
        <v/>
      </c>
    </row>
    <row r="592" ht="15" customHeight="1" s="39">
      <c r="AZ592" s="38">
        <f>INDEX(Translations!$D:$ZZ, MATCH(316,Translations!$A:$A,0), MATCH('Project Information'!$C$4,Translations!$D$1:$ZZ$1,0))</f>
        <v/>
      </c>
      <c r="BA592" s="38">
        <f>INDEX(Translations!$D:$ZZ, MATCH(183,Translations!$A:$A,0), MATCH('Project Information'!$C$4,Translations!$D$1:$ZZ$1,0))</f>
        <v/>
      </c>
      <c r="BB592" s="38">
        <f>INDEX(Translations!$D:$ZZ, MATCH(338,Translations!$A:$A,0), MATCH('Project Information'!$C$4,Translations!$D$1:$ZZ$1,0))</f>
        <v/>
      </c>
      <c r="BC592" s="38">
        <f>INDEX(Translations!$D:$ZZ, MATCH(79,Translations!$A:$A,0), MATCH('Project Information'!$C$4,Translations!$D$1:$ZZ$1,0))</f>
        <v/>
      </c>
      <c r="BD592" s="38">
        <f>IF(OR(TRIM("")="Evet",TRIM("")="Yes"),1,0)</f>
        <v/>
      </c>
      <c r="BE592" s="38" t="n">
        <v>2</v>
      </c>
      <c r="BF592" s="38">
        <f>BD592*BE592</f>
        <v/>
      </c>
    </row>
    <row r="593" ht="15" customHeight="1" s="39">
      <c r="AZ593" s="38">
        <f>INDEX(Translations!$D:$ZZ, MATCH(316,Translations!$A:$A,0), MATCH('Project Information'!$C$4,Translations!$D$1:$ZZ$1,0))</f>
        <v/>
      </c>
      <c r="BA593" s="38">
        <f>INDEX(Translations!$D:$ZZ, MATCH(183,Translations!$A:$A,0), MATCH('Project Information'!$C$4,Translations!$D$1:$ZZ$1,0))</f>
        <v/>
      </c>
      <c r="BB593" s="38">
        <f>INDEX(Translations!$D:$ZZ, MATCH(338,Translations!$A:$A,0), MATCH('Project Information'!$C$4,Translations!$D$1:$ZZ$1,0))</f>
        <v/>
      </c>
      <c r="BC593" s="38">
        <f>INDEX(Translations!$D:$ZZ, MATCH(80,Translations!$A:$A,0), MATCH('Project Information'!$C$4,Translations!$D$1:$ZZ$1,0))</f>
        <v/>
      </c>
      <c r="BD593" s="38">
        <f>IF(OR(TRIM("")="Evet",TRIM("")="Yes"),1,0)</f>
        <v/>
      </c>
      <c r="BE593" s="38" t="n">
        <v>2</v>
      </c>
      <c r="BF593" s="38">
        <f>BD593*BE593</f>
        <v/>
      </c>
    </row>
    <row r="594" ht="15" customHeight="1" s="39">
      <c r="AZ594" s="38">
        <f>INDEX(Translations!$D:$ZZ, MATCH(316,Translations!$A:$A,0), MATCH('Project Information'!$C$4,Translations!$D$1:$ZZ$1,0))</f>
        <v/>
      </c>
      <c r="BA594" s="38">
        <f>INDEX(Translations!$D:$ZZ, MATCH(183,Translations!$A:$A,0), MATCH('Project Information'!$C$4,Translations!$D$1:$ZZ$1,0))</f>
        <v/>
      </c>
      <c r="BB594" s="38">
        <f>INDEX(Translations!$D:$ZZ, MATCH(338,Translations!$A:$A,0), MATCH('Project Information'!$C$4,Translations!$D$1:$ZZ$1,0))</f>
        <v/>
      </c>
      <c r="BC594" s="38">
        <f>INDEX(Translations!$D:$ZZ, MATCH(83,Translations!$A:$A,0), MATCH('Project Information'!$C$4,Translations!$D$1:$ZZ$1,0))</f>
        <v/>
      </c>
      <c r="BD594" s="38">
        <f>IF(OR(TRIM("")="Evet",TRIM("")="Yes"),1,0)</f>
        <v/>
      </c>
      <c r="BE594" s="38" t="n">
        <v>2</v>
      </c>
      <c r="BF594" s="38">
        <f>BD594*BE594</f>
        <v/>
      </c>
    </row>
    <row r="595" ht="15" customHeight="1" s="39">
      <c r="AZ595" s="38">
        <f>INDEX(Translations!$D:$ZZ, MATCH(316,Translations!$A:$A,0), MATCH('Project Information'!$C$4,Translations!$D$1:$ZZ$1,0))</f>
        <v/>
      </c>
      <c r="BA595" s="38">
        <f>INDEX(Translations!$D:$ZZ, MATCH(183,Translations!$A:$A,0), MATCH('Project Information'!$C$4,Translations!$D$1:$ZZ$1,0))</f>
        <v/>
      </c>
      <c r="BB595" s="38">
        <f>INDEX(Translations!$D:$ZZ, MATCH(338,Translations!$A:$A,0), MATCH('Project Information'!$C$4,Translations!$D$1:$ZZ$1,0))</f>
        <v/>
      </c>
      <c r="BC595" s="38">
        <f>INDEX(Translations!$D:$ZZ, MATCH(84,Translations!$A:$A,0), MATCH('Project Information'!$C$4,Translations!$D$1:$ZZ$1,0))</f>
        <v/>
      </c>
      <c r="BD595" s="38">
        <f>IF(OR(TRIM("")="Evet",TRIM("")="Yes"),1,0)</f>
        <v/>
      </c>
      <c r="BE595" s="38" t="n">
        <v>2</v>
      </c>
      <c r="BF595" s="38">
        <f>BD595*BE595</f>
        <v/>
      </c>
    </row>
    <row r="596" ht="15" customHeight="1" s="39">
      <c r="AZ596" s="38">
        <f>INDEX(Translations!$D:$ZZ, MATCH(316,Translations!$A:$A,0), MATCH('Project Information'!$C$4,Translations!$D$1:$ZZ$1,0))</f>
        <v/>
      </c>
      <c r="BA596" s="38">
        <f>INDEX(Translations!$D:$ZZ, MATCH(183,Translations!$A:$A,0), MATCH('Project Information'!$C$4,Translations!$D$1:$ZZ$1,0))</f>
        <v/>
      </c>
      <c r="BB596" s="38">
        <f>INDEX(Translations!$D:$ZZ, MATCH(338,Translations!$A:$A,0), MATCH('Project Information'!$C$4,Translations!$D$1:$ZZ$1,0))</f>
        <v/>
      </c>
      <c r="BC596" s="38">
        <f>INDEX(Translations!$D:$ZZ, MATCH(85,Translations!$A:$A,0), MATCH('Project Information'!$C$4,Translations!$D$1:$ZZ$1,0))</f>
        <v/>
      </c>
      <c r="BD596" s="38">
        <f>IF(OR(TRIM("")="Evet",TRIM("")="Yes"),1,0)</f>
        <v/>
      </c>
      <c r="BE596" s="38" t="n">
        <v>2</v>
      </c>
      <c r="BF596" s="38">
        <f>BD596*BE596</f>
        <v/>
      </c>
    </row>
    <row r="597" ht="15" customHeight="1" s="39">
      <c r="AZ597" s="38">
        <f>INDEX(Translations!$D:$ZZ, MATCH(316,Translations!$A:$A,0), MATCH('Project Information'!$C$4,Translations!$D$1:$ZZ$1,0))</f>
        <v/>
      </c>
      <c r="BA597" s="38">
        <f>INDEX(Translations!$D:$ZZ, MATCH(183,Translations!$A:$A,0), MATCH('Project Information'!$C$4,Translations!$D$1:$ZZ$1,0))</f>
        <v/>
      </c>
      <c r="BB597" s="38">
        <f>INDEX(Translations!$D:$ZZ, MATCH(338,Translations!$A:$A,0), MATCH('Project Information'!$C$4,Translations!$D$1:$ZZ$1,0))</f>
        <v/>
      </c>
      <c r="BC597" s="38">
        <f>INDEX(Translations!$D:$ZZ, MATCH(87,Translations!$A:$A,0), MATCH('Project Information'!$C$4,Translations!$D$1:$ZZ$1,0))</f>
        <v/>
      </c>
      <c r="BD597" s="38">
        <f>IF(OR(TRIM("")="Evet",TRIM("")="Yes"),1,0)</f>
        <v/>
      </c>
      <c r="BE597" s="38" t="n">
        <v>2</v>
      </c>
      <c r="BF597" s="38">
        <f>BD597*BE597</f>
        <v/>
      </c>
    </row>
    <row r="598" ht="15" customHeight="1" s="39">
      <c r="AZ598" s="38">
        <f>INDEX(Translations!$D:$ZZ, MATCH(316,Translations!$A:$A,0), MATCH('Project Information'!$C$4,Translations!$D$1:$ZZ$1,0))</f>
        <v/>
      </c>
      <c r="BA598" s="38">
        <f>INDEX(Translations!$D:$ZZ, MATCH(183,Translations!$A:$A,0), MATCH('Project Information'!$C$4,Translations!$D$1:$ZZ$1,0))</f>
        <v/>
      </c>
      <c r="BB598" s="38">
        <f>INDEX(Translations!$D:$ZZ, MATCH(339,Translations!$A:$A,0), MATCH('Project Information'!$C$4,Translations!$D$1:$ZZ$1,0))</f>
        <v/>
      </c>
      <c r="BC598" s="38">
        <f>INDEX(Translations!$D:$ZZ, MATCH(75,Translations!$A:$A,0), MATCH('Project Information'!$C$4,Translations!$D$1:$ZZ$1,0))</f>
        <v/>
      </c>
      <c r="BD598" s="38">
        <f>IF(OR(TRIM("")="Evet",TRIM("")="Yes"),1,0)</f>
        <v/>
      </c>
      <c r="BE598" s="38" t="n">
        <v>3</v>
      </c>
      <c r="BF598" s="38">
        <f>BD598*BE598</f>
        <v/>
      </c>
    </row>
    <row r="599" ht="15" customHeight="1" s="39">
      <c r="AZ599" s="38">
        <f>INDEX(Translations!$D:$ZZ, MATCH(316,Translations!$A:$A,0), MATCH('Project Information'!$C$4,Translations!$D$1:$ZZ$1,0))</f>
        <v/>
      </c>
      <c r="BA599" s="38">
        <f>INDEX(Translations!$D:$ZZ, MATCH(183,Translations!$A:$A,0), MATCH('Project Information'!$C$4,Translations!$D$1:$ZZ$1,0))</f>
        <v/>
      </c>
      <c r="BB599" s="38">
        <f>INDEX(Translations!$D:$ZZ, MATCH(339,Translations!$A:$A,0), MATCH('Project Information'!$C$4,Translations!$D$1:$ZZ$1,0))</f>
        <v/>
      </c>
      <c r="BC599" s="38">
        <f>INDEX(Translations!$D:$ZZ, MATCH(76,Translations!$A:$A,0), MATCH('Project Information'!$C$4,Translations!$D$1:$ZZ$1,0))</f>
        <v/>
      </c>
      <c r="BD599" s="38">
        <f>IF(OR(TRIM("")="Evet",TRIM("")="Yes"),1,0)</f>
        <v/>
      </c>
      <c r="BE599" s="38" t="n">
        <v>2</v>
      </c>
      <c r="BF599" s="38">
        <f>BD599*BE599</f>
        <v/>
      </c>
    </row>
    <row r="600" ht="15" customHeight="1" s="39">
      <c r="AZ600" s="38">
        <f>INDEX(Translations!$D:$ZZ, MATCH(316,Translations!$A:$A,0), MATCH('Project Information'!$C$4,Translations!$D$1:$ZZ$1,0))</f>
        <v/>
      </c>
      <c r="BA600" s="38">
        <f>INDEX(Translations!$D:$ZZ, MATCH(183,Translations!$A:$A,0), MATCH('Project Information'!$C$4,Translations!$D$1:$ZZ$1,0))</f>
        <v/>
      </c>
      <c r="BB600" s="38">
        <f>INDEX(Translations!$D:$ZZ, MATCH(339,Translations!$A:$A,0), MATCH('Project Information'!$C$4,Translations!$D$1:$ZZ$1,0))</f>
        <v/>
      </c>
      <c r="BC600" s="38">
        <f>INDEX(Translations!$D:$ZZ, MATCH(79,Translations!$A:$A,0), MATCH('Project Information'!$C$4,Translations!$D$1:$ZZ$1,0))</f>
        <v/>
      </c>
      <c r="BD600" s="38">
        <f>IF(OR(TRIM("")="Evet",TRIM("")="Yes"),1,0)</f>
        <v/>
      </c>
      <c r="BE600" s="38" t="n">
        <v>2</v>
      </c>
      <c r="BF600" s="38">
        <f>BD600*BE600</f>
        <v/>
      </c>
    </row>
    <row r="601" ht="15" customHeight="1" s="39">
      <c r="AZ601" s="38">
        <f>INDEX(Translations!$D:$ZZ, MATCH(316,Translations!$A:$A,0), MATCH('Project Information'!$C$4,Translations!$D$1:$ZZ$1,0))</f>
        <v/>
      </c>
      <c r="BA601" s="38">
        <f>INDEX(Translations!$D:$ZZ, MATCH(183,Translations!$A:$A,0), MATCH('Project Information'!$C$4,Translations!$D$1:$ZZ$1,0))</f>
        <v/>
      </c>
      <c r="BB601" s="38">
        <f>INDEX(Translations!$D:$ZZ, MATCH(339,Translations!$A:$A,0), MATCH('Project Information'!$C$4,Translations!$D$1:$ZZ$1,0))</f>
        <v/>
      </c>
      <c r="BC601" s="38">
        <f>INDEX(Translations!$D:$ZZ, MATCH(80,Translations!$A:$A,0), MATCH('Project Information'!$C$4,Translations!$D$1:$ZZ$1,0))</f>
        <v/>
      </c>
      <c r="BD601" s="38">
        <f>IF(OR(TRIM("")="Evet",TRIM("")="Yes"),1,0)</f>
        <v/>
      </c>
      <c r="BE601" s="38" t="n">
        <v>2</v>
      </c>
      <c r="BF601" s="38">
        <f>BD601*BE601</f>
        <v/>
      </c>
    </row>
    <row r="602" ht="15" customHeight="1" s="39">
      <c r="AZ602" s="38">
        <f>INDEX(Translations!$D:$ZZ, MATCH(316,Translations!$A:$A,0), MATCH('Project Information'!$C$4,Translations!$D$1:$ZZ$1,0))</f>
        <v/>
      </c>
      <c r="BA602" s="38">
        <f>INDEX(Translations!$D:$ZZ, MATCH(183,Translations!$A:$A,0), MATCH('Project Information'!$C$4,Translations!$D$1:$ZZ$1,0))</f>
        <v/>
      </c>
      <c r="BB602" s="38">
        <f>INDEX(Translations!$D:$ZZ, MATCH(339,Translations!$A:$A,0), MATCH('Project Information'!$C$4,Translations!$D$1:$ZZ$1,0))</f>
        <v/>
      </c>
      <c r="BC602" s="38">
        <f>INDEX(Translations!$D:$ZZ, MATCH(83,Translations!$A:$A,0), MATCH('Project Information'!$C$4,Translations!$D$1:$ZZ$1,0))</f>
        <v/>
      </c>
      <c r="BD602" s="38">
        <f>IF(OR(TRIM("")="Evet",TRIM("")="Yes"),1,0)</f>
        <v/>
      </c>
      <c r="BE602" s="38" t="n">
        <v>2</v>
      </c>
      <c r="BF602" s="38">
        <f>BD602*BE602</f>
        <v/>
      </c>
    </row>
    <row r="603" ht="15" customHeight="1" s="39">
      <c r="AZ603" s="38">
        <f>INDEX(Translations!$D:$ZZ, MATCH(316,Translations!$A:$A,0), MATCH('Project Information'!$C$4,Translations!$D$1:$ZZ$1,0))</f>
        <v/>
      </c>
      <c r="BA603" s="38">
        <f>INDEX(Translations!$D:$ZZ, MATCH(183,Translations!$A:$A,0), MATCH('Project Information'!$C$4,Translations!$D$1:$ZZ$1,0))</f>
        <v/>
      </c>
      <c r="BB603" s="38">
        <f>INDEX(Translations!$D:$ZZ, MATCH(339,Translations!$A:$A,0), MATCH('Project Information'!$C$4,Translations!$D$1:$ZZ$1,0))</f>
        <v/>
      </c>
      <c r="BC603" s="38">
        <f>INDEX(Translations!$D:$ZZ, MATCH(84,Translations!$A:$A,0), MATCH('Project Information'!$C$4,Translations!$D$1:$ZZ$1,0))</f>
        <v/>
      </c>
      <c r="BD603" s="38">
        <f>IF(OR(TRIM("")="Evet",TRIM("")="Yes"),1,0)</f>
        <v/>
      </c>
      <c r="BE603" s="38" t="n">
        <v>2</v>
      </c>
      <c r="BF603" s="38">
        <f>BD603*BE603</f>
        <v/>
      </c>
    </row>
    <row r="604" ht="15" customHeight="1" s="39">
      <c r="AZ604" s="38">
        <f>INDEX(Translations!$D:$ZZ, MATCH(316,Translations!$A:$A,0), MATCH('Project Information'!$C$4,Translations!$D$1:$ZZ$1,0))</f>
        <v/>
      </c>
      <c r="BA604" s="38">
        <f>INDEX(Translations!$D:$ZZ, MATCH(183,Translations!$A:$A,0), MATCH('Project Information'!$C$4,Translations!$D$1:$ZZ$1,0))</f>
        <v/>
      </c>
      <c r="BB604" s="38">
        <f>INDEX(Translations!$D:$ZZ, MATCH(339,Translations!$A:$A,0), MATCH('Project Information'!$C$4,Translations!$D$1:$ZZ$1,0))</f>
        <v/>
      </c>
      <c r="BC604" s="38">
        <f>INDEX(Translations!$D:$ZZ, MATCH(85,Translations!$A:$A,0), MATCH('Project Information'!$C$4,Translations!$D$1:$ZZ$1,0))</f>
        <v/>
      </c>
      <c r="BD604" s="38">
        <f>IF(OR(TRIM("")="Evet",TRIM("")="Yes"),1,0)</f>
        <v/>
      </c>
      <c r="BE604" s="38" t="n">
        <v>2</v>
      </c>
      <c r="BF604" s="38">
        <f>BD604*BE604</f>
        <v/>
      </c>
    </row>
    <row r="605" ht="15" customHeight="1" s="39">
      <c r="AZ605" s="38">
        <f>INDEX(Translations!$D:$ZZ, MATCH(316,Translations!$A:$A,0), MATCH('Project Information'!$C$4,Translations!$D$1:$ZZ$1,0))</f>
        <v/>
      </c>
      <c r="BA605" s="38">
        <f>INDEX(Translations!$D:$ZZ, MATCH(183,Translations!$A:$A,0), MATCH('Project Information'!$C$4,Translations!$D$1:$ZZ$1,0))</f>
        <v/>
      </c>
      <c r="BB605" s="38">
        <f>INDEX(Translations!$D:$ZZ, MATCH(339,Translations!$A:$A,0), MATCH('Project Information'!$C$4,Translations!$D$1:$ZZ$1,0))</f>
        <v/>
      </c>
      <c r="BC605" s="38">
        <f>INDEX(Translations!$D:$ZZ, MATCH(87,Translations!$A:$A,0), MATCH('Project Information'!$C$4,Translations!$D$1:$ZZ$1,0))</f>
        <v/>
      </c>
      <c r="BD605" s="38">
        <f>IF(OR(TRIM("")="Evet",TRIM("")="Yes"),1,0)</f>
        <v/>
      </c>
      <c r="BE605" s="38" t="n">
        <v>2</v>
      </c>
      <c r="BF605" s="38">
        <f>BD605*BE605</f>
        <v/>
      </c>
    </row>
    <row r="606" ht="15" customHeight="1" s="39">
      <c r="AZ606" s="38">
        <f>INDEX(Translations!$D:$ZZ, MATCH(316,Translations!$A:$A,0), MATCH('Project Information'!$C$4,Translations!$D$1:$ZZ$1,0))</f>
        <v/>
      </c>
      <c r="BA606" s="38">
        <f>INDEX(Translations!$D:$ZZ, MATCH(183,Translations!$A:$A,0), MATCH('Project Information'!$C$4,Translations!$D$1:$ZZ$1,0))</f>
        <v/>
      </c>
      <c r="BB606" s="38">
        <f>INDEX(Translations!$D:$ZZ, MATCH(340,Translations!$A:$A,0), MATCH('Project Information'!$C$4,Translations!$D$1:$ZZ$1,0))</f>
        <v/>
      </c>
      <c r="BC606" s="38">
        <f>INDEX(Translations!$D:$ZZ, MATCH(75,Translations!$A:$A,0), MATCH('Project Information'!$C$4,Translations!$D$1:$ZZ$1,0))</f>
        <v/>
      </c>
      <c r="BD606" s="38">
        <f>IF(OR(TRIM("")="Evet",TRIM("")="Yes"),1,0)</f>
        <v/>
      </c>
      <c r="BE606" s="38" t="n">
        <v>3</v>
      </c>
      <c r="BF606" s="38">
        <f>BD606*BE606</f>
        <v/>
      </c>
    </row>
    <row r="607" ht="15" customHeight="1" s="39">
      <c r="AZ607" s="38">
        <f>INDEX(Translations!$D:$ZZ, MATCH(316,Translations!$A:$A,0), MATCH('Project Information'!$C$4,Translations!$D$1:$ZZ$1,0))</f>
        <v/>
      </c>
      <c r="BA607" s="38">
        <f>INDEX(Translations!$D:$ZZ, MATCH(183,Translations!$A:$A,0), MATCH('Project Information'!$C$4,Translations!$D$1:$ZZ$1,0))</f>
        <v/>
      </c>
      <c r="BB607" s="38">
        <f>INDEX(Translations!$D:$ZZ, MATCH(340,Translations!$A:$A,0), MATCH('Project Information'!$C$4,Translations!$D$1:$ZZ$1,0))</f>
        <v/>
      </c>
      <c r="BC607" s="38">
        <f>INDEX(Translations!$D:$ZZ, MATCH(76,Translations!$A:$A,0), MATCH('Project Information'!$C$4,Translations!$D$1:$ZZ$1,0))</f>
        <v/>
      </c>
      <c r="BD607" s="38">
        <f>IF(OR(TRIM("")="Evet",TRIM("")="Yes"),1,0)</f>
        <v/>
      </c>
      <c r="BE607" s="38" t="n">
        <v>2</v>
      </c>
      <c r="BF607" s="38">
        <f>BD607*BE607</f>
        <v/>
      </c>
    </row>
    <row r="608" ht="15" customHeight="1" s="39">
      <c r="AZ608" s="38">
        <f>INDEX(Translations!$D:$ZZ, MATCH(316,Translations!$A:$A,0), MATCH('Project Information'!$C$4,Translations!$D$1:$ZZ$1,0))</f>
        <v/>
      </c>
      <c r="BA608" s="38">
        <f>INDEX(Translations!$D:$ZZ, MATCH(183,Translations!$A:$A,0), MATCH('Project Information'!$C$4,Translations!$D$1:$ZZ$1,0))</f>
        <v/>
      </c>
      <c r="BB608" s="38">
        <f>INDEX(Translations!$D:$ZZ, MATCH(340,Translations!$A:$A,0), MATCH('Project Information'!$C$4,Translations!$D$1:$ZZ$1,0))</f>
        <v/>
      </c>
      <c r="BC608" s="38">
        <f>INDEX(Translations!$D:$ZZ, MATCH(79,Translations!$A:$A,0), MATCH('Project Information'!$C$4,Translations!$D$1:$ZZ$1,0))</f>
        <v/>
      </c>
      <c r="BD608" s="38">
        <f>IF(OR(TRIM("")="Evet",TRIM("")="Yes"),1,0)</f>
        <v/>
      </c>
      <c r="BE608" s="38" t="n">
        <v>2</v>
      </c>
      <c r="BF608" s="38">
        <f>BD608*BE608</f>
        <v/>
      </c>
    </row>
    <row r="609" ht="15" customHeight="1" s="39">
      <c r="AZ609" s="38">
        <f>INDEX(Translations!$D:$ZZ, MATCH(316,Translations!$A:$A,0), MATCH('Project Information'!$C$4,Translations!$D$1:$ZZ$1,0))</f>
        <v/>
      </c>
      <c r="BA609" s="38">
        <f>INDEX(Translations!$D:$ZZ, MATCH(183,Translations!$A:$A,0), MATCH('Project Information'!$C$4,Translations!$D$1:$ZZ$1,0))</f>
        <v/>
      </c>
      <c r="BB609" s="38">
        <f>INDEX(Translations!$D:$ZZ, MATCH(340,Translations!$A:$A,0), MATCH('Project Information'!$C$4,Translations!$D$1:$ZZ$1,0))</f>
        <v/>
      </c>
      <c r="BC609" s="38">
        <f>INDEX(Translations!$D:$ZZ, MATCH(80,Translations!$A:$A,0), MATCH('Project Information'!$C$4,Translations!$D$1:$ZZ$1,0))</f>
        <v/>
      </c>
      <c r="BD609" s="38">
        <f>IF(OR(TRIM("")="Evet",TRIM("")="Yes"),1,0)</f>
        <v/>
      </c>
      <c r="BE609" s="38" t="n">
        <v>2</v>
      </c>
      <c r="BF609" s="38">
        <f>BD609*BE609</f>
        <v/>
      </c>
    </row>
    <row r="610" ht="15" customHeight="1" s="39">
      <c r="AZ610" s="38">
        <f>INDEX(Translations!$D:$ZZ, MATCH(316,Translations!$A:$A,0), MATCH('Project Information'!$C$4,Translations!$D$1:$ZZ$1,0))</f>
        <v/>
      </c>
      <c r="BA610" s="38">
        <f>INDEX(Translations!$D:$ZZ, MATCH(183,Translations!$A:$A,0), MATCH('Project Information'!$C$4,Translations!$D$1:$ZZ$1,0))</f>
        <v/>
      </c>
      <c r="BB610" s="38">
        <f>INDEX(Translations!$D:$ZZ, MATCH(340,Translations!$A:$A,0), MATCH('Project Information'!$C$4,Translations!$D$1:$ZZ$1,0))</f>
        <v/>
      </c>
      <c r="BC610" s="38">
        <f>INDEX(Translations!$D:$ZZ, MATCH(83,Translations!$A:$A,0), MATCH('Project Information'!$C$4,Translations!$D$1:$ZZ$1,0))</f>
        <v/>
      </c>
      <c r="BD610" s="38">
        <f>IF(OR(TRIM("")="Evet",TRIM("")="Yes"),1,0)</f>
        <v/>
      </c>
      <c r="BE610" s="38" t="n">
        <v>2</v>
      </c>
      <c r="BF610" s="38">
        <f>BD610*BE610</f>
        <v/>
      </c>
    </row>
    <row r="611" ht="15" customHeight="1" s="39">
      <c r="AZ611" s="38">
        <f>INDEX(Translations!$D:$ZZ, MATCH(316,Translations!$A:$A,0), MATCH('Project Information'!$C$4,Translations!$D$1:$ZZ$1,0))</f>
        <v/>
      </c>
      <c r="BA611" s="38">
        <f>INDEX(Translations!$D:$ZZ, MATCH(183,Translations!$A:$A,0), MATCH('Project Information'!$C$4,Translations!$D$1:$ZZ$1,0))</f>
        <v/>
      </c>
      <c r="BB611" s="38">
        <f>INDEX(Translations!$D:$ZZ, MATCH(340,Translations!$A:$A,0), MATCH('Project Information'!$C$4,Translations!$D$1:$ZZ$1,0))</f>
        <v/>
      </c>
      <c r="BC611" s="38">
        <f>INDEX(Translations!$D:$ZZ, MATCH(84,Translations!$A:$A,0), MATCH('Project Information'!$C$4,Translations!$D$1:$ZZ$1,0))</f>
        <v/>
      </c>
      <c r="BD611" s="38">
        <f>IF(OR(TRIM("")="Evet",TRIM("")="Yes"),1,0)</f>
        <v/>
      </c>
      <c r="BE611" s="38" t="n">
        <v>2</v>
      </c>
      <c r="BF611" s="38">
        <f>BD611*BE611</f>
        <v/>
      </c>
    </row>
    <row r="612" ht="15" customHeight="1" s="39">
      <c r="AZ612" s="38">
        <f>INDEX(Translations!$D:$ZZ, MATCH(316,Translations!$A:$A,0), MATCH('Project Information'!$C$4,Translations!$D$1:$ZZ$1,0))</f>
        <v/>
      </c>
      <c r="BA612" s="38">
        <f>INDEX(Translations!$D:$ZZ, MATCH(183,Translations!$A:$A,0), MATCH('Project Information'!$C$4,Translations!$D$1:$ZZ$1,0))</f>
        <v/>
      </c>
      <c r="BB612" s="38">
        <f>INDEX(Translations!$D:$ZZ, MATCH(340,Translations!$A:$A,0), MATCH('Project Information'!$C$4,Translations!$D$1:$ZZ$1,0))</f>
        <v/>
      </c>
      <c r="BC612" s="38">
        <f>INDEX(Translations!$D:$ZZ, MATCH(85,Translations!$A:$A,0), MATCH('Project Information'!$C$4,Translations!$D$1:$ZZ$1,0))</f>
        <v/>
      </c>
      <c r="BD612" s="38">
        <f>IF(OR(TRIM("")="Evet",TRIM("")="Yes"),1,0)</f>
        <v/>
      </c>
      <c r="BE612" s="38" t="n">
        <v>2</v>
      </c>
      <c r="BF612" s="38">
        <f>BD612*BE612</f>
        <v/>
      </c>
    </row>
    <row r="613" ht="15" customHeight="1" s="39">
      <c r="AZ613" s="38">
        <f>INDEX(Translations!$D:$ZZ, MATCH(316,Translations!$A:$A,0), MATCH('Project Information'!$C$4,Translations!$D$1:$ZZ$1,0))</f>
        <v/>
      </c>
      <c r="BA613" s="38">
        <f>INDEX(Translations!$D:$ZZ, MATCH(183,Translations!$A:$A,0), MATCH('Project Information'!$C$4,Translations!$D$1:$ZZ$1,0))</f>
        <v/>
      </c>
      <c r="BB613" s="38">
        <f>INDEX(Translations!$D:$ZZ, MATCH(340,Translations!$A:$A,0), MATCH('Project Information'!$C$4,Translations!$D$1:$ZZ$1,0))</f>
        <v/>
      </c>
      <c r="BC613" s="38">
        <f>INDEX(Translations!$D:$ZZ, MATCH(87,Translations!$A:$A,0), MATCH('Project Information'!$C$4,Translations!$D$1:$ZZ$1,0))</f>
        <v/>
      </c>
      <c r="BD613" s="38">
        <f>IF(OR(TRIM("")="Evet",TRIM("")="Yes"),1,0)</f>
        <v/>
      </c>
      <c r="BE613" s="38" t="n">
        <v>2</v>
      </c>
      <c r="BF613" s="38">
        <f>BD613*BE613</f>
        <v/>
      </c>
    </row>
    <row r="614" ht="15" customHeight="1" s="39">
      <c r="AZ614" s="38">
        <f>INDEX(Translations!$D:$ZZ, MATCH(316,Translations!$A:$A,0), MATCH('Project Information'!$C$4,Translations!$D$1:$ZZ$1,0))</f>
        <v/>
      </c>
      <c r="BA614" s="38">
        <f>INDEX(Translations!$D:$ZZ, MATCH(183,Translations!$A:$A,0), MATCH('Project Information'!$C$4,Translations!$D$1:$ZZ$1,0))</f>
        <v/>
      </c>
      <c r="BB614" s="38">
        <f>INDEX(Translations!$D:$ZZ, MATCH(341,Translations!$A:$A,0), MATCH('Project Information'!$C$4,Translations!$D$1:$ZZ$1,0))</f>
        <v/>
      </c>
      <c r="BC614" s="38">
        <f>INDEX(Translations!$D:$ZZ, MATCH(75,Translations!$A:$A,0), MATCH('Project Information'!$C$4,Translations!$D$1:$ZZ$1,0))</f>
        <v/>
      </c>
      <c r="BD614" s="38">
        <f>IF(OR(TRIM("")="Evet",TRIM("")="Yes"),1,0)</f>
        <v/>
      </c>
      <c r="BE614" s="38" t="n">
        <v>3</v>
      </c>
      <c r="BF614" s="38">
        <f>BD614*BE614</f>
        <v/>
      </c>
    </row>
    <row r="615" ht="15" customHeight="1" s="39">
      <c r="AZ615" s="38">
        <f>INDEX(Translations!$D:$ZZ, MATCH(316,Translations!$A:$A,0), MATCH('Project Information'!$C$4,Translations!$D$1:$ZZ$1,0))</f>
        <v/>
      </c>
      <c r="BA615" s="38">
        <f>INDEX(Translations!$D:$ZZ, MATCH(183,Translations!$A:$A,0), MATCH('Project Information'!$C$4,Translations!$D$1:$ZZ$1,0))</f>
        <v/>
      </c>
      <c r="BB615" s="38">
        <f>INDEX(Translations!$D:$ZZ, MATCH(341,Translations!$A:$A,0), MATCH('Project Information'!$C$4,Translations!$D$1:$ZZ$1,0))</f>
        <v/>
      </c>
      <c r="BC615" s="38">
        <f>INDEX(Translations!$D:$ZZ, MATCH(76,Translations!$A:$A,0), MATCH('Project Information'!$C$4,Translations!$D$1:$ZZ$1,0))</f>
        <v/>
      </c>
      <c r="BD615" s="38">
        <f>IF(OR(TRIM("")="Evet",TRIM("")="Yes"),1,0)</f>
        <v/>
      </c>
      <c r="BE615" s="38" t="n">
        <v>2</v>
      </c>
      <c r="BF615" s="38">
        <f>BD615*BE615</f>
        <v/>
      </c>
    </row>
    <row r="616" ht="15" customHeight="1" s="39">
      <c r="AZ616" s="38">
        <f>INDEX(Translations!$D:$ZZ, MATCH(316,Translations!$A:$A,0), MATCH('Project Information'!$C$4,Translations!$D$1:$ZZ$1,0))</f>
        <v/>
      </c>
      <c r="BA616" s="38">
        <f>INDEX(Translations!$D:$ZZ, MATCH(183,Translations!$A:$A,0), MATCH('Project Information'!$C$4,Translations!$D$1:$ZZ$1,0))</f>
        <v/>
      </c>
      <c r="BB616" s="38">
        <f>INDEX(Translations!$D:$ZZ, MATCH(341,Translations!$A:$A,0), MATCH('Project Information'!$C$4,Translations!$D$1:$ZZ$1,0))</f>
        <v/>
      </c>
      <c r="BC616" s="38">
        <f>INDEX(Translations!$D:$ZZ, MATCH(79,Translations!$A:$A,0), MATCH('Project Information'!$C$4,Translations!$D$1:$ZZ$1,0))</f>
        <v/>
      </c>
      <c r="BD616" s="38">
        <f>IF(OR(TRIM("")="Evet",TRIM("")="Yes"),1,0)</f>
        <v/>
      </c>
      <c r="BE616" s="38" t="n">
        <v>2</v>
      </c>
      <c r="BF616" s="38">
        <f>BD616*BE616</f>
        <v/>
      </c>
    </row>
    <row r="617" ht="15" customHeight="1" s="39">
      <c r="AZ617" s="38">
        <f>INDEX(Translations!$D:$ZZ, MATCH(316,Translations!$A:$A,0), MATCH('Project Information'!$C$4,Translations!$D$1:$ZZ$1,0))</f>
        <v/>
      </c>
      <c r="BA617" s="38">
        <f>INDEX(Translations!$D:$ZZ, MATCH(183,Translations!$A:$A,0), MATCH('Project Information'!$C$4,Translations!$D$1:$ZZ$1,0))</f>
        <v/>
      </c>
      <c r="BB617" s="38">
        <f>INDEX(Translations!$D:$ZZ, MATCH(341,Translations!$A:$A,0), MATCH('Project Information'!$C$4,Translations!$D$1:$ZZ$1,0))</f>
        <v/>
      </c>
      <c r="BC617" s="38">
        <f>INDEX(Translations!$D:$ZZ, MATCH(80,Translations!$A:$A,0), MATCH('Project Information'!$C$4,Translations!$D$1:$ZZ$1,0))</f>
        <v/>
      </c>
      <c r="BD617" s="38">
        <f>IF(OR(TRIM("")="Evet",TRIM("")="Yes"),1,0)</f>
        <v/>
      </c>
      <c r="BE617" s="38" t="n">
        <v>2</v>
      </c>
      <c r="BF617" s="38">
        <f>BD617*BE617</f>
        <v/>
      </c>
    </row>
    <row r="618" ht="15" customHeight="1" s="39">
      <c r="AZ618" s="38">
        <f>INDEX(Translations!$D:$ZZ, MATCH(316,Translations!$A:$A,0), MATCH('Project Information'!$C$4,Translations!$D$1:$ZZ$1,0))</f>
        <v/>
      </c>
      <c r="BA618" s="38">
        <f>INDEX(Translations!$D:$ZZ, MATCH(183,Translations!$A:$A,0), MATCH('Project Information'!$C$4,Translations!$D$1:$ZZ$1,0))</f>
        <v/>
      </c>
      <c r="BB618" s="38">
        <f>INDEX(Translations!$D:$ZZ, MATCH(341,Translations!$A:$A,0), MATCH('Project Information'!$C$4,Translations!$D$1:$ZZ$1,0))</f>
        <v/>
      </c>
      <c r="BC618" s="38">
        <f>INDEX(Translations!$D:$ZZ, MATCH(83,Translations!$A:$A,0), MATCH('Project Information'!$C$4,Translations!$D$1:$ZZ$1,0))</f>
        <v/>
      </c>
      <c r="BD618" s="38">
        <f>IF(OR(TRIM("")="Evet",TRIM("")="Yes"),1,0)</f>
        <v/>
      </c>
      <c r="BE618" s="38" t="n">
        <v>2</v>
      </c>
      <c r="BF618" s="38">
        <f>BD618*BE618</f>
        <v/>
      </c>
    </row>
    <row r="619" ht="15" customHeight="1" s="39">
      <c r="AZ619" s="38">
        <f>INDEX(Translations!$D:$ZZ, MATCH(316,Translations!$A:$A,0), MATCH('Project Information'!$C$4,Translations!$D$1:$ZZ$1,0))</f>
        <v/>
      </c>
      <c r="BA619" s="38">
        <f>INDEX(Translations!$D:$ZZ, MATCH(183,Translations!$A:$A,0), MATCH('Project Information'!$C$4,Translations!$D$1:$ZZ$1,0))</f>
        <v/>
      </c>
      <c r="BB619" s="38">
        <f>INDEX(Translations!$D:$ZZ, MATCH(341,Translations!$A:$A,0), MATCH('Project Information'!$C$4,Translations!$D$1:$ZZ$1,0))</f>
        <v/>
      </c>
      <c r="BC619" s="38">
        <f>INDEX(Translations!$D:$ZZ, MATCH(84,Translations!$A:$A,0), MATCH('Project Information'!$C$4,Translations!$D$1:$ZZ$1,0))</f>
        <v/>
      </c>
      <c r="BD619" s="38">
        <f>IF(OR(TRIM("")="Evet",TRIM("")="Yes"),1,0)</f>
        <v/>
      </c>
      <c r="BE619" s="38" t="n">
        <v>2</v>
      </c>
      <c r="BF619" s="38">
        <f>BD619*BE619</f>
        <v/>
      </c>
    </row>
    <row r="620" ht="15" customHeight="1" s="39">
      <c r="AZ620" s="38">
        <f>INDEX(Translations!$D:$ZZ, MATCH(316,Translations!$A:$A,0), MATCH('Project Information'!$C$4,Translations!$D$1:$ZZ$1,0))</f>
        <v/>
      </c>
      <c r="BA620" s="38">
        <f>INDEX(Translations!$D:$ZZ, MATCH(183,Translations!$A:$A,0), MATCH('Project Information'!$C$4,Translations!$D$1:$ZZ$1,0))</f>
        <v/>
      </c>
      <c r="BB620" s="38">
        <f>INDEX(Translations!$D:$ZZ, MATCH(341,Translations!$A:$A,0), MATCH('Project Information'!$C$4,Translations!$D$1:$ZZ$1,0))</f>
        <v/>
      </c>
      <c r="BC620" s="38">
        <f>INDEX(Translations!$D:$ZZ, MATCH(85,Translations!$A:$A,0), MATCH('Project Information'!$C$4,Translations!$D$1:$ZZ$1,0))</f>
        <v/>
      </c>
      <c r="BD620" s="38">
        <f>IF(OR(TRIM("")="Evet",TRIM("")="Yes"),1,0)</f>
        <v/>
      </c>
      <c r="BE620" s="38" t="n">
        <v>2</v>
      </c>
      <c r="BF620" s="38">
        <f>BD620*BE620</f>
        <v/>
      </c>
    </row>
    <row r="621" ht="15" customHeight="1" s="39">
      <c r="AZ621" s="38">
        <f>INDEX(Translations!$D:$ZZ, MATCH(316,Translations!$A:$A,0), MATCH('Project Information'!$C$4,Translations!$D$1:$ZZ$1,0))</f>
        <v/>
      </c>
      <c r="BA621" s="38">
        <f>INDEX(Translations!$D:$ZZ, MATCH(183,Translations!$A:$A,0), MATCH('Project Information'!$C$4,Translations!$D$1:$ZZ$1,0))</f>
        <v/>
      </c>
      <c r="BB621" s="38">
        <f>INDEX(Translations!$D:$ZZ, MATCH(341,Translations!$A:$A,0), MATCH('Project Information'!$C$4,Translations!$D$1:$ZZ$1,0))</f>
        <v/>
      </c>
      <c r="BC621" s="38">
        <f>INDEX(Translations!$D:$ZZ, MATCH(87,Translations!$A:$A,0), MATCH('Project Information'!$C$4,Translations!$D$1:$ZZ$1,0))</f>
        <v/>
      </c>
      <c r="BD621" s="38">
        <f>IF(OR(TRIM("")="Evet",TRIM("")="Yes"),1,0)</f>
        <v/>
      </c>
      <c r="BE621" s="38" t="n">
        <v>2</v>
      </c>
      <c r="BF621" s="38">
        <f>BD621*BE621</f>
        <v/>
      </c>
    </row>
    <row r="622" ht="15" customHeight="1" s="39">
      <c r="AZ622" s="38">
        <f>INDEX(Translations!$D:$ZZ, MATCH(316,Translations!$A:$A,0), MATCH('Project Information'!$C$4,Translations!$D$1:$ZZ$1,0))</f>
        <v/>
      </c>
      <c r="BA622" s="38">
        <f>INDEX(Translations!$D:$ZZ, MATCH(183,Translations!$A:$A,0), MATCH('Project Information'!$C$4,Translations!$D$1:$ZZ$1,0))</f>
        <v/>
      </c>
      <c r="BB622" s="38">
        <f>INDEX(Translations!$D:$ZZ, MATCH(342,Translations!$A:$A,0), MATCH('Project Information'!$C$4,Translations!$D$1:$ZZ$1,0))</f>
        <v/>
      </c>
      <c r="BC622" s="38">
        <f>INDEX(Translations!$D:$ZZ, MATCH(75,Translations!$A:$A,0), MATCH('Project Information'!$C$4,Translations!$D$1:$ZZ$1,0))</f>
        <v/>
      </c>
      <c r="BD622" s="38">
        <f>IF(OR(TRIM("")="Evet",TRIM("")="Yes"),1,0)</f>
        <v/>
      </c>
      <c r="BE622" s="38" t="n">
        <v>3</v>
      </c>
      <c r="BF622" s="38">
        <f>BD622*BE622</f>
        <v/>
      </c>
    </row>
    <row r="623" ht="15" customHeight="1" s="39">
      <c r="AZ623" s="38">
        <f>INDEX(Translations!$D:$ZZ, MATCH(316,Translations!$A:$A,0), MATCH('Project Information'!$C$4,Translations!$D$1:$ZZ$1,0))</f>
        <v/>
      </c>
      <c r="BA623" s="38">
        <f>INDEX(Translations!$D:$ZZ, MATCH(183,Translations!$A:$A,0), MATCH('Project Information'!$C$4,Translations!$D$1:$ZZ$1,0))</f>
        <v/>
      </c>
      <c r="BB623" s="38">
        <f>INDEX(Translations!$D:$ZZ, MATCH(342,Translations!$A:$A,0), MATCH('Project Information'!$C$4,Translations!$D$1:$ZZ$1,0))</f>
        <v/>
      </c>
      <c r="BC623" s="38">
        <f>INDEX(Translations!$D:$ZZ, MATCH(76,Translations!$A:$A,0), MATCH('Project Information'!$C$4,Translations!$D$1:$ZZ$1,0))</f>
        <v/>
      </c>
      <c r="BD623" s="38">
        <f>IF(OR(TRIM("")="Evet",TRIM("")="Yes"),1,0)</f>
        <v/>
      </c>
      <c r="BE623" s="38" t="n">
        <v>2</v>
      </c>
      <c r="BF623" s="38">
        <f>BD623*BE623</f>
        <v/>
      </c>
    </row>
    <row r="624" ht="15" customHeight="1" s="39">
      <c r="AZ624" s="38">
        <f>INDEX(Translations!$D:$ZZ, MATCH(316,Translations!$A:$A,0), MATCH('Project Information'!$C$4,Translations!$D$1:$ZZ$1,0))</f>
        <v/>
      </c>
      <c r="BA624" s="38">
        <f>INDEX(Translations!$D:$ZZ, MATCH(183,Translations!$A:$A,0), MATCH('Project Information'!$C$4,Translations!$D$1:$ZZ$1,0))</f>
        <v/>
      </c>
      <c r="BB624" s="38">
        <f>INDEX(Translations!$D:$ZZ, MATCH(342,Translations!$A:$A,0), MATCH('Project Information'!$C$4,Translations!$D$1:$ZZ$1,0))</f>
        <v/>
      </c>
      <c r="BC624" s="38">
        <f>INDEX(Translations!$D:$ZZ, MATCH(79,Translations!$A:$A,0), MATCH('Project Information'!$C$4,Translations!$D$1:$ZZ$1,0))</f>
        <v/>
      </c>
      <c r="BD624" s="38">
        <f>IF(OR(TRIM("")="Evet",TRIM("")="Yes"),1,0)</f>
        <v/>
      </c>
      <c r="BE624" s="38" t="n">
        <v>2</v>
      </c>
      <c r="BF624" s="38">
        <f>BD624*BE624</f>
        <v/>
      </c>
    </row>
    <row r="625" ht="15" customHeight="1" s="39">
      <c r="AZ625" s="38">
        <f>INDEX(Translations!$D:$ZZ, MATCH(316,Translations!$A:$A,0), MATCH('Project Information'!$C$4,Translations!$D$1:$ZZ$1,0))</f>
        <v/>
      </c>
      <c r="BA625" s="38">
        <f>INDEX(Translations!$D:$ZZ, MATCH(183,Translations!$A:$A,0), MATCH('Project Information'!$C$4,Translations!$D$1:$ZZ$1,0))</f>
        <v/>
      </c>
      <c r="BB625" s="38">
        <f>INDEX(Translations!$D:$ZZ, MATCH(342,Translations!$A:$A,0), MATCH('Project Information'!$C$4,Translations!$D$1:$ZZ$1,0))</f>
        <v/>
      </c>
      <c r="BC625" s="38">
        <f>INDEX(Translations!$D:$ZZ, MATCH(80,Translations!$A:$A,0), MATCH('Project Information'!$C$4,Translations!$D$1:$ZZ$1,0))</f>
        <v/>
      </c>
      <c r="BD625" s="38">
        <f>IF(OR(TRIM("")="Evet",TRIM("")="Yes"),1,0)</f>
        <v/>
      </c>
      <c r="BE625" s="38" t="n">
        <v>2</v>
      </c>
      <c r="BF625" s="38">
        <f>BD625*BE625</f>
        <v/>
      </c>
    </row>
    <row r="626" ht="15" customHeight="1" s="39">
      <c r="AZ626" s="38">
        <f>INDEX(Translations!$D:$ZZ, MATCH(316,Translations!$A:$A,0), MATCH('Project Information'!$C$4,Translations!$D$1:$ZZ$1,0))</f>
        <v/>
      </c>
      <c r="BA626" s="38">
        <f>INDEX(Translations!$D:$ZZ, MATCH(183,Translations!$A:$A,0), MATCH('Project Information'!$C$4,Translations!$D$1:$ZZ$1,0))</f>
        <v/>
      </c>
      <c r="BB626" s="38">
        <f>INDEX(Translations!$D:$ZZ, MATCH(342,Translations!$A:$A,0), MATCH('Project Information'!$C$4,Translations!$D$1:$ZZ$1,0))</f>
        <v/>
      </c>
      <c r="BC626" s="38">
        <f>INDEX(Translations!$D:$ZZ, MATCH(83,Translations!$A:$A,0), MATCH('Project Information'!$C$4,Translations!$D$1:$ZZ$1,0))</f>
        <v/>
      </c>
      <c r="BD626" s="38">
        <f>IF(OR(TRIM("")="Evet",TRIM("")="Yes"),1,0)</f>
        <v/>
      </c>
      <c r="BE626" s="38" t="n">
        <v>2</v>
      </c>
      <c r="BF626" s="38">
        <f>BD626*BE626</f>
        <v/>
      </c>
    </row>
    <row r="627" ht="15" customHeight="1" s="39">
      <c r="AZ627" s="38">
        <f>INDEX(Translations!$D:$ZZ, MATCH(316,Translations!$A:$A,0), MATCH('Project Information'!$C$4,Translations!$D$1:$ZZ$1,0))</f>
        <v/>
      </c>
      <c r="BA627" s="38">
        <f>INDEX(Translations!$D:$ZZ, MATCH(183,Translations!$A:$A,0), MATCH('Project Information'!$C$4,Translations!$D$1:$ZZ$1,0))</f>
        <v/>
      </c>
      <c r="BB627" s="38">
        <f>INDEX(Translations!$D:$ZZ, MATCH(342,Translations!$A:$A,0), MATCH('Project Information'!$C$4,Translations!$D$1:$ZZ$1,0))</f>
        <v/>
      </c>
      <c r="BC627" s="38">
        <f>INDEX(Translations!$D:$ZZ, MATCH(84,Translations!$A:$A,0), MATCH('Project Information'!$C$4,Translations!$D$1:$ZZ$1,0))</f>
        <v/>
      </c>
      <c r="BD627" s="38">
        <f>IF(OR(TRIM("")="Evet",TRIM("")="Yes"),1,0)</f>
        <v/>
      </c>
      <c r="BE627" s="38" t="n">
        <v>2</v>
      </c>
      <c r="BF627" s="38">
        <f>BD627*BE627</f>
        <v/>
      </c>
    </row>
    <row r="628" ht="15" customHeight="1" s="39">
      <c r="AZ628" s="38">
        <f>INDEX(Translations!$D:$ZZ, MATCH(316,Translations!$A:$A,0), MATCH('Project Information'!$C$4,Translations!$D$1:$ZZ$1,0))</f>
        <v/>
      </c>
      <c r="BA628" s="38">
        <f>INDEX(Translations!$D:$ZZ, MATCH(183,Translations!$A:$A,0), MATCH('Project Information'!$C$4,Translations!$D$1:$ZZ$1,0))</f>
        <v/>
      </c>
      <c r="BB628" s="38">
        <f>INDEX(Translations!$D:$ZZ, MATCH(342,Translations!$A:$A,0), MATCH('Project Information'!$C$4,Translations!$D$1:$ZZ$1,0))</f>
        <v/>
      </c>
      <c r="BC628" s="38">
        <f>INDEX(Translations!$D:$ZZ, MATCH(85,Translations!$A:$A,0), MATCH('Project Information'!$C$4,Translations!$D$1:$ZZ$1,0))</f>
        <v/>
      </c>
      <c r="BD628" s="38">
        <f>IF(OR(TRIM("")="Evet",TRIM("")="Yes"),1,0)</f>
        <v/>
      </c>
      <c r="BE628" s="38" t="n">
        <v>2</v>
      </c>
      <c r="BF628" s="38">
        <f>BD628*BE628</f>
        <v/>
      </c>
    </row>
    <row r="629" ht="15" customHeight="1" s="39">
      <c r="AZ629" s="38">
        <f>INDEX(Translations!$D:$ZZ, MATCH(316,Translations!$A:$A,0), MATCH('Project Information'!$C$4,Translations!$D$1:$ZZ$1,0))</f>
        <v/>
      </c>
      <c r="BA629" s="38">
        <f>INDEX(Translations!$D:$ZZ, MATCH(183,Translations!$A:$A,0), MATCH('Project Information'!$C$4,Translations!$D$1:$ZZ$1,0))</f>
        <v/>
      </c>
      <c r="BB629" s="38">
        <f>INDEX(Translations!$D:$ZZ, MATCH(342,Translations!$A:$A,0), MATCH('Project Information'!$C$4,Translations!$D$1:$ZZ$1,0))</f>
        <v/>
      </c>
      <c r="BC629" s="38">
        <f>INDEX(Translations!$D:$ZZ, MATCH(87,Translations!$A:$A,0), MATCH('Project Information'!$C$4,Translations!$D$1:$ZZ$1,0))</f>
        <v/>
      </c>
      <c r="BD629" s="38">
        <f>IF(OR(TRIM("")="Evet",TRIM("")="Yes"),1,0)</f>
        <v/>
      </c>
      <c r="BE629" s="38" t="n">
        <v>2</v>
      </c>
      <c r="BF629" s="38">
        <f>BD629*BE629</f>
        <v/>
      </c>
    </row>
    <row r="630" ht="15" customHeight="1" s="39">
      <c r="AZ630" s="38">
        <f>INDEX(Translations!$D:$ZZ, MATCH(316,Translations!$A:$A,0), MATCH('Project Information'!$C$4,Translations!$D$1:$ZZ$1,0))</f>
        <v/>
      </c>
      <c r="BA630" s="38">
        <f>INDEX(Translations!$D:$ZZ, MATCH(183,Translations!$A:$A,0), MATCH('Project Information'!$C$4,Translations!$D$1:$ZZ$1,0))</f>
        <v/>
      </c>
      <c r="BB630" s="38">
        <f>INDEX(Translations!$D:$ZZ, MATCH(343,Translations!$A:$A,0), MATCH('Project Information'!$C$4,Translations!$D$1:$ZZ$1,0))</f>
        <v/>
      </c>
      <c r="BC630" s="38">
        <f>INDEX(Translations!$D:$ZZ, MATCH(75,Translations!$A:$A,0), MATCH('Project Information'!$C$4,Translations!$D$1:$ZZ$1,0))</f>
        <v/>
      </c>
      <c r="BD630" s="38">
        <f>IF(OR(TRIM("")="Evet",TRIM("")="Yes"),1,0)</f>
        <v/>
      </c>
      <c r="BE630" s="38" t="n">
        <v>3</v>
      </c>
      <c r="BF630" s="38">
        <f>BD630*BE630</f>
        <v/>
      </c>
    </row>
    <row r="631" ht="15" customHeight="1" s="39">
      <c r="AZ631" s="38">
        <f>INDEX(Translations!$D:$ZZ, MATCH(316,Translations!$A:$A,0), MATCH('Project Information'!$C$4,Translations!$D$1:$ZZ$1,0))</f>
        <v/>
      </c>
      <c r="BA631" s="38">
        <f>INDEX(Translations!$D:$ZZ, MATCH(183,Translations!$A:$A,0), MATCH('Project Information'!$C$4,Translations!$D$1:$ZZ$1,0))</f>
        <v/>
      </c>
      <c r="BB631" s="38">
        <f>INDEX(Translations!$D:$ZZ, MATCH(343,Translations!$A:$A,0), MATCH('Project Information'!$C$4,Translations!$D$1:$ZZ$1,0))</f>
        <v/>
      </c>
      <c r="BC631" s="38">
        <f>INDEX(Translations!$D:$ZZ, MATCH(76,Translations!$A:$A,0), MATCH('Project Information'!$C$4,Translations!$D$1:$ZZ$1,0))</f>
        <v/>
      </c>
      <c r="BD631" s="38">
        <f>IF(OR(TRIM("")="Evet",TRIM("")="Yes"),1,0)</f>
        <v/>
      </c>
      <c r="BE631" s="38" t="n">
        <v>2</v>
      </c>
      <c r="BF631" s="38">
        <f>BD631*BE631</f>
        <v/>
      </c>
    </row>
    <row r="632" ht="15" customHeight="1" s="39">
      <c r="AZ632" s="38">
        <f>INDEX(Translations!$D:$ZZ, MATCH(316,Translations!$A:$A,0), MATCH('Project Information'!$C$4,Translations!$D$1:$ZZ$1,0))</f>
        <v/>
      </c>
      <c r="BA632" s="38">
        <f>INDEX(Translations!$D:$ZZ, MATCH(183,Translations!$A:$A,0), MATCH('Project Information'!$C$4,Translations!$D$1:$ZZ$1,0))</f>
        <v/>
      </c>
      <c r="BB632" s="38">
        <f>INDEX(Translations!$D:$ZZ, MATCH(343,Translations!$A:$A,0), MATCH('Project Information'!$C$4,Translations!$D$1:$ZZ$1,0))</f>
        <v/>
      </c>
      <c r="BC632" s="38">
        <f>INDEX(Translations!$D:$ZZ, MATCH(79,Translations!$A:$A,0), MATCH('Project Information'!$C$4,Translations!$D$1:$ZZ$1,0))</f>
        <v/>
      </c>
      <c r="BD632" s="38">
        <f>IF(OR(TRIM("")="Evet",TRIM("")="Yes"),1,0)</f>
        <v/>
      </c>
      <c r="BE632" s="38" t="n">
        <v>2</v>
      </c>
      <c r="BF632" s="38">
        <f>BD632*BE632</f>
        <v/>
      </c>
    </row>
    <row r="633" ht="15" customHeight="1" s="39">
      <c r="AZ633" s="38">
        <f>INDEX(Translations!$D:$ZZ, MATCH(316,Translations!$A:$A,0), MATCH('Project Information'!$C$4,Translations!$D$1:$ZZ$1,0))</f>
        <v/>
      </c>
      <c r="BA633" s="38">
        <f>INDEX(Translations!$D:$ZZ, MATCH(183,Translations!$A:$A,0), MATCH('Project Information'!$C$4,Translations!$D$1:$ZZ$1,0))</f>
        <v/>
      </c>
      <c r="BB633" s="38">
        <f>INDEX(Translations!$D:$ZZ, MATCH(343,Translations!$A:$A,0), MATCH('Project Information'!$C$4,Translations!$D$1:$ZZ$1,0))</f>
        <v/>
      </c>
      <c r="BC633" s="38">
        <f>INDEX(Translations!$D:$ZZ, MATCH(80,Translations!$A:$A,0), MATCH('Project Information'!$C$4,Translations!$D$1:$ZZ$1,0))</f>
        <v/>
      </c>
      <c r="BD633" s="38">
        <f>IF(OR(TRIM("")="Evet",TRIM("")="Yes"),1,0)</f>
        <v/>
      </c>
      <c r="BE633" s="38" t="n">
        <v>2</v>
      </c>
      <c r="BF633" s="38">
        <f>BD633*BE633</f>
        <v/>
      </c>
    </row>
    <row r="634" ht="15" customHeight="1" s="39">
      <c r="AZ634" s="38">
        <f>INDEX(Translations!$D:$ZZ, MATCH(316,Translations!$A:$A,0), MATCH('Project Information'!$C$4,Translations!$D$1:$ZZ$1,0))</f>
        <v/>
      </c>
      <c r="BA634" s="38">
        <f>INDEX(Translations!$D:$ZZ, MATCH(183,Translations!$A:$A,0), MATCH('Project Information'!$C$4,Translations!$D$1:$ZZ$1,0))</f>
        <v/>
      </c>
      <c r="BB634" s="38">
        <f>INDEX(Translations!$D:$ZZ, MATCH(343,Translations!$A:$A,0), MATCH('Project Information'!$C$4,Translations!$D$1:$ZZ$1,0))</f>
        <v/>
      </c>
      <c r="BC634" s="38">
        <f>INDEX(Translations!$D:$ZZ, MATCH(83,Translations!$A:$A,0), MATCH('Project Information'!$C$4,Translations!$D$1:$ZZ$1,0))</f>
        <v/>
      </c>
      <c r="BD634" s="38">
        <f>IF(OR(TRIM("")="Evet",TRIM("")="Yes"),1,0)</f>
        <v/>
      </c>
      <c r="BE634" s="38" t="n">
        <v>2</v>
      </c>
      <c r="BF634" s="38">
        <f>BD634*BE634</f>
        <v/>
      </c>
    </row>
    <row r="635" ht="15" customHeight="1" s="39">
      <c r="AZ635" s="38">
        <f>INDEX(Translations!$D:$ZZ, MATCH(316,Translations!$A:$A,0), MATCH('Project Information'!$C$4,Translations!$D$1:$ZZ$1,0))</f>
        <v/>
      </c>
      <c r="BA635" s="38">
        <f>INDEX(Translations!$D:$ZZ, MATCH(183,Translations!$A:$A,0), MATCH('Project Information'!$C$4,Translations!$D$1:$ZZ$1,0))</f>
        <v/>
      </c>
      <c r="BB635" s="38">
        <f>INDEX(Translations!$D:$ZZ, MATCH(343,Translations!$A:$A,0), MATCH('Project Information'!$C$4,Translations!$D$1:$ZZ$1,0))</f>
        <v/>
      </c>
      <c r="BC635" s="38">
        <f>INDEX(Translations!$D:$ZZ, MATCH(84,Translations!$A:$A,0), MATCH('Project Information'!$C$4,Translations!$D$1:$ZZ$1,0))</f>
        <v/>
      </c>
      <c r="BD635" s="38">
        <f>IF(OR(TRIM("")="Evet",TRIM("")="Yes"),1,0)</f>
        <v/>
      </c>
      <c r="BE635" s="38" t="n">
        <v>2</v>
      </c>
      <c r="BF635" s="38">
        <f>BD635*BE635</f>
        <v/>
      </c>
    </row>
    <row r="636" ht="15" customHeight="1" s="39">
      <c r="AZ636" s="38">
        <f>INDEX(Translations!$D:$ZZ, MATCH(316,Translations!$A:$A,0), MATCH('Project Information'!$C$4,Translations!$D$1:$ZZ$1,0))</f>
        <v/>
      </c>
      <c r="BA636" s="38">
        <f>INDEX(Translations!$D:$ZZ, MATCH(183,Translations!$A:$A,0), MATCH('Project Information'!$C$4,Translations!$D$1:$ZZ$1,0))</f>
        <v/>
      </c>
      <c r="BB636" s="38">
        <f>INDEX(Translations!$D:$ZZ, MATCH(343,Translations!$A:$A,0), MATCH('Project Information'!$C$4,Translations!$D$1:$ZZ$1,0))</f>
        <v/>
      </c>
      <c r="BC636" s="38">
        <f>INDEX(Translations!$D:$ZZ, MATCH(85,Translations!$A:$A,0), MATCH('Project Information'!$C$4,Translations!$D$1:$ZZ$1,0))</f>
        <v/>
      </c>
      <c r="BD636" s="38">
        <f>IF(OR(TRIM("")="Evet",TRIM("")="Yes"),1,0)</f>
        <v/>
      </c>
      <c r="BE636" s="38" t="n">
        <v>2</v>
      </c>
      <c r="BF636" s="38">
        <f>BD636*BE636</f>
        <v/>
      </c>
    </row>
    <row r="637" ht="15" customHeight="1" s="39">
      <c r="AZ637" s="38">
        <f>INDEX(Translations!$D:$ZZ, MATCH(316,Translations!$A:$A,0), MATCH('Project Information'!$C$4,Translations!$D$1:$ZZ$1,0))</f>
        <v/>
      </c>
      <c r="BA637" s="38">
        <f>INDEX(Translations!$D:$ZZ, MATCH(183,Translations!$A:$A,0), MATCH('Project Information'!$C$4,Translations!$D$1:$ZZ$1,0))</f>
        <v/>
      </c>
      <c r="BB637" s="38">
        <f>INDEX(Translations!$D:$ZZ, MATCH(343,Translations!$A:$A,0), MATCH('Project Information'!$C$4,Translations!$D$1:$ZZ$1,0))</f>
        <v/>
      </c>
      <c r="BC637" s="38">
        <f>INDEX(Translations!$D:$ZZ, MATCH(87,Translations!$A:$A,0), MATCH('Project Information'!$C$4,Translations!$D$1:$ZZ$1,0))</f>
        <v/>
      </c>
      <c r="BD637" s="38">
        <f>IF(OR(TRIM("")="Evet",TRIM("")="Yes"),1,0)</f>
        <v/>
      </c>
      <c r="BE637" s="38" t="n">
        <v>2</v>
      </c>
      <c r="BF637" s="38">
        <f>BD637*BE637</f>
        <v/>
      </c>
    </row>
    <row r="638" ht="15" customHeight="1" s="39">
      <c r="AZ638" s="38">
        <f>INDEX(Translations!$D:$ZZ, MATCH(316,Translations!$A:$A,0), MATCH('Project Information'!$C$4,Translations!$D$1:$ZZ$1,0))</f>
        <v/>
      </c>
      <c r="BA638" s="38">
        <f>INDEX(Translations!$D:$ZZ, MATCH(183,Translations!$A:$A,0), MATCH('Project Information'!$C$4,Translations!$D$1:$ZZ$1,0))</f>
        <v/>
      </c>
      <c r="BB638" s="38">
        <f>INDEX(Translations!$D:$ZZ, MATCH(344,Translations!$A:$A,0), MATCH('Project Information'!$C$4,Translations!$D$1:$ZZ$1,0))</f>
        <v/>
      </c>
      <c r="BC638" s="38">
        <f>INDEX(Translations!$D:$ZZ, MATCH(75,Translations!$A:$A,0), MATCH('Project Information'!$C$4,Translations!$D$1:$ZZ$1,0))</f>
        <v/>
      </c>
      <c r="BD638" s="38">
        <f>IF(OR(TRIM("")="Evet",TRIM("")="Yes"),1,0)</f>
        <v/>
      </c>
      <c r="BE638" s="38" t="n">
        <v>3</v>
      </c>
      <c r="BF638" s="38">
        <f>BD638*BE638</f>
        <v/>
      </c>
    </row>
    <row r="639" ht="15" customHeight="1" s="39">
      <c r="AZ639" s="38">
        <f>INDEX(Translations!$D:$ZZ, MATCH(316,Translations!$A:$A,0), MATCH('Project Information'!$C$4,Translations!$D$1:$ZZ$1,0))</f>
        <v/>
      </c>
      <c r="BA639" s="38">
        <f>INDEX(Translations!$D:$ZZ, MATCH(183,Translations!$A:$A,0), MATCH('Project Information'!$C$4,Translations!$D$1:$ZZ$1,0))</f>
        <v/>
      </c>
      <c r="BB639" s="38">
        <f>INDEX(Translations!$D:$ZZ, MATCH(344,Translations!$A:$A,0), MATCH('Project Information'!$C$4,Translations!$D$1:$ZZ$1,0))</f>
        <v/>
      </c>
      <c r="BC639" s="38">
        <f>INDEX(Translations!$D:$ZZ, MATCH(76,Translations!$A:$A,0), MATCH('Project Information'!$C$4,Translations!$D$1:$ZZ$1,0))</f>
        <v/>
      </c>
      <c r="BD639" s="38">
        <f>IF(OR(TRIM("")="Evet",TRIM("")="Yes"),1,0)</f>
        <v/>
      </c>
      <c r="BE639" s="38" t="n">
        <v>2</v>
      </c>
      <c r="BF639" s="38">
        <f>BD639*BE639</f>
        <v/>
      </c>
    </row>
    <row r="640" ht="15" customHeight="1" s="39">
      <c r="AZ640" s="38">
        <f>INDEX(Translations!$D:$ZZ, MATCH(316,Translations!$A:$A,0), MATCH('Project Information'!$C$4,Translations!$D$1:$ZZ$1,0))</f>
        <v/>
      </c>
      <c r="BA640" s="38">
        <f>INDEX(Translations!$D:$ZZ, MATCH(183,Translations!$A:$A,0), MATCH('Project Information'!$C$4,Translations!$D$1:$ZZ$1,0))</f>
        <v/>
      </c>
      <c r="BB640" s="38">
        <f>INDEX(Translations!$D:$ZZ, MATCH(344,Translations!$A:$A,0), MATCH('Project Information'!$C$4,Translations!$D$1:$ZZ$1,0))</f>
        <v/>
      </c>
      <c r="BC640" s="38">
        <f>INDEX(Translations!$D:$ZZ, MATCH(79,Translations!$A:$A,0), MATCH('Project Information'!$C$4,Translations!$D$1:$ZZ$1,0))</f>
        <v/>
      </c>
      <c r="BD640" s="38">
        <f>IF(OR(TRIM("")="Evet",TRIM("")="Yes"),1,0)</f>
        <v/>
      </c>
      <c r="BE640" s="38" t="n">
        <v>2</v>
      </c>
      <c r="BF640" s="38">
        <f>BD640*BE640</f>
        <v/>
      </c>
    </row>
    <row r="641" ht="15" customHeight="1" s="39">
      <c r="AZ641" s="38">
        <f>INDEX(Translations!$D:$ZZ, MATCH(316,Translations!$A:$A,0), MATCH('Project Information'!$C$4,Translations!$D$1:$ZZ$1,0))</f>
        <v/>
      </c>
      <c r="BA641" s="38">
        <f>INDEX(Translations!$D:$ZZ, MATCH(183,Translations!$A:$A,0), MATCH('Project Information'!$C$4,Translations!$D$1:$ZZ$1,0))</f>
        <v/>
      </c>
      <c r="BB641" s="38">
        <f>INDEX(Translations!$D:$ZZ, MATCH(344,Translations!$A:$A,0), MATCH('Project Information'!$C$4,Translations!$D$1:$ZZ$1,0))</f>
        <v/>
      </c>
      <c r="BC641" s="38">
        <f>INDEX(Translations!$D:$ZZ, MATCH(80,Translations!$A:$A,0), MATCH('Project Information'!$C$4,Translations!$D$1:$ZZ$1,0))</f>
        <v/>
      </c>
      <c r="BD641" s="38">
        <f>IF(OR(TRIM("")="Evet",TRIM("")="Yes"),1,0)</f>
        <v/>
      </c>
      <c r="BE641" s="38" t="n">
        <v>2</v>
      </c>
      <c r="BF641" s="38">
        <f>BD641*BE641</f>
        <v/>
      </c>
    </row>
    <row r="642" ht="15" customHeight="1" s="39">
      <c r="AZ642" s="38">
        <f>INDEX(Translations!$D:$ZZ, MATCH(316,Translations!$A:$A,0), MATCH('Project Information'!$C$4,Translations!$D$1:$ZZ$1,0))</f>
        <v/>
      </c>
      <c r="BA642" s="38">
        <f>INDEX(Translations!$D:$ZZ, MATCH(183,Translations!$A:$A,0), MATCH('Project Information'!$C$4,Translations!$D$1:$ZZ$1,0))</f>
        <v/>
      </c>
      <c r="BB642" s="38">
        <f>INDEX(Translations!$D:$ZZ, MATCH(344,Translations!$A:$A,0), MATCH('Project Information'!$C$4,Translations!$D$1:$ZZ$1,0))</f>
        <v/>
      </c>
      <c r="BC642" s="38">
        <f>INDEX(Translations!$D:$ZZ, MATCH(83,Translations!$A:$A,0), MATCH('Project Information'!$C$4,Translations!$D$1:$ZZ$1,0))</f>
        <v/>
      </c>
      <c r="BD642" s="38">
        <f>IF(OR(TRIM("")="Evet",TRIM("")="Yes"),1,0)</f>
        <v/>
      </c>
      <c r="BE642" s="38" t="n">
        <v>2</v>
      </c>
      <c r="BF642" s="38">
        <f>BD642*BE642</f>
        <v/>
      </c>
    </row>
    <row r="643" ht="15" customHeight="1" s="39">
      <c r="AZ643" s="38">
        <f>INDEX(Translations!$D:$ZZ, MATCH(316,Translations!$A:$A,0), MATCH('Project Information'!$C$4,Translations!$D$1:$ZZ$1,0))</f>
        <v/>
      </c>
      <c r="BA643" s="38">
        <f>INDEX(Translations!$D:$ZZ, MATCH(183,Translations!$A:$A,0), MATCH('Project Information'!$C$4,Translations!$D$1:$ZZ$1,0))</f>
        <v/>
      </c>
      <c r="BB643" s="38">
        <f>INDEX(Translations!$D:$ZZ, MATCH(344,Translations!$A:$A,0), MATCH('Project Information'!$C$4,Translations!$D$1:$ZZ$1,0))</f>
        <v/>
      </c>
      <c r="BC643" s="38">
        <f>INDEX(Translations!$D:$ZZ, MATCH(84,Translations!$A:$A,0), MATCH('Project Information'!$C$4,Translations!$D$1:$ZZ$1,0))</f>
        <v/>
      </c>
      <c r="BD643" s="38">
        <f>IF(OR(TRIM("")="Evet",TRIM("")="Yes"),1,0)</f>
        <v/>
      </c>
      <c r="BE643" s="38" t="n">
        <v>2</v>
      </c>
      <c r="BF643" s="38">
        <f>BD643*BE643</f>
        <v/>
      </c>
    </row>
    <row r="644" ht="15" customHeight="1" s="39">
      <c r="AZ644" s="38">
        <f>INDEX(Translations!$D:$ZZ, MATCH(316,Translations!$A:$A,0), MATCH('Project Information'!$C$4,Translations!$D$1:$ZZ$1,0))</f>
        <v/>
      </c>
      <c r="BA644" s="38">
        <f>INDEX(Translations!$D:$ZZ, MATCH(183,Translations!$A:$A,0), MATCH('Project Information'!$C$4,Translations!$D$1:$ZZ$1,0))</f>
        <v/>
      </c>
      <c r="BB644" s="38">
        <f>INDEX(Translations!$D:$ZZ, MATCH(344,Translations!$A:$A,0), MATCH('Project Information'!$C$4,Translations!$D$1:$ZZ$1,0))</f>
        <v/>
      </c>
      <c r="BC644" s="38">
        <f>INDEX(Translations!$D:$ZZ, MATCH(85,Translations!$A:$A,0), MATCH('Project Information'!$C$4,Translations!$D$1:$ZZ$1,0))</f>
        <v/>
      </c>
      <c r="BD644" s="38">
        <f>IF(OR(TRIM("")="Evet",TRIM("")="Yes"),1,0)</f>
        <v/>
      </c>
      <c r="BE644" s="38" t="n">
        <v>2</v>
      </c>
      <c r="BF644" s="38">
        <f>BD644*BE644</f>
        <v/>
      </c>
    </row>
    <row r="645" ht="15" customHeight="1" s="39">
      <c r="AZ645" s="38">
        <f>INDEX(Translations!$D:$ZZ, MATCH(316,Translations!$A:$A,0), MATCH('Project Information'!$C$4,Translations!$D$1:$ZZ$1,0))</f>
        <v/>
      </c>
      <c r="BA645" s="38">
        <f>INDEX(Translations!$D:$ZZ, MATCH(183,Translations!$A:$A,0), MATCH('Project Information'!$C$4,Translations!$D$1:$ZZ$1,0))</f>
        <v/>
      </c>
      <c r="BB645" s="38">
        <f>INDEX(Translations!$D:$ZZ, MATCH(344,Translations!$A:$A,0), MATCH('Project Information'!$C$4,Translations!$D$1:$ZZ$1,0))</f>
        <v/>
      </c>
      <c r="BC645" s="38">
        <f>INDEX(Translations!$D:$ZZ, MATCH(87,Translations!$A:$A,0), MATCH('Project Information'!$C$4,Translations!$D$1:$ZZ$1,0))</f>
        <v/>
      </c>
      <c r="BD645" s="38">
        <f>IF(OR(TRIM("")="Evet",TRIM("")="Yes"),1,0)</f>
        <v/>
      </c>
      <c r="BE645" s="38" t="n">
        <v>2</v>
      </c>
      <c r="BF645" s="38">
        <f>BD645*BE645</f>
        <v/>
      </c>
    </row>
    <row r="646" ht="15" customHeight="1" s="39">
      <c r="AZ646" s="38">
        <f>INDEX(Translations!$D:$ZZ, MATCH(316,Translations!$A:$A,0), MATCH('Project Information'!$C$4,Translations!$D$1:$ZZ$1,0))</f>
        <v/>
      </c>
      <c r="BA646" s="38">
        <f>INDEX(Translations!$D:$ZZ, MATCH(183,Translations!$A:$A,0), MATCH('Project Information'!$C$4,Translations!$D$1:$ZZ$1,0))</f>
        <v/>
      </c>
      <c r="BB646" s="38">
        <f>INDEX(Translations!$D:$ZZ, MATCH(345,Translations!$A:$A,0), MATCH('Project Information'!$C$4,Translations!$D$1:$ZZ$1,0))</f>
        <v/>
      </c>
      <c r="BC646" s="38">
        <f>INDEX(Translations!$D:$ZZ, MATCH(75,Translations!$A:$A,0), MATCH('Project Information'!$C$4,Translations!$D$1:$ZZ$1,0))</f>
        <v/>
      </c>
      <c r="BD646" s="38">
        <f>IF(OR(TRIM("")="Evet",TRIM("")="Yes"),1,0)</f>
        <v/>
      </c>
      <c r="BE646" s="38" t="n">
        <v>3</v>
      </c>
      <c r="BF646" s="38">
        <f>BD646*BE646</f>
        <v/>
      </c>
    </row>
    <row r="647" ht="15" customHeight="1" s="39">
      <c r="AZ647" s="38">
        <f>INDEX(Translations!$D:$ZZ, MATCH(316,Translations!$A:$A,0), MATCH('Project Information'!$C$4,Translations!$D$1:$ZZ$1,0))</f>
        <v/>
      </c>
      <c r="BA647" s="38">
        <f>INDEX(Translations!$D:$ZZ, MATCH(183,Translations!$A:$A,0), MATCH('Project Information'!$C$4,Translations!$D$1:$ZZ$1,0))</f>
        <v/>
      </c>
      <c r="BB647" s="38">
        <f>INDEX(Translations!$D:$ZZ, MATCH(345,Translations!$A:$A,0), MATCH('Project Information'!$C$4,Translations!$D$1:$ZZ$1,0))</f>
        <v/>
      </c>
      <c r="BC647" s="38">
        <f>INDEX(Translations!$D:$ZZ, MATCH(76,Translations!$A:$A,0), MATCH('Project Information'!$C$4,Translations!$D$1:$ZZ$1,0))</f>
        <v/>
      </c>
      <c r="BD647" s="38">
        <f>IF(OR(TRIM("")="Evet",TRIM("")="Yes"),1,0)</f>
        <v/>
      </c>
      <c r="BE647" s="38" t="n">
        <v>2</v>
      </c>
      <c r="BF647" s="38">
        <f>BD647*BE647</f>
        <v/>
      </c>
    </row>
    <row r="648" ht="15" customHeight="1" s="39">
      <c r="AZ648" s="38">
        <f>INDEX(Translations!$D:$ZZ, MATCH(316,Translations!$A:$A,0), MATCH('Project Information'!$C$4,Translations!$D$1:$ZZ$1,0))</f>
        <v/>
      </c>
      <c r="BA648" s="38">
        <f>INDEX(Translations!$D:$ZZ, MATCH(183,Translations!$A:$A,0), MATCH('Project Information'!$C$4,Translations!$D$1:$ZZ$1,0))</f>
        <v/>
      </c>
      <c r="BB648" s="38">
        <f>INDEX(Translations!$D:$ZZ, MATCH(345,Translations!$A:$A,0), MATCH('Project Information'!$C$4,Translations!$D$1:$ZZ$1,0))</f>
        <v/>
      </c>
      <c r="BC648" s="38">
        <f>INDEX(Translations!$D:$ZZ, MATCH(79,Translations!$A:$A,0), MATCH('Project Information'!$C$4,Translations!$D$1:$ZZ$1,0))</f>
        <v/>
      </c>
      <c r="BD648" s="38">
        <f>IF(OR(TRIM("")="Evet",TRIM("")="Yes"),1,0)</f>
        <v/>
      </c>
      <c r="BE648" s="38" t="n">
        <v>2</v>
      </c>
      <c r="BF648" s="38">
        <f>BD648*BE648</f>
        <v/>
      </c>
    </row>
    <row r="649" ht="15" customHeight="1" s="39">
      <c r="AZ649" s="38">
        <f>INDEX(Translations!$D:$ZZ, MATCH(316,Translations!$A:$A,0), MATCH('Project Information'!$C$4,Translations!$D$1:$ZZ$1,0))</f>
        <v/>
      </c>
      <c r="BA649" s="38">
        <f>INDEX(Translations!$D:$ZZ, MATCH(183,Translations!$A:$A,0), MATCH('Project Information'!$C$4,Translations!$D$1:$ZZ$1,0))</f>
        <v/>
      </c>
      <c r="BB649" s="38">
        <f>INDEX(Translations!$D:$ZZ, MATCH(345,Translations!$A:$A,0), MATCH('Project Information'!$C$4,Translations!$D$1:$ZZ$1,0))</f>
        <v/>
      </c>
      <c r="BC649" s="38">
        <f>INDEX(Translations!$D:$ZZ, MATCH(80,Translations!$A:$A,0), MATCH('Project Information'!$C$4,Translations!$D$1:$ZZ$1,0))</f>
        <v/>
      </c>
      <c r="BD649" s="38">
        <f>IF(OR(TRIM("")="Evet",TRIM("")="Yes"),1,0)</f>
        <v/>
      </c>
      <c r="BE649" s="38" t="n">
        <v>2</v>
      </c>
      <c r="BF649" s="38">
        <f>BD649*BE649</f>
        <v/>
      </c>
    </row>
    <row r="650" ht="15" customHeight="1" s="39">
      <c r="AZ650" s="38">
        <f>INDEX(Translations!$D:$ZZ, MATCH(316,Translations!$A:$A,0), MATCH('Project Information'!$C$4,Translations!$D$1:$ZZ$1,0))</f>
        <v/>
      </c>
      <c r="BA650" s="38">
        <f>INDEX(Translations!$D:$ZZ, MATCH(183,Translations!$A:$A,0), MATCH('Project Information'!$C$4,Translations!$D$1:$ZZ$1,0))</f>
        <v/>
      </c>
      <c r="BB650" s="38">
        <f>INDEX(Translations!$D:$ZZ, MATCH(345,Translations!$A:$A,0), MATCH('Project Information'!$C$4,Translations!$D$1:$ZZ$1,0))</f>
        <v/>
      </c>
      <c r="BC650" s="38">
        <f>INDEX(Translations!$D:$ZZ, MATCH(83,Translations!$A:$A,0), MATCH('Project Information'!$C$4,Translations!$D$1:$ZZ$1,0))</f>
        <v/>
      </c>
      <c r="BD650" s="38">
        <f>IF(OR(TRIM("")="Evet",TRIM("")="Yes"),1,0)</f>
        <v/>
      </c>
      <c r="BE650" s="38" t="n">
        <v>2</v>
      </c>
      <c r="BF650" s="38">
        <f>BD650*BE650</f>
        <v/>
      </c>
    </row>
    <row r="651" ht="15" customHeight="1" s="39">
      <c r="AZ651" s="38">
        <f>INDEX(Translations!$D:$ZZ, MATCH(316,Translations!$A:$A,0), MATCH('Project Information'!$C$4,Translations!$D$1:$ZZ$1,0))</f>
        <v/>
      </c>
      <c r="BA651" s="38">
        <f>INDEX(Translations!$D:$ZZ, MATCH(183,Translations!$A:$A,0), MATCH('Project Information'!$C$4,Translations!$D$1:$ZZ$1,0))</f>
        <v/>
      </c>
      <c r="BB651" s="38">
        <f>INDEX(Translations!$D:$ZZ, MATCH(345,Translations!$A:$A,0), MATCH('Project Information'!$C$4,Translations!$D$1:$ZZ$1,0))</f>
        <v/>
      </c>
      <c r="BC651" s="38">
        <f>INDEX(Translations!$D:$ZZ, MATCH(84,Translations!$A:$A,0), MATCH('Project Information'!$C$4,Translations!$D$1:$ZZ$1,0))</f>
        <v/>
      </c>
      <c r="BD651" s="38">
        <f>IF(OR(TRIM("")="Evet",TRIM("")="Yes"),1,0)</f>
        <v/>
      </c>
      <c r="BE651" s="38" t="n">
        <v>2</v>
      </c>
      <c r="BF651" s="38">
        <f>BD651*BE651</f>
        <v/>
      </c>
    </row>
    <row r="652" ht="15" customHeight="1" s="39">
      <c r="AZ652" s="38">
        <f>INDEX(Translations!$D:$ZZ, MATCH(316,Translations!$A:$A,0), MATCH('Project Information'!$C$4,Translations!$D$1:$ZZ$1,0))</f>
        <v/>
      </c>
      <c r="BA652" s="38">
        <f>INDEX(Translations!$D:$ZZ, MATCH(183,Translations!$A:$A,0), MATCH('Project Information'!$C$4,Translations!$D$1:$ZZ$1,0))</f>
        <v/>
      </c>
      <c r="BB652" s="38">
        <f>INDEX(Translations!$D:$ZZ, MATCH(345,Translations!$A:$A,0), MATCH('Project Information'!$C$4,Translations!$D$1:$ZZ$1,0))</f>
        <v/>
      </c>
      <c r="BC652" s="38">
        <f>INDEX(Translations!$D:$ZZ, MATCH(85,Translations!$A:$A,0), MATCH('Project Information'!$C$4,Translations!$D$1:$ZZ$1,0))</f>
        <v/>
      </c>
      <c r="BD652" s="38">
        <f>IF(OR(TRIM("")="Evet",TRIM("")="Yes"),1,0)</f>
        <v/>
      </c>
      <c r="BE652" s="38" t="n">
        <v>2</v>
      </c>
      <c r="BF652" s="38">
        <f>BD652*BE652</f>
        <v/>
      </c>
    </row>
    <row r="653" ht="15" customHeight="1" s="39">
      <c r="AZ653" s="38">
        <f>INDEX(Translations!$D:$ZZ, MATCH(316,Translations!$A:$A,0), MATCH('Project Information'!$C$4,Translations!$D$1:$ZZ$1,0))</f>
        <v/>
      </c>
      <c r="BA653" s="38">
        <f>INDEX(Translations!$D:$ZZ, MATCH(183,Translations!$A:$A,0), MATCH('Project Information'!$C$4,Translations!$D$1:$ZZ$1,0))</f>
        <v/>
      </c>
      <c r="BB653" s="38">
        <f>INDEX(Translations!$D:$ZZ, MATCH(345,Translations!$A:$A,0), MATCH('Project Information'!$C$4,Translations!$D$1:$ZZ$1,0))</f>
        <v/>
      </c>
      <c r="BC653" s="38">
        <f>INDEX(Translations!$D:$ZZ, MATCH(87,Translations!$A:$A,0), MATCH('Project Information'!$C$4,Translations!$D$1:$ZZ$1,0))</f>
        <v/>
      </c>
      <c r="BD653" s="38">
        <f>IF(OR(TRIM("")="Evet",TRIM("")="Yes"),1,0)</f>
        <v/>
      </c>
      <c r="BE653" s="38" t="n">
        <v>2</v>
      </c>
      <c r="BF653" s="38">
        <f>BD653*BE653</f>
        <v/>
      </c>
    </row>
    <row r="654" ht="15" customHeight="1" s="39">
      <c r="AZ654" s="38">
        <f>INDEX(Translations!$D:$ZZ, MATCH(317,Translations!$A:$A,0), MATCH('Project Information'!$C$4,Translations!$D$1:$ZZ$1,0))</f>
        <v/>
      </c>
      <c r="BA654" s="38">
        <f>INDEX(Translations!$D:$ZZ, MATCH(179,Translations!$A:$A,0), MATCH('Project Information'!$C$4,Translations!$D$1:$ZZ$1,0))</f>
        <v/>
      </c>
      <c r="BB654" s="38">
        <f>INDEX(Translations!$D:$ZZ, MATCH(332,Translations!$A:$A,0), MATCH('Project Information'!$C$4,Translations!$D$1:$ZZ$1,0))</f>
        <v/>
      </c>
      <c r="BC654" s="38">
        <f>INDEX(Translations!$D:$ZZ, MATCH(83,Translations!$A:$A,0), MATCH('Project Information'!$C$4,Translations!$D$1:$ZZ$1,0))</f>
        <v/>
      </c>
      <c r="BD654" s="38">
        <f>IF(TRIM("")="Evet",MAX(N(Scope!$G$14)*N(0)*N(Scope!$G$16)-1,0),0)</f>
        <v/>
      </c>
      <c r="BE654" s="38" t="n">
        <v>0</v>
      </c>
      <c r="BF654" s="38">
        <f>BD654*BE654</f>
        <v/>
      </c>
    </row>
    <row r="655" ht="15" customHeight="1" s="39">
      <c r="AZ655" s="38">
        <f>INDEX(Translations!$D:$ZZ, MATCH(317,Translations!$A:$A,0), MATCH('Project Information'!$C$4,Translations!$D$1:$ZZ$1,0))</f>
        <v/>
      </c>
      <c r="BA655" s="38">
        <f>INDEX(Translations!$D:$ZZ, MATCH(179,Translations!$A:$A,0), MATCH('Project Information'!$C$4,Translations!$D$1:$ZZ$1,0))</f>
        <v/>
      </c>
      <c r="BB655" s="38">
        <f>INDEX(Translations!$D:$ZZ, MATCH(333,Translations!$A:$A,0), MATCH('Project Information'!$C$4,Translations!$D$1:$ZZ$1,0))</f>
        <v/>
      </c>
      <c r="BC655" s="38">
        <f>INDEX(Translations!$D:$ZZ, MATCH(83,Translations!$A:$A,0), MATCH('Project Information'!$C$4,Translations!$D$1:$ZZ$1,0))</f>
        <v/>
      </c>
      <c r="BD655" s="38">
        <f>IF(TRIM("")="Evet",MAX(N(Scope!$G$14)*N(0)*N(Scope!$G$16)-1,0),0)</f>
        <v/>
      </c>
      <c r="BE655" s="38" t="n">
        <v>0</v>
      </c>
      <c r="BF655" s="38">
        <f>BD655*BE655</f>
        <v/>
      </c>
    </row>
    <row r="656" ht="15" customHeight="1" s="39">
      <c r="AZ656" s="38">
        <f>INDEX(Translations!$D:$ZZ, MATCH(317,Translations!$A:$A,0), MATCH('Project Information'!$C$4,Translations!$D$1:$ZZ$1,0))</f>
        <v/>
      </c>
      <c r="BA656" s="38">
        <f>INDEX(Translations!$D:$ZZ, MATCH(179,Translations!$A:$A,0), MATCH('Project Information'!$C$4,Translations!$D$1:$ZZ$1,0))</f>
        <v/>
      </c>
      <c r="BB656" s="38">
        <f>INDEX(Translations!$D:$ZZ, MATCH(334,Translations!$A:$A,0), MATCH('Project Information'!$C$4,Translations!$D$1:$ZZ$1,0))</f>
        <v/>
      </c>
      <c r="BC656" s="38">
        <f>INDEX(Translations!$D:$ZZ, MATCH(83,Translations!$A:$A,0), MATCH('Project Information'!$C$4,Translations!$D$1:$ZZ$1,0))</f>
        <v/>
      </c>
      <c r="BD656" s="38">
        <f>IF(TRIM("")="Evet",MAX(N(Scope!$G$14)*N(0)*N(Scope!$G$16)-1,0),0)</f>
        <v/>
      </c>
      <c r="BE656" s="38" t="n">
        <v>0</v>
      </c>
      <c r="BF656" s="38">
        <f>BD656*BE656</f>
        <v/>
      </c>
    </row>
    <row r="657" ht="15" customHeight="1" s="39">
      <c r="AZ657" s="38">
        <f>INDEX(Translations!$D:$ZZ, MATCH(317,Translations!$A:$A,0), MATCH('Project Information'!$C$4,Translations!$D$1:$ZZ$1,0))</f>
        <v/>
      </c>
      <c r="BA657" s="38">
        <f>INDEX(Translations!$D:$ZZ, MATCH(179,Translations!$A:$A,0), MATCH('Project Information'!$C$4,Translations!$D$1:$ZZ$1,0))</f>
        <v/>
      </c>
      <c r="BB657" s="38">
        <f>INDEX(Translations!$D:$ZZ, MATCH(335,Translations!$A:$A,0), MATCH('Project Information'!$C$4,Translations!$D$1:$ZZ$1,0))</f>
        <v/>
      </c>
      <c r="BC657" s="38">
        <f>INDEX(Translations!$D:$ZZ, MATCH(83,Translations!$A:$A,0), MATCH('Project Information'!$C$4,Translations!$D$1:$ZZ$1,0))</f>
        <v/>
      </c>
      <c r="BD657" s="38">
        <f>IF(TRIM("")="Evet",MAX(N(Scope!$G$14)*N(0)*N(Scope!$G$16)-1,0),0)</f>
        <v/>
      </c>
      <c r="BE657" s="38" t="n">
        <v>0</v>
      </c>
      <c r="BF657" s="38">
        <f>BD657*BE657</f>
        <v/>
      </c>
    </row>
    <row r="658" ht="15" customHeight="1" s="39">
      <c r="AZ658" s="38">
        <f>INDEX(Translations!$D:$ZZ, MATCH(317,Translations!$A:$A,0), MATCH('Project Information'!$C$4,Translations!$D$1:$ZZ$1,0))</f>
        <v/>
      </c>
      <c r="BA658" s="38">
        <f>INDEX(Translations!$D:$ZZ, MATCH(179,Translations!$A:$A,0), MATCH('Project Information'!$C$4,Translations!$D$1:$ZZ$1,0))</f>
        <v/>
      </c>
      <c r="BB658" s="38">
        <f>INDEX(Translations!$D:$ZZ, MATCH(336,Translations!$A:$A,0), MATCH('Project Information'!$C$4,Translations!$D$1:$ZZ$1,0))</f>
        <v/>
      </c>
      <c r="BC658" s="38">
        <f>INDEX(Translations!$D:$ZZ, MATCH(83,Translations!$A:$A,0), MATCH('Project Information'!$C$4,Translations!$D$1:$ZZ$1,0))</f>
        <v/>
      </c>
      <c r="BD658" s="38">
        <f>IF(TRIM("")="Evet",MAX(N(Scope!$G$14)*N(0)*N(Scope!$G$16)-1,0),0)</f>
        <v/>
      </c>
      <c r="BE658" s="38" t="n">
        <v>0</v>
      </c>
      <c r="BF658" s="38">
        <f>BD658*BE658</f>
        <v/>
      </c>
    </row>
    <row r="659" ht="15" customHeight="1" s="39">
      <c r="AZ659" s="38">
        <f>INDEX(Translations!$D:$ZZ, MATCH(317,Translations!$A:$A,0), MATCH('Project Information'!$C$4,Translations!$D$1:$ZZ$1,0))</f>
        <v/>
      </c>
      <c r="BA659" s="38">
        <f>INDEX(Translations!$D:$ZZ, MATCH(179,Translations!$A:$A,0), MATCH('Project Information'!$C$4,Translations!$D$1:$ZZ$1,0))</f>
        <v/>
      </c>
      <c r="BB659" s="38">
        <f>INDEX(Translations!$D:$ZZ, MATCH(337,Translations!$A:$A,0), MATCH('Project Information'!$C$4,Translations!$D$1:$ZZ$1,0))</f>
        <v/>
      </c>
      <c r="BC659" s="38">
        <f>INDEX(Translations!$D:$ZZ, MATCH(83,Translations!$A:$A,0), MATCH('Project Information'!$C$4,Translations!$D$1:$ZZ$1,0))</f>
        <v/>
      </c>
      <c r="BD659" s="38">
        <f>IF(TRIM("")="Evet",MAX(N(Scope!$G$14)*N(0)*N(Scope!$G$16)-1,0),0)</f>
        <v/>
      </c>
      <c r="BE659" s="38" t="n">
        <v>0</v>
      </c>
      <c r="BF659" s="38">
        <f>BD659*BE659</f>
        <v/>
      </c>
    </row>
    <row r="660" ht="15" customHeight="1" s="39">
      <c r="AZ660" s="38">
        <f>INDEX(Translations!$D:$ZZ, MATCH(317,Translations!$A:$A,0), MATCH('Project Information'!$C$4,Translations!$D$1:$ZZ$1,0))</f>
        <v/>
      </c>
      <c r="BA660" s="38">
        <f>INDEX(Translations!$D:$ZZ, MATCH(179,Translations!$A:$A,0), MATCH('Project Information'!$C$4,Translations!$D$1:$ZZ$1,0))</f>
        <v/>
      </c>
      <c r="BB660" s="38">
        <f>INDEX(Translations!$D:$ZZ, MATCH(338,Translations!$A:$A,0), MATCH('Project Information'!$C$4,Translations!$D$1:$ZZ$1,0))</f>
        <v/>
      </c>
      <c r="BC660" s="38">
        <f>INDEX(Translations!$D:$ZZ, MATCH(83,Translations!$A:$A,0), MATCH('Project Information'!$C$4,Translations!$D$1:$ZZ$1,0))</f>
        <v/>
      </c>
      <c r="BD660" s="38">
        <f>IF(TRIM("")="Evet",MAX(N(Scope!$G$14)*N(0)*N(Scope!$G$16)-1,0),0)</f>
        <v/>
      </c>
      <c r="BE660" s="38" t="n">
        <v>0</v>
      </c>
      <c r="BF660" s="38">
        <f>BD660*BE660</f>
        <v/>
      </c>
    </row>
    <row r="661" ht="15" customHeight="1" s="39">
      <c r="AZ661" s="38">
        <f>INDEX(Translations!$D:$ZZ, MATCH(317,Translations!$A:$A,0), MATCH('Project Information'!$C$4,Translations!$D$1:$ZZ$1,0))</f>
        <v/>
      </c>
      <c r="BA661" s="38">
        <f>INDEX(Translations!$D:$ZZ, MATCH(179,Translations!$A:$A,0), MATCH('Project Information'!$C$4,Translations!$D$1:$ZZ$1,0))</f>
        <v/>
      </c>
      <c r="BB661" s="38">
        <f>INDEX(Translations!$D:$ZZ, MATCH(339,Translations!$A:$A,0), MATCH('Project Information'!$C$4,Translations!$D$1:$ZZ$1,0))</f>
        <v/>
      </c>
      <c r="BC661" s="38">
        <f>INDEX(Translations!$D:$ZZ, MATCH(83,Translations!$A:$A,0), MATCH('Project Information'!$C$4,Translations!$D$1:$ZZ$1,0))</f>
        <v/>
      </c>
      <c r="BD661" s="38">
        <f>IF(TRIM("")="Evet",MAX(N(Scope!$G$14)*N(0)*N(Scope!$G$16)-1,0),0)</f>
        <v/>
      </c>
      <c r="BE661" s="38" t="n">
        <v>0</v>
      </c>
      <c r="BF661" s="38">
        <f>BD661*BE661</f>
        <v/>
      </c>
    </row>
    <row r="662" ht="15" customHeight="1" s="39">
      <c r="AZ662" s="38">
        <f>INDEX(Translations!$D:$ZZ, MATCH(317,Translations!$A:$A,0), MATCH('Project Information'!$C$4,Translations!$D$1:$ZZ$1,0))</f>
        <v/>
      </c>
      <c r="BA662" s="38">
        <f>INDEX(Translations!$D:$ZZ, MATCH(179,Translations!$A:$A,0), MATCH('Project Information'!$C$4,Translations!$D$1:$ZZ$1,0))</f>
        <v/>
      </c>
      <c r="BB662" s="38">
        <f>INDEX(Translations!$D:$ZZ, MATCH(340,Translations!$A:$A,0), MATCH('Project Information'!$C$4,Translations!$D$1:$ZZ$1,0))</f>
        <v/>
      </c>
      <c r="BC662" s="38">
        <f>INDEX(Translations!$D:$ZZ, MATCH(83,Translations!$A:$A,0), MATCH('Project Information'!$C$4,Translations!$D$1:$ZZ$1,0))</f>
        <v/>
      </c>
      <c r="BD662" s="38">
        <f>IF(TRIM("")="Evet",MAX(N(Scope!$G$14)*N(0)*N(Scope!$G$16)-1,0),0)</f>
        <v/>
      </c>
      <c r="BE662" s="38" t="n">
        <v>0</v>
      </c>
      <c r="BF662" s="38">
        <f>BD662*BE662</f>
        <v/>
      </c>
    </row>
    <row r="663" ht="15" customHeight="1" s="39">
      <c r="AZ663" s="38">
        <f>INDEX(Translations!$D:$ZZ, MATCH(317,Translations!$A:$A,0), MATCH('Project Information'!$C$4,Translations!$D$1:$ZZ$1,0))</f>
        <v/>
      </c>
      <c r="BA663" s="38">
        <f>INDEX(Translations!$D:$ZZ, MATCH(179,Translations!$A:$A,0), MATCH('Project Information'!$C$4,Translations!$D$1:$ZZ$1,0))</f>
        <v/>
      </c>
      <c r="BB663" s="38">
        <f>INDEX(Translations!$D:$ZZ, MATCH(341,Translations!$A:$A,0), MATCH('Project Information'!$C$4,Translations!$D$1:$ZZ$1,0))</f>
        <v/>
      </c>
      <c r="BC663" s="38">
        <f>INDEX(Translations!$D:$ZZ, MATCH(83,Translations!$A:$A,0), MATCH('Project Information'!$C$4,Translations!$D$1:$ZZ$1,0))</f>
        <v/>
      </c>
      <c r="BD663" s="38">
        <f>IF(TRIM("")="Evet",MAX(N(Scope!$G$14)*N(0)*N(Scope!$G$16)-1,0),0)</f>
        <v/>
      </c>
      <c r="BE663" s="38" t="n">
        <v>0</v>
      </c>
      <c r="BF663" s="38">
        <f>BD663*BE663</f>
        <v/>
      </c>
    </row>
    <row r="664" ht="15" customHeight="1" s="39">
      <c r="AZ664" s="38">
        <f>INDEX(Translations!$D:$ZZ, MATCH(317,Translations!$A:$A,0), MATCH('Project Information'!$C$4,Translations!$D$1:$ZZ$1,0))</f>
        <v/>
      </c>
      <c r="BA664" s="38">
        <f>INDEX(Translations!$D:$ZZ, MATCH(179,Translations!$A:$A,0), MATCH('Project Information'!$C$4,Translations!$D$1:$ZZ$1,0))</f>
        <v/>
      </c>
      <c r="BB664" s="38">
        <f>INDEX(Translations!$D:$ZZ, MATCH(342,Translations!$A:$A,0), MATCH('Project Information'!$C$4,Translations!$D$1:$ZZ$1,0))</f>
        <v/>
      </c>
      <c r="BC664" s="38">
        <f>INDEX(Translations!$D:$ZZ, MATCH(83,Translations!$A:$A,0), MATCH('Project Information'!$C$4,Translations!$D$1:$ZZ$1,0))</f>
        <v/>
      </c>
      <c r="BD664" s="38">
        <f>IF(TRIM("")="Evet",MAX(N(Scope!$G$14)*N(0)*N(Scope!$G$16)-1,0),0)</f>
        <v/>
      </c>
      <c r="BE664" s="38" t="n">
        <v>0</v>
      </c>
      <c r="BF664" s="38">
        <f>BD664*BE664</f>
        <v/>
      </c>
    </row>
    <row r="665" ht="15" customHeight="1" s="39">
      <c r="AZ665" s="38">
        <f>INDEX(Translations!$D:$ZZ, MATCH(317,Translations!$A:$A,0), MATCH('Project Information'!$C$4,Translations!$D$1:$ZZ$1,0))</f>
        <v/>
      </c>
      <c r="BA665" s="38">
        <f>INDEX(Translations!$D:$ZZ, MATCH(179,Translations!$A:$A,0), MATCH('Project Information'!$C$4,Translations!$D$1:$ZZ$1,0))</f>
        <v/>
      </c>
      <c r="BB665" s="38">
        <f>INDEX(Translations!$D:$ZZ, MATCH(343,Translations!$A:$A,0), MATCH('Project Information'!$C$4,Translations!$D$1:$ZZ$1,0))</f>
        <v/>
      </c>
      <c r="BC665" s="38">
        <f>INDEX(Translations!$D:$ZZ, MATCH(83,Translations!$A:$A,0), MATCH('Project Information'!$C$4,Translations!$D$1:$ZZ$1,0))</f>
        <v/>
      </c>
      <c r="BD665" s="38">
        <f>IF(TRIM("")="Evet",MAX(N(Scope!$G$14)*N(0)*N(Scope!$G$16)-1,0),0)</f>
        <v/>
      </c>
      <c r="BE665" s="38" t="n">
        <v>0</v>
      </c>
      <c r="BF665" s="38">
        <f>BD665*BE665</f>
        <v/>
      </c>
    </row>
    <row r="666" ht="15" customHeight="1" s="39">
      <c r="AZ666" s="38">
        <f>INDEX(Translations!$D:$ZZ, MATCH(317,Translations!$A:$A,0), MATCH('Project Information'!$C$4,Translations!$D$1:$ZZ$1,0))</f>
        <v/>
      </c>
      <c r="BA666" s="38">
        <f>INDEX(Translations!$D:$ZZ, MATCH(179,Translations!$A:$A,0), MATCH('Project Information'!$C$4,Translations!$D$1:$ZZ$1,0))</f>
        <v/>
      </c>
      <c r="BB666" s="38">
        <f>INDEX(Translations!$D:$ZZ, MATCH(344,Translations!$A:$A,0), MATCH('Project Information'!$C$4,Translations!$D$1:$ZZ$1,0))</f>
        <v/>
      </c>
      <c r="BC666" s="38">
        <f>INDEX(Translations!$D:$ZZ, MATCH(83,Translations!$A:$A,0), MATCH('Project Information'!$C$4,Translations!$D$1:$ZZ$1,0))</f>
        <v/>
      </c>
      <c r="BD666" s="38">
        <f>IF(TRIM("")="Evet",MAX(N(Scope!$G$14)*N(0)*N(Scope!$G$16)-1,0),0)</f>
        <v/>
      </c>
      <c r="BE666" s="38" t="n">
        <v>0</v>
      </c>
      <c r="BF666" s="38">
        <f>BD666*BE666</f>
        <v/>
      </c>
    </row>
    <row r="667" ht="15" customHeight="1" s="39">
      <c r="AZ667" s="38">
        <f>INDEX(Translations!$D:$ZZ, MATCH(317,Translations!$A:$A,0), MATCH('Project Information'!$C$4,Translations!$D$1:$ZZ$1,0))</f>
        <v/>
      </c>
      <c r="BA667" s="38">
        <f>INDEX(Translations!$D:$ZZ, MATCH(179,Translations!$A:$A,0), MATCH('Project Information'!$C$4,Translations!$D$1:$ZZ$1,0))</f>
        <v/>
      </c>
      <c r="BB667" s="38">
        <f>INDEX(Translations!$D:$ZZ, MATCH(345,Translations!$A:$A,0), MATCH('Project Information'!$C$4,Translations!$D$1:$ZZ$1,0))</f>
        <v/>
      </c>
      <c r="BC667" s="38">
        <f>INDEX(Translations!$D:$ZZ, MATCH(83,Translations!$A:$A,0), MATCH('Project Information'!$C$4,Translations!$D$1:$ZZ$1,0))</f>
        <v/>
      </c>
      <c r="BD667" s="38">
        <f>IF(TRIM("")="Evet",MAX(N(Scope!$G$14)*N(0)*N(Scope!$G$16)-1,0),0)</f>
        <v/>
      </c>
      <c r="BE667" s="38" t="n">
        <v>0</v>
      </c>
      <c r="BF667" s="38">
        <f>BD667*BE667</f>
        <v/>
      </c>
    </row>
    <row r="668" ht="15" customHeight="1" s="39">
      <c r="AZ668" s="38">
        <f>INDEX(Translations!$D:$ZZ, MATCH(317,Translations!$A:$A,0), MATCH('Project Information'!$C$4,Translations!$D$1:$ZZ$1,0))</f>
        <v/>
      </c>
      <c r="BA668" s="38">
        <f>INDEX(Translations!$D:$ZZ, MATCH(179,Translations!$A:$A,0), MATCH('Project Information'!$C$4,Translations!$D$1:$ZZ$1,0))</f>
        <v/>
      </c>
      <c r="BB668" s="38">
        <f>INDEX(Translations!$D:$ZZ, MATCH(346,Translations!$A:$A,0), MATCH('Project Information'!$C$4,Translations!$D$1:$ZZ$1,0))</f>
        <v/>
      </c>
      <c r="BC668" s="38">
        <f>INDEX(Translations!$D:$ZZ, MATCH(83,Translations!$A:$A,0), MATCH('Project Information'!$C$4,Translations!$D$1:$ZZ$1,0))</f>
        <v/>
      </c>
      <c r="BD668" s="38">
        <f>IF(TRIM("")="Evet",MAX(N(Scope!$G$14)*N(0)*N(Scope!$G$16)-1,0),0)</f>
        <v/>
      </c>
      <c r="BE668" s="38" t="n">
        <v>0</v>
      </c>
      <c r="BF668" s="38">
        <f>BD668*BE668</f>
        <v/>
      </c>
    </row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H410"/>
  <sheetViews>
    <sheetView showFormulas="0" showGridLines="1" showRowColHeaders="1" showZeros="1" rightToLeft="0" tabSelected="0" showOutlineSymbols="1" defaultGridColor="1" view="normal" topLeftCell="A231" colorId="64" zoomScale="100" zoomScaleNormal="100" zoomScalePageLayoutView="100" workbookViewId="0">
      <selection pane="topLeft" activeCell="D249" activeCellId="0" sqref="D249"/>
    </sheetView>
  </sheetViews>
  <sheetFormatPr baseColWidth="8" defaultColWidth="8.57421875" defaultRowHeight="15" customHeight="1" zeroHeight="0" outlineLevelRow="0"/>
  <cols>
    <col width="10" customWidth="1" style="38" min="1" max="1"/>
    <col width="24" customWidth="1" style="38" min="2" max="2"/>
    <col width="12" customWidth="1" style="38" min="3" max="3"/>
    <col width="70" customWidth="1" style="38" min="4" max="5"/>
    <col hidden="1" width="14" customWidth="1" style="38" min="7" max="8"/>
  </cols>
  <sheetData>
    <row r="1" ht="16.4" customHeight="1" s="39">
      <c r="A1" s="62" t="inlineStr">
        <is>
          <t>Index</t>
        </is>
      </c>
      <c r="B1" s="62" t="inlineStr">
        <is>
          <t>Sheet</t>
        </is>
      </c>
      <c r="C1" s="62" t="inlineStr">
        <is>
          <t>Cell</t>
        </is>
      </c>
      <c r="D1" s="62" t="inlineStr">
        <is>
          <t>TR</t>
        </is>
      </c>
      <c r="E1" s="62" t="inlineStr">
        <is>
          <t>EN</t>
        </is>
      </c>
      <c r="G1" s="38" t="inlineStr">
        <is>
          <t>YN_LIST</t>
        </is>
      </c>
      <c r="H1" s="38" t="inlineStr">
        <is>
          <t>MOD_LIST</t>
        </is>
      </c>
    </row>
    <row r="2" ht="15" customHeight="1" s="39">
      <c r="A2" s="38" t="n">
        <v>1</v>
      </c>
      <c r="B2" s="38" t="inlineStr">
        <is>
          <t>Kapsam</t>
        </is>
      </c>
      <c r="C2" s="38" t="inlineStr">
        <is>
          <t>A1</t>
        </is>
      </c>
      <c r="D2" s="38" t="inlineStr">
        <is>
          <t>SAP Proje Eforlandırma – Kapsam</t>
        </is>
      </c>
      <c r="E2" s="38" t="inlineStr">
        <is>
          <t>SAP Project Estimation – Scope</t>
        </is>
      </c>
      <c r="G2" s="38">
        <f>IF('Project Information'!$C$4="EN","Yes","Evet")</f>
        <v/>
      </c>
      <c r="H2" s="38">
        <f>IF('Project Information'!$C$4="EN","Include","Var")</f>
        <v/>
      </c>
    </row>
    <row r="3" ht="15" customHeight="1" s="39">
      <c r="A3" s="38" t="n">
        <v>2</v>
      </c>
      <c r="B3" s="38" t="inlineStr">
        <is>
          <t>Kapsam</t>
        </is>
      </c>
      <c r="C3" s="38" t="inlineStr">
        <is>
          <t>A2</t>
        </is>
      </c>
      <c r="D3" s="38" t="inlineStr">
        <is>
          <t>Proje / Müşteri:</t>
        </is>
      </c>
      <c r="E3" s="38" t="inlineStr">
        <is>
          <t>Project / Customer:</t>
        </is>
      </c>
      <c r="G3" s="38">
        <f>IF('Project Information'!$C$4="EN","No","Hayır")</f>
        <v/>
      </c>
      <c r="H3" s="38">
        <f>IF('Project Information'!$C$4="EN","Exclude","Yok")</f>
        <v/>
      </c>
    </row>
    <row r="4" ht="15" customHeight="1" s="39">
      <c r="A4" s="38" t="n">
        <v>3</v>
      </c>
      <c r="B4" s="38" t="inlineStr">
        <is>
          <t>Kapsam</t>
        </is>
      </c>
      <c r="C4" s="38" t="inlineStr">
        <is>
          <t>C2</t>
        </is>
      </c>
      <c r="D4" s="38" t="inlineStr">
        <is>
          <t>Tarih:</t>
        </is>
      </c>
      <c r="E4" s="38" t="inlineStr">
        <is>
          <t>Date:</t>
        </is>
      </c>
    </row>
    <row r="5" ht="15" customHeight="1" s="39">
      <c r="A5" s="38" t="n">
        <v>4</v>
      </c>
      <c r="B5" s="38" t="inlineStr">
        <is>
          <t>Kapsam</t>
        </is>
      </c>
      <c r="C5" s="38" t="inlineStr">
        <is>
          <t>A4</t>
        </is>
      </c>
      <c r="D5" s="38" t="inlineStr">
        <is>
          <t>Eşikler (Toplam Puan)</t>
        </is>
      </c>
      <c r="E5" s="38" t="inlineStr">
        <is>
          <t>Thresholds (Total Score)</t>
        </is>
      </c>
    </row>
    <row r="6" ht="15" customHeight="1" s="39">
      <c r="A6" s="38" t="n">
        <v>5</v>
      </c>
      <c r="B6" s="38" t="inlineStr">
        <is>
          <t>Kapsam</t>
        </is>
      </c>
      <c r="C6" s="38" t="inlineStr">
        <is>
          <t>A5</t>
        </is>
      </c>
      <c r="D6" s="38" t="inlineStr">
        <is>
          <t>Small (S)</t>
        </is>
      </c>
      <c r="E6" s="38" t="inlineStr">
        <is>
          <t>Small (S)</t>
        </is>
      </c>
    </row>
    <row r="7" ht="15" customHeight="1" s="39">
      <c r="A7" s="38" t="n">
        <v>6</v>
      </c>
      <c r="B7" s="38" t="inlineStr">
        <is>
          <t>Kapsam</t>
        </is>
      </c>
      <c r="C7" s="38" t="inlineStr">
        <is>
          <t>B5</t>
        </is>
      </c>
      <c r="D7" s="38" t="inlineStr">
        <is>
          <t>0-40</t>
        </is>
      </c>
      <c r="E7" s="38" t="inlineStr">
        <is>
          <t>0-40</t>
        </is>
      </c>
    </row>
    <row r="8" ht="15" customHeight="1" s="39">
      <c r="A8" s="38" t="n">
        <v>7</v>
      </c>
      <c r="B8" s="38" t="inlineStr">
        <is>
          <t>Kapsam</t>
        </is>
      </c>
      <c r="C8" s="38" t="inlineStr">
        <is>
          <t>A6</t>
        </is>
      </c>
      <c r="D8" s="38" t="inlineStr">
        <is>
          <t>Medium (M)</t>
        </is>
      </c>
      <c r="E8" s="38" t="inlineStr">
        <is>
          <t>Medium (M)</t>
        </is>
      </c>
    </row>
    <row r="9" ht="15" customHeight="1" s="39">
      <c r="A9" s="38" t="n">
        <v>8</v>
      </c>
      <c r="B9" s="38" t="inlineStr">
        <is>
          <t>Kapsam</t>
        </is>
      </c>
      <c r="C9" s="38" t="inlineStr">
        <is>
          <t>B6</t>
        </is>
      </c>
      <c r="D9" s="38" t="inlineStr">
        <is>
          <t>41-70</t>
        </is>
      </c>
      <c r="E9" s="38" t="inlineStr">
        <is>
          <t>41-70</t>
        </is>
      </c>
    </row>
    <row r="10" ht="15" customHeight="1" s="39">
      <c r="A10" s="38" t="n">
        <v>9</v>
      </c>
      <c r="B10" s="38" t="inlineStr">
        <is>
          <t>Kapsam</t>
        </is>
      </c>
      <c r="C10" s="38" t="inlineStr">
        <is>
          <t>A7</t>
        </is>
      </c>
      <c r="D10" s="38" t="inlineStr">
        <is>
          <t>Large (L)</t>
        </is>
      </c>
      <c r="E10" s="38" t="inlineStr">
        <is>
          <t>Large (L)</t>
        </is>
      </c>
    </row>
    <row r="11" ht="15" customHeight="1" s="39">
      <c r="A11" s="38" t="n">
        <v>10</v>
      </c>
      <c r="B11" s="38" t="inlineStr">
        <is>
          <t>Kapsam</t>
        </is>
      </c>
      <c r="C11" s="38" t="inlineStr">
        <is>
          <t>B7</t>
        </is>
      </c>
      <c r="D11" s="38" t="inlineStr">
        <is>
          <t>71-100</t>
        </is>
      </c>
      <c r="E11" s="38" t="inlineStr">
        <is>
          <t>71-100</t>
        </is>
      </c>
    </row>
    <row r="12" ht="15" customHeight="1" s="39">
      <c r="A12" s="38" t="n">
        <v>11</v>
      </c>
      <c r="B12" s="38" t="inlineStr">
        <is>
          <t>Kapsam</t>
        </is>
      </c>
      <c r="C12" s="38" t="inlineStr">
        <is>
          <t>A8</t>
        </is>
      </c>
      <c r="D12" s="38" t="inlineStr">
        <is>
          <t>X-Large (XL)</t>
        </is>
      </c>
      <c r="E12" s="38" t="inlineStr">
        <is>
          <t>X-Large (XL)</t>
        </is>
      </c>
    </row>
    <row r="13" ht="15" customHeight="1" s="39">
      <c r="A13" s="38" t="n">
        <v>12</v>
      </c>
      <c r="B13" s="38" t="inlineStr">
        <is>
          <t>Kapsam</t>
        </is>
      </c>
      <c r="C13" s="38" t="inlineStr">
        <is>
          <t>B8</t>
        </is>
      </c>
      <c r="D13" s="38" t="inlineStr">
        <is>
          <t>101+</t>
        </is>
      </c>
      <c r="E13" s="38" t="inlineStr">
        <is>
          <t>101+</t>
        </is>
      </c>
    </row>
    <row r="14" ht="15" customHeight="1" s="39">
      <c r="A14" s="38" t="n">
        <v>13</v>
      </c>
      <c r="B14" s="38" t="inlineStr">
        <is>
          <t>Kapsam</t>
        </is>
      </c>
      <c r="C14" s="38" t="inlineStr">
        <is>
          <t>A9</t>
        </is>
      </c>
      <c r="D14" s="38" t="inlineStr">
        <is>
          <t>Toplam Puan</t>
        </is>
      </c>
      <c r="E14" s="38" t="inlineStr">
        <is>
          <t>Total Score</t>
        </is>
      </c>
    </row>
    <row r="15" ht="15" customHeight="1" s="39">
      <c r="A15" s="38" t="n">
        <v>14</v>
      </c>
      <c r="B15" s="38" t="inlineStr">
        <is>
          <t>Kapsam</t>
        </is>
      </c>
      <c r="C15" s="38" t="inlineStr">
        <is>
          <t>A10</t>
        </is>
      </c>
      <c r="D15" s="38" t="inlineStr">
        <is>
          <t>Sonuç Size</t>
        </is>
      </c>
      <c r="E15" s="38" t="inlineStr">
        <is>
          <t>Result Size</t>
        </is>
      </c>
    </row>
    <row r="16" ht="15" customHeight="1" s="39">
      <c r="A16" s="38" t="n">
        <v>15</v>
      </c>
      <c r="B16" s="38" t="inlineStr">
        <is>
          <t>Kapsam</t>
        </is>
      </c>
      <c r="C16" s="38" t="inlineStr">
        <is>
          <t>A11</t>
        </is>
      </c>
      <c r="D16" s="38" t="inlineStr">
        <is>
          <t>Not: Evet/Hayır bazlı değişkenlerde Cevap sütunundan seçim yapın. Adet/Sayı bazlı değişkenlerde Adet sütununa değer girin. Bu durumda Hesaplanan Puan = Puan × Adet olarak hesaplanır.</t>
        </is>
      </c>
      <c r="E16" s="38" t="inlineStr">
        <is>
          <t>Note: For Yes/No-based variables, select your answer in the Answer column. For Quantity/Number-based variables, enter a value in the Quantity column. In this case, Calculated Score = Score × Quantity.</t>
        </is>
      </c>
    </row>
    <row r="17" ht="15" customHeight="1" s="39">
      <c r="A17" s="38" t="n">
        <v>16</v>
      </c>
      <c r="B17" s="38" t="inlineStr">
        <is>
          <t>Kapsam</t>
        </is>
      </c>
      <c r="C17" s="38" t="inlineStr">
        <is>
          <t>A12</t>
        </is>
      </c>
      <c r="D17" s="38" t="inlineStr">
        <is>
          <t>No</t>
        </is>
      </c>
      <c r="E17" s="38" t="inlineStr">
        <is>
          <t>No</t>
        </is>
      </c>
    </row>
    <row r="18" ht="15" customHeight="1" s="39">
      <c r="A18" s="38" t="n">
        <v>17</v>
      </c>
      <c r="B18" s="38" t="inlineStr">
        <is>
          <t>Kapsam</t>
        </is>
      </c>
      <c r="C18" s="38" t="inlineStr">
        <is>
          <t>B12</t>
        </is>
      </c>
      <c r="D18" s="38" t="inlineStr">
        <is>
          <t>Değişken Tanım (Soru)</t>
        </is>
      </c>
      <c r="E18" s="38" t="inlineStr">
        <is>
          <t>Variable Definition (Question)</t>
        </is>
      </c>
    </row>
    <row r="19" ht="15" customHeight="1" s="39">
      <c r="A19" s="38" t="n">
        <v>18</v>
      </c>
      <c r="B19" s="38" t="inlineStr">
        <is>
          <t>Kapsam</t>
        </is>
      </c>
      <c r="C19" s="38" t="inlineStr">
        <is>
          <t>C12</t>
        </is>
      </c>
      <c r="D19" s="38" t="inlineStr">
        <is>
          <t>Değişken Açıklama</t>
        </is>
      </c>
      <c r="E19" s="38" t="inlineStr">
        <is>
          <t>Variable Description</t>
        </is>
      </c>
    </row>
    <row r="20" ht="15" customHeight="1" s="39">
      <c r="A20" s="38" t="n">
        <v>19</v>
      </c>
      <c r="B20" s="38" t="inlineStr">
        <is>
          <t>Kapsam</t>
        </is>
      </c>
      <c r="C20" s="38" t="inlineStr">
        <is>
          <t>D12</t>
        </is>
      </c>
      <c r="D20" s="38" t="inlineStr">
        <is>
          <t>Puan için Baz Değer</t>
        </is>
      </c>
      <c r="E20" s="38" t="inlineStr">
        <is>
          <t>Score Base Value</t>
        </is>
      </c>
    </row>
    <row r="21" ht="15" customHeight="1" s="39">
      <c r="A21" s="38" t="n">
        <v>20</v>
      </c>
      <c r="B21" s="38" t="inlineStr">
        <is>
          <t>Kapsam</t>
        </is>
      </c>
      <c r="C21" s="38" t="inlineStr">
        <is>
          <t>E12</t>
        </is>
      </c>
      <c r="D21" s="38" t="inlineStr">
        <is>
          <t>Puan</t>
        </is>
      </c>
      <c r="E21" s="38" t="inlineStr">
        <is>
          <t>Score</t>
        </is>
      </c>
    </row>
    <row r="22" ht="15" customHeight="1" s="39">
      <c r="A22" s="38" t="n">
        <v>21</v>
      </c>
      <c r="B22" s="38" t="inlineStr">
        <is>
          <t>Kapsam</t>
        </is>
      </c>
      <c r="C22" s="38" t="inlineStr">
        <is>
          <t>F12</t>
        </is>
      </c>
      <c r="D22" s="38" t="inlineStr">
        <is>
          <t>Cevap (Evet/Hayır)</t>
        </is>
      </c>
      <c r="E22" s="38" t="inlineStr">
        <is>
          <t>Answer (Yes/No)</t>
        </is>
      </c>
    </row>
    <row r="23" ht="15" customHeight="1" s="39">
      <c r="A23" s="38" t="n">
        <v>22</v>
      </c>
      <c r="B23" s="38" t="inlineStr">
        <is>
          <t>Kapsam</t>
        </is>
      </c>
      <c r="C23" s="38" t="inlineStr">
        <is>
          <t>G12</t>
        </is>
      </c>
      <c r="D23" s="38" t="inlineStr">
        <is>
          <t>Adet (opsiyonel)</t>
        </is>
      </c>
      <c r="E23" s="38" t="inlineStr">
        <is>
          <t>Quantity (optional)</t>
        </is>
      </c>
    </row>
    <row r="24" ht="15" customHeight="1" s="39">
      <c r="A24" s="38" t="n">
        <v>23</v>
      </c>
      <c r="B24" s="38" t="inlineStr">
        <is>
          <t>Kapsam</t>
        </is>
      </c>
      <c r="C24" s="38" t="inlineStr">
        <is>
          <t>H12</t>
        </is>
      </c>
      <c r="D24" s="38" t="inlineStr">
        <is>
          <t>Hesaplanan Puan</t>
        </is>
      </c>
      <c r="E24" s="38" t="inlineStr">
        <is>
          <t>Calculated Score</t>
        </is>
      </c>
    </row>
    <row r="25" ht="15" customHeight="1" s="39">
      <c r="A25" s="38" t="n">
        <v>24</v>
      </c>
      <c r="B25" s="38" t="inlineStr">
        <is>
          <t>Kapsam</t>
        </is>
      </c>
      <c r="C25" s="38" t="inlineStr">
        <is>
          <t>I12</t>
        </is>
      </c>
      <c r="D25" s="38" t="inlineStr">
        <is>
          <t>Not:</t>
        </is>
      </c>
      <c r="E25" s="38" t="inlineStr">
        <is>
          <t>Note:</t>
        </is>
      </c>
    </row>
    <row r="26" ht="15" customHeight="1" s="39">
      <c r="A26" s="38" t="n">
        <v>25</v>
      </c>
      <c r="B26" s="38" t="inlineStr">
        <is>
          <t>Kapsam</t>
        </is>
      </c>
      <c r="C26" s="38" t="inlineStr">
        <is>
          <t>B13</t>
        </is>
      </c>
      <c r="D26" s="38" t="inlineStr">
        <is>
          <t>Farklı Şirket Yapısı</t>
        </is>
      </c>
      <c r="E26" s="38" t="inlineStr">
        <is>
          <t>Different Company Structure</t>
        </is>
      </c>
    </row>
    <row r="27" ht="15" customHeight="1" s="39">
      <c r="A27" s="38" t="n">
        <v>26</v>
      </c>
      <c r="B27" s="38" t="inlineStr">
        <is>
          <t>Kapsam</t>
        </is>
      </c>
      <c r="C27" s="38" t="inlineStr">
        <is>
          <t>C13</t>
        </is>
      </c>
      <c r="D27" s="38" t="inlineStr">
        <is>
          <t>Benzer işi-süreci olan şirketler göz önüne alındığında kaç farklı yapıda şirket bulunmaktadır.</t>
        </is>
      </c>
      <c r="E27" s="38" t="inlineStr">
        <is>
          <t>Considering companies with similar business/processes, how many different company structures are there?</t>
        </is>
      </c>
    </row>
    <row r="28" ht="15" customHeight="1" s="39">
      <c r="A28" s="38" t="n">
        <v>27</v>
      </c>
      <c r="B28" s="38" t="inlineStr">
        <is>
          <t>Kapsam</t>
        </is>
      </c>
      <c r="C28" s="38" t="inlineStr">
        <is>
          <t>D13</t>
        </is>
      </c>
      <c r="D28" s="38" t="inlineStr">
        <is>
          <t>Sayı</t>
        </is>
      </c>
      <c r="E28" s="38" t="inlineStr">
        <is>
          <t>Number</t>
        </is>
      </c>
    </row>
    <row r="29" ht="15" customHeight="1" s="39">
      <c r="A29" s="38" t="n">
        <v>28</v>
      </c>
      <c r="B29" s="38" t="inlineStr">
        <is>
          <t>Kapsam</t>
        </is>
      </c>
      <c r="C29" s="38" t="inlineStr">
        <is>
          <t>B14</t>
        </is>
      </c>
      <c r="D29" s="38" t="inlineStr">
        <is>
          <t>SD Alanı</t>
        </is>
      </c>
      <c r="E29" s="38" t="inlineStr">
        <is>
          <t>SD Area</t>
        </is>
      </c>
    </row>
    <row r="30" ht="15" customHeight="1" s="39">
      <c r="A30" s="38" t="n">
        <v>29</v>
      </c>
      <c r="B30" s="38" t="inlineStr">
        <is>
          <t>Kapsam</t>
        </is>
      </c>
      <c r="C30" s="38" t="inlineStr">
        <is>
          <t>C14</t>
        </is>
      </c>
      <c r="D30" s="38" t="inlineStr">
        <is>
          <t>Web, Pazaryeri, Mağaza vb. Gibi farklı satış kanalları.</t>
        </is>
      </c>
      <c r="E30" s="38" t="inlineStr">
        <is>
          <t>Different sales channels such as web, marketplace, store, etc.</t>
        </is>
      </c>
    </row>
    <row r="31" ht="15" customHeight="1" s="39">
      <c r="A31" s="38" t="n">
        <v>30</v>
      </c>
      <c r="B31" s="38" t="inlineStr">
        <is>
          <t>Kapsam</t>
        </is>
      </c>
      <c r="C31" s="38" t="inlineStr">
        <is>
          <t>B15</t>
        </is>
      </c>
      <c r="D31" s="38" t="inlineStr">
        <is>
          <t>Ürün Tipi</t>
        </is>
      </c>
      <c r="E31" s="38" t="inlineStr">
        <is>
          <t>Product Type</t>
        </is>
      </c>
    </row>
    <row r="32" ht="15" customHeight="1" s="39">
      <c r="A32" s="38" t="n">
        <v>31</v>
      </c>
      <c r="B32" s="38" t="inlineStr">
        <is>
          <t>Kapsam</t>
        </is>
      </c>
      <c r="C32" s="38" t="inlineStr">
        <is>
          <t>C15</t>
        </is>
      </c>
      <c r="D32" s="38" t="inlineStr">
        <is>
          <t>Kaç farklı ürün grubu bulunmaktadır? Nihai bitmiş ürün grubu sayısı.</t>
        </is>
      </c>
      <c r="E32" s="38" t="inlineStr">
        <is>
          <t>How many different product groups are there? Number of final finished product groups.</t>
        </is>
      </c>
    </row>
    <row r="33" ht="15" customHeight="1" s="39">
      <c r="A33" s="38" t="n">
        <v>32</v>
      </c>
      <c r="B33" s="38" t="inlineStr">
        <is>
          <t>Kapsam</t>
        </is>
      </c>
      <c r="C33" s="38" t="inlineStr">
        <is>
          <t>B16</t>
        </is>
      </c>
      <c r="D33" s="38" t="inlineStr">
        <is>
          <t>3rd party MES Entegrasyonu</t>
        </is>
      </c>
      <c r="E33" s="38" t="inlineStr">
        <is>
          <t>3rd-Party MES Integration</t>
        </is>
      </c>
    </row>
    <row r="34" ht="15" customHeight="1" s="39">
      <c r="A34" s="38" t="n">
        <v>33</v>
      </c>
      <c r="B34" s="38" t="inlineStr">
        <is>
          <t>Kapsam</t>
        </is>
      </c>
      <c r="C34" s="38" t="inlineStr">
        <is>
          <t>C16</t>
        </is>
      </c>
      <c r="D34" s="38" t="inlineStr">
        <is>
          <t>Kaç farklı hatta farklı değişkenlerle MES entegrasyonu olacaktır</t>
        </is>
      </c>
      <c r="E34" s="38" t="inlineStr">
        <is>
          <t>In how many different lines will MES integration be implemented with different variables?</t>
        </is>
      </c>
    </row>
    <row r="35" ht="15" customHeight="1" s="39">
      <c r="A35" s="38" t="n">
        <v>34</v>
      </c>
      <c r="B35" s="38" t="inlineStr">
        <is>
          <t>Kapsam</t>
        </is>
      </c>
      <c r="C35" s="38" t="inlineStr">
        <is>
          <t>D16</t>
        </is>
      </c>
      <c r="D35" s="38" t="inlineStr">
        <is>
          <t>Evet / Hayır</t>
        </is>
      </c>
      <c r="E35" s="38" t="inlineStr">
        <is>
          <t>Yes / No</t>
        </is>
      </c>
    </row>
    <row r="36" ht="15" customHeight="1" s="39">
      <c r="A36" s="38" t="n">
        <v>35</v>
      </c>
      <c r="B36" s="38" t="inlineStr">
        <is>
          <t>Kapsam</t>
        </is>
      </c>
      <c r="C36" s="38" t="inlineStr">
        <is>
          <t>B17</t>
        </is>
      </c>
      <c r="D36" s="38" t="inlineStr">
        <is>
          <t>Varyant Konfigürasyonu</t>
        </is>
      </c>
      <c r="E36" s="38" t="inlineStr">
        <is>
          <t>Variant Configuration</t>
        </is>
      </c>
    </row>
    <row r="37" ht="15" customHeight="1" s="39">
      <c r="A37" s="38" t="n">
        <v>36</v>
      </c>
      <c r="B37" s="38" t="inlineStr">
        <is>
          <t>Kapsam</t>
        </is>
      </c>
      <c r="C37" s="38" t="inlineStr">
        <is>
          <t>C17</t>
        </is>
      </c>
      <c r="D37" s="38" t="inlineStr">
        <is>
          <t>Varyant konfigürasyonu kullanım ihtiyacı var mıdır?</t>
        </is>
      </c>
      <c r="E37" s="38" t="inlineStr">
        <is>
          <t>Is there a need to use variant configuration?</t>
        </is>
      </c>
    </row>
    <row r="38" ht="15" customHeight="1" s="39">
      <c r="A38" s="38" t="n">
        <v>37</v>
      </c>
      <c r="B38" s="38" t="inlineStr">
        <is>
          <t>Kapsam</t>
        </is>
      </c>
      <c r="C38" s="38" t="inlineStr">
        <is>
          <t>B18</t>
        </is>
      </c>
      <c r="D38" s="38" t="inlineStr">
        <is>
          <t>Fashion Vertical Business (FVB)</t>
        </is>
      </c>
      <c r="E38" s="38" t="inlineStr">
        <is>
          <t>Fashion Vertical Business (FVB)</t>
        </is>
      </c>
    </row>
    <row r="39" ht="15" customHeight="1" s="39">
      <c r="A39" s="38" t="n">
        <v>38</v>
      </c>
      <c r="B39" s="38" t="inlineStr">
        <is>
          <t>Kapsam</t>
        </is>
      </c>
      <c r="C39" s="38" t="inlineStr">
        <is>
          <t>C18</t>
        </is>
      </c>
      <c r="D39" s="38" t="inlineStr">
        <is>
          <t>Fashion çözümü konumlandırılacak mı?</t>
        </is>
      </c>
      <c r="E39" s="38" t="inlineStr">
        <is>
          <t>Will the fashion solution be positioned?</t>
        </is>
      </c>
    </row>
    <row r="40" ht="15" customHeight="1" s="39">
      <c r="A40" s="38" t="n">
        <v>39</v>
      </c>
      <c r="B40" s="38" t="inlineStr">
        <is>
          <t>Kapsam</t>
        </is>
      </c>
      <c r="C40" s="38" t="inlineStr">
        <is>
          <t>C19</t>
        </is>
      </c>
      <c r="D40" s="38" t="inlineStr">
        <is>
          <t>PP/DS kapsamda olacak mıdır?</t>
        </is>
      </c>
      <c r="E40" s="38" t="inlineStr">
        <is>
          <t>Will PP/DS be in scope?</t>
        </is>
      </c>
    </row>
    <row r="41" ht="15" customHeight="1" s="39">
      <c r="A41" s="38" t="n">
        <v>40</v>
      </c>
      <c r="B41" s="38" t="inlineStr">
        <is>
          <t>Kapsam</t>
        </is>
      </c>
      <c r="C41" s="38" t="inlineStr">
        <is>
          <t>B20</t>
        </is>
      </c>
      <c r="D41" s="38" t="inlineStr">
        <is>
          <t>Teslimat Planı</t>
        </is>
      </c>
      <c r="E41" s="38" t="inlineStr">
        <is>
          <t>Delivery Schedule</t>
        </is>
      </c>
    </row>
    <row r="42" ht="15" customHeight="1" s="39">
      <c r="A42" s="38" t="n">
        <v>41</v>
      </c>
      <c r="B42" s="38" t="inlineStr">
        <is>
          <t>Kapsam</t>
        </is>
      </c>
      <c r="C42" s="38" t="inlineStr">
        <is>
          <t>C20</t>
        </is>
      </c>
      <c r="D42" s="38" t="inlineStr">
        <is>
          <t>Teslimat planı kullanımı ihtiyacı bulunmakta mıdır?</t>
        </is>
      </c>
      <c r="E42" s="38" t="inlineStr">
        <is>
          <t>Is there a need to use delivery scheduling?</t>
        </is>
      </c>
    </row>
    <row r="43" ht="15" customHeight="1" s="39">
      <c r="A43" s="38" t="n">
        <v>42</v>
      </c>
      <c r="B43" s="38" t="inlineStr">
        <is>
          <t>Kapsam</t>
        </is>
      </c>
      <c r="C43" s="38" t="inlineStr">
        <is>
          <t>B21</t>
        </is>
      </c>
      <c r="D43" s="38" t="inlineStr">
        <is>
          <t>EWM Advanced</t>
        </is>
      </c>
      <c r="E43" s="38" t="inlineStr">
        <is>
          <t>EWM Advanced</t>
        </is>
      </c>
    </row>
    <row r="44" ht="15" customHeight="1" s="39">
      <c r="A44" s="38" t="n">
        <v>43</v>
      </c>
      <c r="B44" s="38" t="inlineStr">
        <is>
          <t>Kapsam</t>
        </is>
      </c>
      <c r="C44" s="38" t="inlineStr">
        <is>
          <t>C21</t>
        </is>
      </c>
      <c r="D44" s="38" t="inlineStr">
        <is>
          <t>Advanced EWM özelliklerinin kullanım ihtiyacı var mıdır?</t>
        </is>
      </c>
      <c r="E44" s="38" t="inlineStr">
        <is>
          <t>Is there a need to use advanced EWM features?</t>
        </is>
      </c>
    </row>
    <row r="45" ht="15" customHeight="1" s="39">
      <c r="A45" s="38" t="n">
        <v>44</v>
      </c>
      <c r="B45" s="38" t="inlineStr">
        <is>
          <t>Kapsam</t>
        </is>
      </c>
      <c r="C45" s="38" t="inlineStr">
        <is>
          <t>B22</t>
        </is>
      </c>
      <c r="D45" s="38" t="inlineStr">
        <is>
          <t>Farklı süreçlere sahip depoların sayısı</t>
        </is>
      </c>
      <c r="E45" s="38" t="inlineStr">
        <is>
          <t>Number of Warehouses with Different Processes</t>
        </is>
      </c>
    </row>
    <row r="46" ht="15" customHeight="1" s="39">
      <c r="A46" s="38" t="n">
        <v>45</v>
      </c>
      <c r="B46" s="38" t="inlineStr">
        <is>
          <t>Kapsam</t>
        </is>
      </c>
      <c r="C46" s="38" t="inlineStr">
        <is>
          <t>C22</t>
        </is>
      </c>
      <c r="D46" s="38" t="inlineStr">
        <is>
          <t>Benzer işi-süreci olan depolar göz önüne alındığında kaç farklı yapıda depo yapısı bulunmaktadır.</t>
        </is>
      </c>
      <c r="E46" s="38" t="inlineStr">
        <is>
          <t>Considering warehouses with similar business/processes, how many different warehouse structures are there?</t>
        </is>
      </c>
    </row>
    <row r="47" ht="15" customHeight="1" s="39">
      <c r="A47" s="38" t="n">
        <v>46</v>
      </c>
      <c r="B47" s="38" t="inlineStr">
        <is>
          <t>Kapsam</t>
        </is>
      </c>
      <c r="C47" s="38" t="inlineStr">
        <is>
          <t>B23</t>
        </is>
      </c>
      <c r="D47" s="38" t="inlineStr">
        <is>
          <t>Advanced TM</t>
        </is>
      </c>
      <c r="E47" s="38" t="inlineStr">
        <is>
          <t>Advanced TM</t>
        </is>
      </c>
    </row>
    <row r="48" ht="15" customHeight="1" s="39">
      <c r="A48" s="38" t="n">
        <v>47</v>
      </c>
      <c r="B48" s="38" t="inlineStr">
        <is>
          <t>Kapsam</t>
        </is>
      </c>
      <c r="C48" s="38" t="inlineStr">
        <is>
          <t>C23</t>
        </is>
      </c>
      <c r="D48" s="38" t="inlineStr">
        <is>
          <t>Advanced TM özelliklerinin kullanım ihtiyacı var mıdır?</t>
        </is>
      </c>
      <c r="E48" s="38" t="inlineStr">
        <is>
          <t>Is there a need to use advanced TM features?</t>
        </is>
      </c>
    </row>
    <row r="49" ht="15" customHeight="1" s="39">
      <c r="A49" s="38" t="n">
        <v>48</v>
      </c>
      <c r="B49" s="38" t="inlineStr">
        <is>
          <t>Size Etkili</t>
        </is>
      </c>
      <c r="C49" s="38" t="inlineStr">
        <is>
          <t>B1</t>
        </is>
      </c>
      <c r="D49" s="38" t="inlineStr">
        <is>
          <t>Değişken Tanım</t>
        </is>
      </c>
      <c r="E49" s="38" t="inlineStr">
        <is>
          <t>Variable Definition</t>
        </is>
      </c>
    </row>
    <row r="50" ht="15" customHeight="1" s="39">
      <c r="A50" s="38" t="n">
        <v>49</v>
      </c>
      <c r="B50" s="38" t="inlineStr">
        <is>
          <t>Size Etkili</t>
        </is>
      </c>
      <c r="C50" s="38" t="inlineStr">
        <is>
          <t>D1</t>
        </is>
      </c>
      <c r="D50" s="38" t="inlineStr">
        <is>
          <t>Değişken Grup</t>
        </is>
      </c>
      <c r="E50" s="38" t="inlineStr">
        <is>
          <t>Variable Group</t>
        </is>
      </c>
    </row>
    <row r="51" ht="15" customHeight="1" s="39">
      <c r="A51" s="38" t="n">
        <v>50</v>
      </c>
      <c r="B51" s="38" t="inlineStr">
        <is>
          <t>Size Etkili</t>
        </is>
      </c>
      <c r="C51" s="38" t="inlineStr">
        <is>
          <t>E1</t>
        </is>
      </c>
      <c r="D51" s="38" t="inlineStr">
        <is>
          <t>Size Etkiler mi?</t>
        </is>
      </c>
      <c r="E51" s="38" t="inlineStr">
        <is>
          <t>Size Dependency</t>
        </is>
      </c>
    </row>
    <row r="52" ht="15" customHeight="1" s="39">
      <c r="A52" s="38" t="n">
        <v>51</v>
      </c>
      <c r="B52" s="38" t="inlineStr">
        <is>
          <t>Size Etkili</t>
        </is>
      </c>
      <c r="C52" s="38" t="inlineStr">
        <is>
          <t>F1</t>
        </is>
      </c>
      <c r="D52" s="38" t="inlineStr">
        <is>
          <t>Efor Etki Tipi</t>
        </is>
      </c>
      <c r="E52" s="38" t="inlineStr">
        <is>
          <t>Effort Impact Type</t>
        </is>
      </c>
    </row>
    <row r="53" ht="15" customHeight="1" s="39">
      <c r="A53" s="38" t="n">
        <v>52</v>
      </c>
      <c r="B53" s="38" t="inlineStr">
        <is>
          <t>Size Etkili</t>
        </is>
      </c>
      <c r="C53" s="38" t="inlineStr">
        <is>
          <t>G1</t>
        </is>
      </c>
      <c r="D53" s="38" t="inlineStr">
        <is>
          <t>Puan için baz değer</t>
        </is>
      </c>
      <c r="E53" s="38" t="inlineStr">
        <is>
          <t>Base value for points</t>
        </is>
      </c>
    </row>
    <row r="54" ht="15" customHeight="1" s="39">
      <c r="A54" s="38" t="n">
        <v>53</v>
      </c>
      <c r="B54" s="38" t="inlineStr">
        <is>
          <t>Size Etkili</t>
        </is>
      </c>
      <c r="C54" s="38" t="inlineStr">
        <is>
          <t>I1</t>
        </is>
      </c>
      <c r="D54" s="38" t="inlineStr">
        <is>
          <t>Değer</t>
        </is>
      </c>
      <c r="E54" s="38" t="inlineStr">
        <is>
          <t>Value</t>
        </is>
      </c>
    </row>
    <row r="55" ht="15" customHeight="1" s="39">
      <c r="A55" s="38" t="n">
        <v>54</v>
      </c>
      <c r="B55" s="38" t="inlineStr">
        <is>
          <t>Size Etkili</t>
        </is>
      </c>
      <c r="C55" s="38" t="inlineStr">
        <is>
          <t>J1</t>
        </is>
      </c>
      <c r="D55" s="38" t="inlineStr">
        <is>
          <t>Etkilenen Modül 1</t>
        </is>
      </c>
      <c r="E55" s="38" t="inlineStr">
        <is>
          <t>Affected Module 1</t>
        </is>
      </c>
    </row>
    <row r="56" ht="15" customHeight="1" s="39">
      <c r="A56" s="38" t="n">
        <v>55</v>
      </c>
      <c r="B56" s="38" t="inlineStr">
        <is>
          <t>Size Etkili</t>
        </is>
      </c>
      <c r="C56" s="38" t="inlineStr">
        <is>
          <t>K1</t>
        </is>
      </c>
      <c r="D56" s="38" t="inlineStr">
        <is>
          <t>Etkilenen Modül 2</t>
        </is>
      </c>
      <c r="E56" s="38" t="inlineStr">
        <is>
          <t>Affected Module 2</t>
        </is>
      </c>
    </row>
    <row r="57" ht="15" customHeight="1" s="39">
      <c r="A57" s="38" t="n">
        <v>56</v>
      </c>
      <c r="B57" s="38" t="inlineStr">
        <is>
          <t>Size Etkili</t>
        </is>
      </c>
      <c r="C57" s="38" t="inlineStr">
        <is>
          <t>L1</t>
        </is>
      </c>
      <c r="D57" s="38" t="inlineStr">
        <is>
          <t>Etkilenen Modül 3</t>
        </is>
      </c>
      <c r="E57" s="38" t="inlineStr">
        <is>
          <t>Affected Module 3</t>
        </is>
      </c>
    </row>
    <row r="58" ht="15" customHeight="1" s="39">
      <c r="A58" s="38" t="n">
        <v>57</v>
      </c>
      <c r="B58" s="38" t="inlineStr">
        <is>
          <t>Size Etkili</t>
        </is>
      </c>
      <c r="C58" s="38" t="inlineStr">
        <is>
          <t>M1</t>
        </is>
      </c>
      <c r="D58" s="38" t="inlineStr">
        <is>
          <t>Etkilenen Modül 4</t>
        </is>
      </c>
      <c r="E58" s="38" t="inlineStr">
        <is>
          <t>Affected Module 4</t>
        </is>
      </c>
    </row>
    <row r="59" ht="15" customHeight="1" s="39">
      <c r="A59" s="38" t="n">
        <v>58</v>
      </c>
      <c r="B59" s="38" t="inlineStr">
        <is>
          <t>Size Etkili</t>
        </is>
      </c>
      <c r="C59" s="38" t="inlineStr">
        <is>
          <t>N1</t>
        </is>
      </c>
      <c r="D59" s="38" t="inlineStr">
        <is>
          <t>Etkilenen Modül 5</t>
        </is>
      </c>
      <c r="E59" s="38" t="inlineStr">
        <is>
          <t>Affected Module 5</t>
        </is>
      </c>
    </row>
    <row r="60" ht="15" customHeight="1" s="39">
      <c r="A60" s="38" t="n">
        <v>59</v>
      </c>
      <c r="B60" s="38" t="inlineStr">
        <is>
          <t>Size Etkili</t>
        </is>
      </c>
      <c r="C60" s="38" t="inlineStr">
        <is>
          <t>O1</t>
        </is>
      </c>
      <c r="D60" s="38" t="inlineStr">
        <is>
          <t>Etkilenen Modül 6</t>
        </is>
      </c>
      <c r="E60" s="38" t="inlineStr">
        <is>
          <t>Affected Module 6</t>
        </is>
      </c>
    </row>
    <row r="61" ht="15" customHeight="1" s="39">
      <c r="A61" s="38" t="n">
        <v>60</v>
      </c>
      <c r="B61" s="38" t="inlineStr">
        <is>
          <t>Size Etkili</t>
        </is>
      </c>
      <c r="C61" s="38" t="inlineStr">
        <is>
          <t>P1</t>
        </is>
      </c>
      <c r="D61" s="38" t="inlineStr">
        <is>
          <t>Etkilenen Modül 7</t>
        </is>
      </c>
      <c r="E61" s="38" t="inlineStr">
        <is>
          <t>Affected Module 7</t>
        </is>
      </c>
    </row>
    <row r="62" ht="15" customHeight="1" s="39">
      <c r="A62" s="38" t="n">
        <v>61</v>
      </c>
      <c r="B62" s="38" t="inlineStr">
        <is>
          <t>Size Etkili</t>
        </is>
      </c>
      <c r="C62" s="38" t="inlineStr">
        <is>
          <t>Q1</t>
        </is>
      </c>
      <c r="D62" s="38" t="inlineStr">
        <is>
          <t>Etkilenen Modül 8</t>
        </is>
      </c>
      <c r="E62" s="38" t="inlineStr">
        <is>
          <t>Affected Module 8</t>
        </is>
      </c>
    </row>
    <row r="63" ht="15" customHeight="1" s="39">
      <c r="A63" s="38" t="n">
        <v>62</v>
      </c>
      <c r="B63" s="38" t="inlineStr">
        <is>
          <t>Size Etkili</t>
        </is>
      </c>
      <c r="C63" s="38" t="inlineStr">
        <is>
          <t>D2</t>
        </is>
      </c>
      <c r="D63" s="38" t="inlineStr">
        <is>
          <t>Organizasyonel Yapı</t>
        </is>
      </c>
      <c r="E63" s="38" t="inlineStr">
        <is>
          <t>Organizasional Structure</t>
        </is>
      </c>
    </row>
    <row r="64" ht="15" customHeight="1" s="39">
      <c r="A64" s="38" t="n">
        <v>63</v>
      </c>
      <c r="B64" s="38" t="inlineStr">
        <is>
          <t>Size Etkili</t>
        </is>
      </c>
      <c r="C64" s="38" t="inlineStr">
        <is>
          <t>E2</t>
        </is>
      </c>
      <c r="D64" s="38" t="inlineStr">
        <is>
          <t>Evet</t>
        </is>
      </c>
      <c r="E64" s="38" t="inlineStr">
        <is>
          <t>Evet</t>
        </is>
      </c>
    </row>
    <row r="65" ht="15" customHeight="1" s="39">
      <c r="A65" s="38" t="n">
        <v>64</v>
      </c>
      <c r="B65" s="38" t="inlineStr">
        <is>
          <t>Size Etkili</t>
        </is>
      </c>
      <c r="C65" s="38" t="inlineStr">
        <is>
          <t>F2</t>
        </is>
      </c>
      <c r="D65" s="38" t="inlineStr">
        <is>
          <t>Katsayı</t>
        </is>
      </c>
      <c r="E65" s="38" t="inlineStr">
        <is>
          <t>Factor</t>
        </is>
      </c>
    </row>
    <row r="66" ht="15" customHeight="1" s="39">
      <c r="A66" s="38" t="n">
        <v>65</v>
      </c>
      <c r="B66" s="38" t="inlineStr">
        <is>
          <t>Size Etkili</t>
        </is>
      </c>
      <c r="C66" s="38" t="inlineStr">
        <is>
          <t>D5</t>
        </is>
      </c>
      <c r="D66" s="38" t="inlineStr">
        <is>
          <t>Ürün-Fonksiyon-Lisans</t>
        </is>
      </c>
      <c r="E66" s="38" t="inlineStr">
        <is>
          <t>Product-Function-Lisence</t>
        </is>
      </c>
    </row>
    <row r="67" ht="15" customHeight="1" s="39">
      <c r="A67" s="38" t="n">
        <v>66</v>
      </c>
      <c r="B67" s="38" t="inlineStr">
        <is>
          <t>Size Etkili</t>
        </is>
      </c>
      <c r="C67" s="38" t="inlineStr">
        <is>
          <t>F5</t>
        </is>
      </c>
      <c r="D67" s="38" t="inlineStr">
        <is>
          <t>+Sabit Faz Bazında Gün</t>
        </is>
      </c>
      <c r="E67" s="38" t="inlineStr">
        <is>
          <t>+Fixed Days by Phase</t>
        </is>
      </c>
    </row>
    <row r="68" ht="15" customHeight="1" s="39">
      <c r="A68" s="38" t="n">
        <v>67</v>
      </c>
      <c r="B68" s="38" t="inlineStr">
        <is>
          <t>Modül Seçimi</t>
        </is>
      </c>
      <c r="C68" s="38" t="inlineStr">
        <is>
          <t>A1</t>
        </is>
      </c>
      <c r="D68" s="38" t="inlineStr">
        <is>
          <t>Modül</t>
        </is>
      </c>
      <c r="E68" s="38" t="inlineStr">
        <is>
          <t>Module</t>
        </is>
      </c>
    </row>
    <row r="69" ht="15" customHeight="1" s="39">
      <c r="A69" s="38" t="n">
        <v>68</v>
      </c>
      <c r="B69" s="38" t="inlineStr">
        <is>
          <t>Modül Seçimi</t>
        </is>
      </c>
      <c r="C69" s="38" t="inlineStr">
        <is>
          <t>B1</t>
        </is>
      </c>
      <c r="D69" s="38" t="inlineStr">
        <is>
          <t>Var/Yok</t>
        </is>
      </c>
      <c r="E69" s="38" t="inlineStr">
        <is>
          <t>Include/Exclude</t>
        </is>
      </c>
    </row>
    <row r="70" ht="15" customHeight="1" s="39">
      <c r="A70" s="38" t="n">
        <v>69</v>
      </c>
      <c r="B70" s="38" t="inlineStr">
        <is>
          <t>Modül Seçimi</t>
        </is>
      </c>
      <c r="C70" s="38" t="inlineStr">
        <is>
          <t>C1</t>
        </is>
      </c>
      <c r="D70" s="38" t="inlineStr">
        <is>
          <t>Ekip Sayısı</t>
        </is>
      </c>
      <c r="E70" s="38" t="inlineStr">
        <is>
          <t>Team Count</t>
        </is>
      </c>
    </row>
    <row r="71" ht="15" customHeight="1" s="39">
      <c r="A71" s="38" t="n">
        <v>70</v>
      </c>
      <c r="B71" s="38" t="inlineStr">
        <is>
          <t>Modül Seçimi</t>
        </is>
      </c>
      <c r="C71" s="38" t="inlineStr">
        <is>
          <t>A20</t>
        </is>
      </c>
      <c r="D71" s="38" t="inlineStr">
        <is>
          <t>Not:</t>
        </is>
      </c>
      <c r="E71" s="38" t="inlineStr">
        <is>
          <t>Note:</t>
        </is>
      </c>
    </row>
    <row r="72" ht="15" customHeight="1" s="39">
      <c r="A72" s="38" t="n">
        <v>71</v>
      </c>
      <c r="B72" s="38" t="inlineStr">
        <is>
          <t>Modül Seçimi</t>
        </is>
      </c>
      <c r="C72" s="38" t="inlineStr">
        <is>
          <t>A21</t>
        </is>
      </c>
      <c r="D72" s="38" t="inlineStr">
        <is>
          <t>Varsayılan tüm modüller 'Var' gelir. Gerekmediklerini 'Yok' yapabilirsiniz.</t>
        </is>
      </c>
      <c r="E72" s="38" t="inlineStr">
        <is>
          <t>By default all modules are set to 'Include'. You can change unnecessary ones to 'Exclude'.</t>
        </is>
      </c>
    </row>
    <row r="73" ht="15" customHeight="1" s="39">
      <c r="A73" s="38" t="n">
        <v>72</v>
      </c>
      <c r="B73" s="38" t="inlineStr">
        <is>
          <t>Modüller</t>
        </is>
      </c>
      <c r="C73" s="38" t="inlineStr">
        <is>
          <t>A1</t>
        </is>
      </c>
      <c r="D73" s="38" t="inlineStr">
        <is>
          <t>Modüller</t>
        </is>
      </c>
      <c r="E73" s="38" t="inlineStr">
        <is>
          <t>Modules</t>
        </is>
      </c>
    </row>
    <row r="74" ht="15" customHeight="1" s="39">
      <c r="A74" s="38" t="n">
        <v>73</v>
      </c>
      <c r="B74" s="38" t="inlineStr">
        <is>
          <t>Modül Eforları</t>
        </is>
      </c>
      <c r="C74" s="38" t="inlineStr">
        <is>
          <t>E1</t>
        </is>
      </c>
      <c r="D74" s="38" t="inlineStr">
        <is>
          <t>Base efor + NonSize ek eforlar otomatik gelir.</t>
        </is>
      </c>
      <c r="E74" s="38" t="inlineStr">
        <is>
          <t>Base effort + Non-Size additions are applied automatically.</t>
        </is>
      </c>
    </row>
    <row r="75" ht="15" customHeight="1" s="39">
      <c r="A75" s="38" t="n">
        <v>74</v>
      </c>
      <c r="B75" s="38" t="inlineStr">
        <is>
          <t>Modül Eforları</t>
        </is>
      </c>
      <c r="C75" s="38" t="inlineStr">
        <is>
          <t>A3</t>
        </is>
      </c>
      <c r="D75" s="38" t="inlineStr">
        <is>
          <t>Column1</t>
        </is>
      </c>
      <c r="E75" s="38" t="inlineStr">
        <is>
          <t>Module</t>
        </is>
      </c>
    </row>
    <row r="76" ht="15" customHeight="1" s="39">
      <c r="A76" s="38" t="n">
        <v>75</v>
      </c>
      <c r="B76" s="38" t="inlineStr">
        <is>
          <t>Modül Eforları</t>
        </is>
      </c>
      <c r="C76" s="38" t="inlineStr">
        <is>
          <t>B3</t>
        </is>
      </c>
      <c r="D76" s="38" t="inlineStr">
        <is>
          <t>Analiz</t>
        </is>
      </c>
      <c r="E76" s="38" t="inlineStr">
        <is>
          <t>Analysis</t>
        </is>
      </c>
    </row>
    <row r="77" ht="15" customHeight="1" s="39">
      <c r="A77" s="38" t="n">
        <v>76</v>
      </c>
      <c r="B77" s="38" t="inlineStr">
        <is>
          <t>Modül Eforları</t>
        </is>
      </c>
      <c r="C77" s="38" t="inlineStr">
        <is>
          <t>C3</t>
        </is>
      </c>
      <c r="D77" s="38" t="inlineStr">
        <is>
          <t>Dokümantasyon</t>
        </is>
      </c>
      <c r="E77" s="38" t="inlineStr">
        <is>
          <t>Documentation</t>
        </is>
      </c>
    </row>
    <row r="78" ht="15" customHeight="1" s="39">
      <c r="A78" s="38" t="n">
        <v>77</v>
      </c>
      <c r="B78" s="38" t="inlineStr">
        <is>
          <t>Modül Eforları</t>
        </is>
      </c>
      <c r="C78" s="38" t="inlineStr">
        <is>
          <t>D3</t>
        </is>
      </c>
      <c r="D78" s="38" t="inlineStr">
        <is>
          <t>Onay</t>
        </is>
      </c>
      <c r="E78" s="38" t="inlineStr">
        <is>
          <t>Approval</t>
        </is>
      </c>
    </row>
    <row r="79" ht="15" customHeight="1" s="39">
      <c r="A79" s="38" t="n">
        <v>78</v>
      </c>
      <c r="B79" s="38" t="inlineStr">
        <is>
          <t>Modül Eforları</t>
        </is>
      </c>
      <c r="C79" s="38" t="inlineStr">
        <is>
          <t>E3</t>
        </is>
      </c>
      <c r="D79" s="38" t="inlineStr">
        <is>
          <t>Uyarlama</t>
        </is>
      </c>
      <c r="E79" s="38" t="inlineStr">
        <is>
          <t>Configuration</t>
        </is>
      </c>
    </row>
    <row r="80" ht="15" customHeight="1" s="39">
      <c r="A80" s="38" t="n">
        <v>79</v>
      </c>
      <c r="B80" s="38" t="inlineStr">
        <is>
          <t>Modül Eforları</t>
        </is>
      </c>
      <c r="C80" s="38" t="inlineStr">
        <is>
          <t>F3</t>
        </is>
      </c>
      <c r="D80" s="38" t="inlineStr">
        <is>
          <t>Birim Test</t>
        </is>
      </c>
      <c r="E80" s="38" t="inlineStr">
        <is>
          <t>Unit Test</t>
        </is>
      </c>
    </row>
    <row r="81" ht="15" customHeight="1" s="39">
      <c r="A81" s="38" t="n">
        <v>80</v>
      </c>
      <c r="B81" s="38" t="inlineStr">
        <is>
          <t>Modül Eforları</t>
        </is>
      </c>
      <c r="C81" s="38" t="inlineStr">
        <is>
          <t>G3</t>
        </is>
      </c>
      <c r="D81" s="38" t="inlineStr">
        <is>
          <t>QA Sistem Ayağa Kaldırma</t>
        </is>
      </c>
      <c r="E81" s="38" t="inlineStr">
        <is>
          <t>QA System Setup</t>
        </is>
      </c>
    </row>
    <row r="82" ht="15" customHeight="1" s="39">
      <c r="A82" s="38" t="n">
        <v>81</v>
      </c>
      <c r="B82" s="38" t="inlineStr">
        <is>
          <t>Modül Eforları</t>
        </is>
      </c>
      <c r="C82" s="38" t="inlineStr">
        <is>
          <t>H3</t>
        </is>
      </c>
      <c r="D82" s="38" t="inlineStr">
        <is>
          <t>QA Anaveri</t>
        </is>
      </c>
      <c r="E82" s="38" t="inlineStr">
        <is>
          <t>QA Master Data</t>
        </is>
      </c>
    </row>
    <row r="83" ht="15" customHeight="1" s="39">
      <c r="A83" s="38" t="n">
        <v>82</v>
      </c>
      <c r="B83" s="38" t="inlineStr">
        <is>
          <t>Modül Eforları</t>
        </is>
      </c>
      <c r="C83" s="38" t="inlineStr">
        <is>
          <t>I3</t>
        </is>
      </c>
      <c r="D83" s="38" t="inlineStr">
        <is>
          <t>Internal Entegrasyon Testi</t>
        </is>
      </c>
      <c r="E83" s="38" t="inlineStr">
        <is>
          <t>Internal Integration Test</t>
        </is>
      </c>
    </row>
    <row r="84" ht="15" customHeight="1" s="39">
      <c r="A84" s="38" t="n">
        <v>83</v>
      </c>
      <c r="B84" s="38" t="inlineStr">
        <is>
          <t>Modül Eforları</t>
        </is>
      </c>
      <c r="C84" s="38" t="inlineStr">
        <is>
          <t>J3</t>
        </is>
      </c>
      <c r="D84" s="38" t="inlineStr">
        <is>
          <t>Entegrasyon Testi</t>
        </is>
      </c>
      <c r="E84" s="38" t="inlineStr">
        <is>
          <t>Integration Test</t>
        </is>
      </c>
    </row>
    <row r="85" ht="15" customHeight="1" s="39">
      <c r="A85" s="38" t="n">
        <v>84</v>
      </c>
      <c r="B85" s="38" t="inlineStr">
        <is>
          <t>Modül Eforları</t>
        </is>
      </c>
      <c r="C85" s="38" t="inlineStr">
        <is>
          <t>K3</t>
        </is>
      </c>
      <c r="D85" s="38" t="inlineStr">
        <is>
          <t>Yetkilendirme</t>
        </is>
      </c>
      <c r="E85" s="38" t="inlineStr">
        <is>
          <t>Authorization</t>
        </is>
      </c>
    </row>
    <row r="86" ht="15" customHeight="1" s="39">
      <c r="A86" s="38" t="n">
        <v>85</v>
      </c>
      <c r="B86" s="38" t="inlineStr">
        <is>
          <t>Modül Eforları</t>
        </is>
      </c>
      <c r="C86" s="38" t="inlineStr">
        <is>
          <t>L3</t>
        </is>
      </c>
      <c r="D86" s="38" t="inlineStr">
        <is>
          <t>Canlı Sistem Ayağa Kaldırma</t>
        </is>
      </c>
      <c r="E86" s="38" t="inlineStr">
        <is>
          <t>Production System Setup</t>
        </is>
      </c>
    </row>
    <row r="87" ht="15" customHeight="1" s="39">
      <c r="A87" s="38" t="n">
        <v>86</v>
      </c>
      <c r="B87" s="38" t="inlineStr">
        <is>
          <t>Modül Eforları</t>
        </is>
      </c>
      <c r="C87" s="38" t="inlineStr">
        <is>
          <t>M3</t>
        </is>
      </c>
      <c r="D87" s="38" t="inlineStr">
        <is>
          <t>Anaveri Kontrol</t>
        </is>
      </c>
      <c r="E87" s="38" t="inlineStr">
        <is>
          <t>Master Data Check</t>
        </is>
      </c>
    </row>
    <row r="88" ht="15" customHeight="1" s="39">
      <c r="A88" s="38" t="n">
        <v>87</v>
      </c>
      <c r="B88" s="38" t="inlineStr">
        <is>
          <t>Modül Eforları</t>
        </is>
      </c>
      <c r="C88" s="38" t="inlineStr">
        <is>
          <t>N3</t>
        </is>
      </c>
      <c r="D88" s="38" t="inlineStr">
        <is>
          <t>Anaveri Aktarım</t>
        </is>
      </c>
      <c r="E88" s="38" t="inlineStr">
        <is>
          <t>Master Data Migration</t>
        </is>
      </c>
    </row>
    <row r="89" ht="15" customHeight="1" s="39">
      <c r="A89" s="38" t="n">
        <v>88</v>
      </c>
      <c r="B89" s="38" t="inlineStr">
        <is>
          <t>Modül Eforları</t>
        </is>
      </c>
      <c r="C89" s="38" t="inlineStr">
        <is>
          <t>O3</t>
        </is>
      </c>
      <c r="D89" s="38" t="inlineStr">
        <is>
          <t>Hypercare</t>
        </is>
      </c>
      <c r="E89" s="38" t="inlineStr">
        <is>
          <t>Hypercare</t>
        </is>
      </c>
    </row>
    <row r="90" ht="15" customHeight="1" s="39">
      <c r="A90" s="38" t="n">
        <v>89</v>
      </c>
      <c r="B90" s="38" t="inlineStr">
        <is>
          <t>Modül Eforları</t>
        </is>
      </c>
      <c r="C90" s="38" t="inlineStr">
        <is>
          <t>P3</t>
        </is>
      </c>
      <c r="D90" s="38" t="inlineStr">
        <is>
          <t>Canlı Destek</t>
        </is>
      </c>
      <c r="E90" s="38" t="inlineStr">
        <is>
          <t>Go-Live Support</t>
        </is>
      </c>
    </row>
    <row r="91" ht="15" customHeight="1" s="39">
      <c r="A91" s="38" t="n">
        <v>90</v>
      </c>
      <c r="B91" s="38" t="inlineStr">
        <is>
          <t>Modül Eforları</t>
        </is>
      </c>
      <c r="C91" s="38" t="inlineStr">
        <is>
          <t>Q3</t>
        </is>
      </c>
      <c r="D91" s="38" t="inlineStr">
        <is>
          <t>Toplam Modül</t>
        </is>
      </c>
      <c r="E91" s="38" t="inlineStr">
        <is>
          <t>Module Total</t>
        </is>
      </c>
    </row>
    <row r="92" ht="15" customHeight="1" s="39">
      <c r="A92" s="38" t="n">
        <v>91</v>
      </c>
      <c r="B92" s="38" t="inlineStr">
        <is>
          <t>Modül Eforları</t>
        </is>
      </c>
      <c r="C92" s="38" t="inlineStr">
        <is>
          <t>A19</t>
        </is>
      </c>
      <c r="D92" s="38" t="inlineStr">
        <is>
          <t>Toplam Faz</t>
        </is>
      </c>
      <c r="E92" s="38" t="inlineStr">
        <is>
          <t>Phase Total</t>
        </is>
      </c>
    </row>
    <row r="93" ht="15" customHeight="1" s="39">
      <c r="A93" s="38" t="n">
        <v>92</v>
      </c>
      <c r="B93" s="38" t="inlineStr">
        <is>
          <t>Sabit Günler</t>
        </is>
      </c>
      <c r="C93" s="38" t="inlineStr">
        <is>
          <t>A2</t>
        </is>
      </c>
      <c r="D93" s="38" t="inlineStr">
        <is>
          <t>SMALL</t>
        </is>
      </c>
      <c r="E93" s="38" t="inlineStr">
        <is>
          <t>SMALL</t>
        </is>
      </c>
    </row>
    <row r="94" ht="15" customHeight="1" s="39">
      <c r="A94" s="38" t="n">
        <v>93</v>
      </c>
      <c r="B94" s="38" t="inlineStr">
        <is>
          <t>Sabit Günler</t>
        </is>
      </c>
      <c r="C94" s="38" t="inlineStr">
        <is>
          <t>Z3</t>
        </is>
      </c>
      <c r="D94" s="38" t="inlineStr">
        <is>
          <t>SMALL|Column1</t>
        </is>
      </c>
      <c r="E94" s="38" t="inlineStr">
        <is>
          <t>SMALL|Column1</t>
        </is>
      </c>
    </row>
    <row r="95" ht="15" customHeight="1" s="39">
      <c r="A95" s="38" t="n">
        <v>94</v>
      </c>
      <c r="B95" s="38" t="inlineStr">
        <is>
          <t>Sabit Günler</t>
        </is>
      </c>
      <c r="C95" s="38" t="inlineStr">
        <is>
          <t>Z4</t>
        </is>
      </c>
      <c r="D95" s="38" t="inlineStr">
        <is>
          <t>SMALL|FI</t>
        </is>
      </c>
      <c r="E95" s="38" t="inlineStr">
        <is>
          <t>SMALL|FI</t>
        </is>
      </c>
    </row>
    <row r="96" ht="15" customHeight="1" s="39">
      <c r="A96" s="38" t="n">
        <v>95</v>
      </c>
      <c r="B96" s="38" t="inlineStr">
        <is>
          <t>Sabit Günler</t>
        </is>
      </c>
      <c r="C96" s="38" t="inlineStr">
        <is>
          <t>Z5</t>
        </is>
      </c>
      <c r="D96" s="38" t="inlineStr">
        <is>
          <t>SMALL|CO</t>
        </is>
      </c>
      <c r="E96" s="38" t="inlineStr">
        <is>
          <t>SMALL|CO</t>
        </is>
      </c>
    </row>
    <row r="97" ht="15" customHeight="1" s="39">
      <c r="A97" s="38" t="n">
        <v>96</v>
      </c>
      <c r="B97" s="38" t="inlineStr">
        <is>
          <t>Sabit Günler</t>
        </is>
      </c>
      <c r="C97" s="38" t="inlineStr">
        <is>
          <t>Z6</t>
        </is>
      </c>
      <c r="D97" s="38" t="inlineStr">
        <is>
          <t>SMALL|TRM</t>
        </is>
      </c>
      <c r="E97" s="38" t="inlineStr">
        <is>
          <t>SMALL|TRM</t>
        </is>
      </c>
    </row>
    <row r="98" ht="15" customHeight="1" s="39">
      <c r="A98" s="38" t="n">
        <v>97</v>
      </c>
      <c r="B98" s="38" t="inlineStr">
        <is>
          <t>Sabit Günler</t>
        </is>
      </c>
      <c r="C98" s="38" t="inlineStr">
        <is>
          <t>Z7</t>
        </is>
      </c>
      <c r="D98" s="38" t="inlineStr">
        <is>
          <t>SMALL|CM</t>
        </is>
      </c>
      <c r="E98" s="38" t="inlineStr">
        <is>
          <t>SMALL|CM</t>
        </is>
      </c>
    </row>
    <row r="99" ht="15" customHeight="1" s="39">
      <c r="A99" s="38" t="n">
        <v>98</v>
      </c>
      <c r="B99" s="38" t="inlineStr">
        <is>
          <t>Sabit Günler</t>
        </is>
      </c>
      <c r="C99" s="38" t="inlineStr">
        <is>
          <t>Z8</t>
        </is>
      </c>
      <c r="D99" s="38" t="inlineStr">
        <is>
          <t>SMALL|FM</t>
        </is>
      </c>
      <c r="E99" s="38" t="inlineStr">
        <is>
          <t>SMALL|FM</t>
        </is>
      </c>
    </row>
    <row r="100" ht="15" customHeight="1" s="39">
      <c r="A100" s="38" t="n">
        <v>99</v>
      </c>
      <c r="B100" s="38" t="inlineStr">
        <is>
          <t>Sabit Günler</t>
        </is>
      </c>
      <c r="C100" s="38" t="inlineStr">
        <is>
          <t>Z9</t>
        </is>
      </c>
      <c r="D100" s="38" t="inlineStr">
        <is>
          <t>SMALL|MM</t>
        </is>
      </c>
      <c r="E100" s="38" t="inlineStr">
        <is>
          <t>SMALL|MM</t>
        </is>
      </c>
    </row>
    <row r="101" ht="15" customHeight="1" s="39">
      <c r="A101" s="38" t="n">
        <v>100</v>
      </c>
      <c r="B101" s="38" t="inlineStr">
        <is>
          <t>Sabit Günler</t>
        </is>
      </c>
      <c r="C101" s="38" t="inlineStr">
        <is>
          <t>Z10</t>
        </is>
      </c>
      <c r="D101" s="38" t="inlineStr">
        <is>
          <t>SMALL|PP</t>
        </is>
      </c>
      <c r="E101" s="38" t="inlineStr">
        <is>
          <t>SMALL|PP</t>
        </is>
      </c>
    </row>
    <row r="102" ht="15" customHeight="1" s="39">
      <c r="A102" s="38" t="n">
        <v>101</v>
      </c>
      <c r="B102" s="38" t="inlineStr">
        <is>
          <t>Sabit Günler</t>
        </is>
      </c>
      <c r="C102" s="38" t="inlineStr">
        <is>
          <t>Z11</t>
        </is>
      </c>
      <c r="D102" s="38" t="inlineStr">
        <is>
          <t>SMALL|SD</t>
        </is>
      </c>
      <c r="E102" s="38" t="inlineStr">
        <is>
          <t>SMALL|SD</t>
        </is>
      </c>
    </row>
    <row r="103" ht="15" customHeight="1" s="39">
      <c r="A103" s="38" t="n">
        <v>102</v>
      </c>
      <c r="B103" s="38" t="inlineStr">
        <is>
          <t>Sabit Günler</t>
        </is>
      </c>
      <c r="C103" s="38" t="inlineStr">
        <is>
          <t>Z12</t>
        </is>
      </c>
      <c r="D103" s="38" t="inlineStr">
        <is>
          <t>SMALL|QM</t>
        </is>
      </c>
      <c r="E103" s="38" t="inlineStr">
        <is>
          <t>SMALL|QM</t>
        </is>
      </c>
    </row>
    <row r="104" ht="15" customHeight="1" s="39">
      <c r="A104" s="38" t="n">
        <v>103</v>
      </c>
      <c r="B104" s="38" t="inlineStr">
        <is>
          <t>Sabit Günler</t>
        </is>
      </c>
      <c r="C104" s="38" t="inlineStr">
        <is>
          <t>Z13</t>
        </is>
      </c>
      <c r="D104" s="38" t="inlineStr">
        <is>
          <t>SMALL|PM</t>
        </is>
      </c>
      <c r="E104" s="38" t="inlineStr">
        <is>
          <t>SMALL|PM</t>
        </is>
      </c>
    </row>
    <row r="105" ht="15" customHeight="1" s="39">
      <c r="A105" s="38" t="n">
        <v>104</v>
      </c>
      <c r="B105" s="38" t="inlineStr">
        <is>
          <t>Sabit Günler</t>
        </is>
      </c>
      <c r="C105" s="38" t="inlineStr">
        <is>
          <t>Z14</t>
        </is>
      </c>
      <c r="D105" s="38" t="inlineStr">
        <is>
          <t>SMALL|PS</t>
        </is>
      </c>
      <c r="E105" s="38" t="inlineStr">
        <is>
          <t>SMALL|PS</t>
        </is>
      </c>
    </row>
    <row r="106" ht="15" customHeight="1" s="39">
      <c r="A106" s="38" t="n">
        <v>105</v>
      </c>
      <c r="B106" s="38" t="inlineStr">
        <is>
          <t>Sabit Günler</t>
        </is>
      </c>
      <c r="C106" s="38" t="inlineStr">
        <is>
          <t>Z15</t>
        </is>
      </c>
      <c r="D106" s="38" t="inlineStr">
        <is>
          <t>SMALL|EWM</t>
        </is>
      </c>
      <c r="E106" s="38" t="inlineStr">
        <is>
          <t>SMALL|EWM</t>
        </is>
      </c>
    </row>
    <row r="107" ht="15" customHeight="1" s="39">
      <c r="A107" s="38" t="n">
        <v>106</v>
      </c>
      <c r="B107" s="38" t="inlineStr">
        <is>
          <t>Sabit Günler</t>
        </is>
      </c>
      <c r="C107" s="38" t="inlineStr">
        <is>
          <t>Z16</t>
        </is>
      </c>
      <c r="D107" s="38" t="inlineStr">
        <is>
          <t>SMALL|TM</t>
        </is>
      </c>
      <c r="E107" s="38" t="inlineStr">
        <is>
          <t>SMALL|TM</t>
        </is>
      </c>
    </row>
    <row r="108" ht="15" customHeight="1" s="39">
      <c r="A108" s="38" t="n">
        <v>107</v>
      </c>
      <c r="B108" s="38" t="inlineStr">
        <is>
          <t>Sabit Günler</t>
        </is>
      </c>
      <c r="C108" s="38" t="inlineStr">
        <is>
          <t>Z17</t>
        </is>
      </c>
      <c r="D108" s="38" t="inlineStr">
        <is>
          <t>SMALL|PPDS</t>
        </is>
      </c>
      <c r="E108" s="38" t="inlineStr">
        <is>
          <t>SMALL|PPDS</t>
        </is>
      </c>
    </row>
    <row r="109" ht="15" customHeight="1" s="39">
      <c r="A109" s="38" t="n">
        <v>108</v>
      </c>
      <c r="B109" s="38" t="inlineStr">
        <is>
          <t>Sabit Günler</t>
        </is>
      </c>
      <c r="C109" s="38" t="inlineStr">
        <is>
          <t>Z18</t>
        </is>
      </c>
      <c r="D109" s="38" t="inlineStr">
        <is>
          <t>SMALL|ABAP</t>
        </is>
      </c>
      <c r="E109" s="38" t="inlineStr">
        <is>
          <t>SMALL|ABAP</t>
        </is>
      </c>
    </row>
    <row r="110" ht="15" customHeight="1" s="39">
      <c r="A110" s="38" t="n">
        <v>109</v>
      </c>
      <c r="B110" s="38" t="inlineStr">
        <is>
          <t>Sabit Günler</t>
        </is>
      </c>
      <c r="C110" s="38" t="inlineStr">
        <is>
          <t>A20</t>
        </is>
      </c>
      <c r="D110" s="38" t="inlineStr">
        <is>
          <t>MEDIUM</t>
        </is>
      </c>
      <c r="E110" s="38" t="inlineStr">
        <is>
          <t>MEDIUM</t>
        </is>
      </c>
    </row>
    <row r="111" ht="15" customHeight="1" s="39">
      <c r="A111" s="38" t="n">
        <v>110</v>
      </c>
      <c r="B111" s="38" t="inlineStr">
        <is>
          <t>Sabit Günler</t>
        </is>
      </c>
      <c r="C111" s="38" t="inlineStr">
        <is>
          <t>Z21</t>
        </is>
      </c>
      <c r="D111" s="38" t="inlineStr">
        <is>
          <t>MEDIUM|Column1</t>
        </is>
      </c>
      <c r="E111" s="38" t="inlineStr">
        <is>
          <t>MEDIUM|Column1</t>
        </is>
      </c>
    </row>
    <row r="112" ht="15" customHeight="1" s="39">
      <c r="A112" s="38" t="n">
        <v>111</v>
      </c>
      <c r="B112" s="38" t="inlineStr">
        <is>
          <t>Sabit Günler</t>
        </is>
      </c>
      <c r="C112" s="38" t="inlineStr">
        <is>
          <t>Z22</t>
        </is>
      </c>
      <c r="D112" s="38" t="inlineStr">
        <is>
          <t>MEDIUM|FI</t>
        </is>
      </c>
      <c r="E112" s="38" t="inlineStr">
        <is>
          <t>MEDIUM|FI</t>
        </is>
      </c>
    </row>
    <row r="113" ht="15" customHeight="1" s="39">
      <c r="A113" s="38" t="n">
        <v>112</v>
      </c>
      <c r="B113" s="38" t="inlineStr">
        <is>
          <t>Sabit Günler</t>
        </is>
      </c>
      <c r="C113" s="38" t="inlineStr">
        <is>
          <t>Z23</t>
        </is>
      </c>
      <c r="D113" s="38" t="inlineStr">
        <is>
          <t>MEDIUM|CO</t>
        </is>
      </c>
      <c r="E113" s="38" t="inlineStr">
        <is>
          <t>MEDIUM|CO</t>
        </is>
      </c>
    </row>
    <row r="114" ht="15" customHeight="1" s="39">
      <c r="A114" s="38" t="n">
        <v>113</v>
      </c>
      <c r="B114" s="38" t="inlineStr">
        <is>
          <t>Sabit Günler</t>
        </is>
      </c>
      <c r="C114" s="38" t="inlineStr">
        <is>
          <t>Z24</t>
        </is>
      </c>
      <c r="D114" s="38" t="inlineStr">
        <is>
          <t>MEDIUM|TRM</t>
        </is>
      </c>
      <c r="E114" s="38" t="inlineStr">
        <is>
          <t>MEDIUM|TRM</t>
        </is>
      </c>
    </row>
    <row r="115" ht="15" customHeight="1" s="39">
      <c r="A115" s="38" t="n">
        <v>114</v>
      </c>
      <c r="B115" s="38" t="inlineStr">
        <is>
          <t>Sabit Günler</t>
        </is>
      </c>
      <c r="C115" s="38" t="inlineStr">
        <is>
          <t>Z25</t>
        </is>
      </c>
      <c r="D115" s="38" t="inlineStr">
        <is>
          <t>MEDIUM|CM</t>
        </is>
      </c>
      <c r="E115" s="38" t="inlineStr">
        <is>
          <t>MEDIUM|CM</t>
        </is>
      </c>
    </row>
    <row r="116" ht="15" customHeight="1" s="39">
      <c r="A116" s="38" t="n">
        <v>115</v>
      </c>
      <c r="B116" s="38" t="inlineStr">
        <is>
          <t>Sabit Günler</t>
        </is>
      </c>
      <c r="C116" s="38" t="inlineStr">
        <is>
          <t>Z26</t>
        </is>
      </c>
      <c r="D116" s="38" t="inlineStr">
        <is>
          <t>MEDIUM|FM</t>
        </is>
      </c>
      <c r="E116" s="38" t="inlineStr">
        <is>
          <t>MEDIUM|FM</t>
        </is>
      </c>
    </row>
    <row r="117" ht="15" customHeight="1" s="39">
      <c r="A117" s="38" t="n">
        <v>116</v>
      </c>
      <c r="B117" s="38" t="inlineStr">
        <is>
          <t>Sabit Günler</t>
        </is>
      </c>
      <c r="C117" s="38" t="inlineStr">
        <is>
          <t>Z27</t>
        </is>
      </c>
      <c r="D117" s="38" t="inlineStr">
        <is>
          <t>MEDIUM|MM</t>
        </is>
      </c>
      <c r="E117" s="38" t="inlineStr">
        <is>
          <t>MEDIUM|MM</t>
        </is>
      </c>
    </row>
    <row r="118" ht="15" customHeight="1" s="39">
      <c r="A118" s="38" t="n">
        <v>117</v>
      </c>
      <c r="B118" s="38" t="inlineStr">
        <is>
          <t>Sabit Günler</t>
        </is>
      </c>
      <c r="C118" s="38" t="inlineStr">
        <is>
          <t>Z28</t>
        </is>
      </c>
      <c r="D118" s="38" t="inlineStr">
        <is>
          <t>MEDIUM|PP</t>
        </is>
      </c>
      <c r="E118" s="38" t="inlineStr">
        <is>
          <t>MEDIUM|PP</t>
        </is>
      </c>
    </row>
    <row r="119" ht="15" customHeight="1" s="39">
      <c r="A119" s="38" t="n">
        <v>118</v>
      </c>
      <c r="B119" s="38" t="inlineStr">
        <is>
          <t>Sabit Günler</t>
        </is>
      </c>
      <c r="C119" s="38" t="inlineStr">
        <is>
          <t>Z29</t>
        </is>
      </c>
      <c r="D119" s="38" t="inlineStr">
        <is>
          <t>MEDIUM|SD</t>
        </is>
      </c>
      <c r="E119" s="38" t="inlineStr">
        <is>
          <t>MEDIUM|SD</t>
        </is>
      </c>
    </row>
    <row r="120" ht="15" customHeight="1" s="39">
      <c r="A120" s="38" t="n">
        <v>119</v>
      </c>
      <c r="B120" s="38" t="inlineStr">
        <is>
          <t>Sabit Günler</t>
        </is>
      </c>
      <c r="C120" s="38" t="inlineStr">
        <is>
          <t>Z30</t>
        </is>
      </c>
      <c r="D120" s="38" t="inlineStr">
        <is>
          <t>MEDIUM|QM</t>
        </is>
      </c>
      <c r="E120" s="38" t="inlineStr">
        <is>
          <t>MEDIUM|QM</t>
        </is>
      </c>
    </row>
    <row r="121" ht="15" customHeight="1" s="39">
      <c r="A121" s="38" t="n">
        <v>120</v>
      </c>
      <c r="B121" s="38" t="inlineStr">
        <is>
          <t>Sabit Günler</t>
        </is>
      </c>
      <c r="C121" s="38" t="inlineStr">
        <is>
          <t>Z31</t>
        </is>
      </c>
      <c r="D121" s="38" t="inlineStr">
        <is>
          <t>MEDIUM|PM</t>
        </is>
      </c>
      <c r="E121" s="38" t="inlineStr">
        <is>
          <t>MEDIUM|PM</t>
        </is>
      </c>
    </row>
    <row r="122" ht="15" customHeight="1" s="39">
      <c r="A122" s="38" t="n">
        <v>121</v>
      </c>
      <c r="B122" s="38" t="inlineStr">
        <is>
          <t>Sabit Günler</t>
        </is>
      </c>
      <c r="C122" s="38" t="inlineStr">
        <is>
          <t>Z32</t>
        </is>
      </c>
      <c r="D122" s="38" t="inlineStr">
        <is>
          <t>MEDIUM|PS</t>
        </is>
      </c>
      <c r="E122" s="38" t="inlineStr">
        <is>
          <t>MEDIUM|PS</t>
        </is>
      </c>
    </row>
    <row r="123" ht="15" customHeight="1" s="39">
      <c r="A123" s="38" t="n">
        <v>122</v>
      </c>
      <c r="B123" s="38" t="inlineStr">
        <is>
          <t>Sabit Günler</t>
        </is>
      </c>
      <c r="C123" s="38" t="inlineStr">
        <is>
          <t>Z33</t>
        </is>
      </c>
      <c r="D123" s="38" t="inlineStr">
        <is>
          <t>MEDIUM|EWM</t>
        </is>
      </c>
      <c r="E123" s="38" t="inlineStr">
        <is>
          <t>MEDIUM|EWM</t>
        </is>
      </c>
    </row>
    <row r="124" ht="15" customHeight="1" s="39">
      <c r="A124" s="38" t="n">
        <v>123</v>
      </c>
      <c r="B124" s="38" t="inlineStr">
        <is>
          <t>Sabit Günler</t>
        </is>
      </c>
      <c r="C124" s="38" t="inlineStr">
        <is>
          <t>Z34</t>
        </is>
      </c>
      <c r="D124" s="38" t="inlineStr">
        <is>
          <t>MEDIUM|TM</t>
        </is>
      </c>
      <c r="E124" s="38" t="inlineStr">
        <is>
          <t>MEDIUM|TM</t>
        </is>
      </c>
    </row>
    <row r="125" ht="15" customHeight="1" s="39">
      <c r="A125" s="38" t="n">
        <v>124</v>
      </c>
      <c r="B125" s="38" t="inlineStr">
        <is>
          <t>Sabit Günler</t>
        </is>
      </c>
      <c r="C125" s="38" t="inlineStr">
        <is>
          <t>Z35</t>
        </is>
      </c>
      <c r="D125" s="38" t="inlineStr">
        <is>
          <t>MEDIUM|PPDS</t>
        </is>
      </c>
      <c r="E125" s="38" t="inlineStr">
        <is>
          <t>MEDIUM|PPDS</t>
        </is>
      </c>
    </row>
    <row r="126" ht="15" customHeight="1" s="39">
      <c r="A126" s="38" t="n">
        <v>125</v>
      </c>
      <c r="B126" s="38" t="inlineStr">
        <is>
          <t>Sabit Günler</t>
        </is>
      </c>
      <c r="C126" s="38" t="inlineStr">
        <is>
          <t>Z36</t>
        </is>
      </c>
      <c r="D126" s="38" t="inlineStr">
        <is>
          <t>MEDIUM|ABAP</t>
        </is>
      </c>
      <c r="E126" s="38" t="inlineStr">
        <is>
          <t>MEDIUM|ABAP</t>
        </is>
      </c>
    </row>
    <row r="127" ht="15" customHeight="1" s="39">
      <c r="A127" s="38" t="n">
        <v>126</v>
      </c>
      <c r="B127" s="38" t="inlineStr">
        <is>
          <t>Sabit Günler</t>
        </is>
      </c>
      <c r="C127" s="38" t="inlineStr">
        <is>
          <t>A38</t>
        </is>
      </c>
      <c r="D127" s="38" t="inlineStr">
        <is>
          <t>LARGE</t>
        </is>
      </c>
      <c r="E127" s="38" t="inlineStr">
        <is>
          <t>LARGE</t>
        </is>
      </c>
    </row>
    <row r="128" ht="15" customHeight="1" s="39">
      <c r="A128" s="38" t="n">
        <v>127</v>
      </c>
      <c r="B128" s="38" t="inlineStr">
        <is>
          <t>Sabit Günler</t>
        </is>
      </c>
      <c r="C128" s="38" t="inlineStr">
        <is>
          <t>Z39</t>
        </is>
      </c>
      <c r="D128" s="38" t="inlineStr">
        <is>
          <t>LARGE|Column1</t>
        </is>
      </c>
      <c r="E128" s="38" t="inlineStr">
        <is>
          <t>LARGE|Column1</t>
        </is>
      </c>
    </row>
    <row r="129" ht="15" customHeight="1" s="39">
      <c r="A129" s="38" t="n">
        <v>128</v>
      </c>
      <c r="B129" s="38" t="inlineStr">
        <is>
          <t>Sabit Günler</t>
        </is>
      </c>
      <c r="C129" s="38" t="inlineStr">
        <is>
          <t>Z40</t>
        </is>
      </c>
      <c r="D129" s="38" t="inlineStr">
        <is>
          <t>LARGE|FI</t>
        </is>
      </c>
      <c r="E129" s="38" t="inlineStr">
        <is>
          <t>LARGE|FI</t>
        </is>
      </c>
    </row>
    <row r="130" ht="15" customHeight="1" s="39">
      <c r="A130" s="38" t="n">
        <v>129</v>
      </c>
      <c r="B130" s="38" t="inlineStr">
        <is>
          <t>Sabit Günler</t>
        </is>
      </c>
      <c r="C130" s="38" t="inlineStr">
        <is>
          <t>Z41</t>
        </is>
      </c>
      <c r="D130" s="38" t="inlineStr">
        <is>
          <t>LARGE|CO</t>
        </is>
      </c>
      <c r="E130" s="38" t="inlineStr">
        <is>
          <t>LARGE|CO</t>
        </is>
      </c>
    </row>
    <row r="131" ht="15" customHeight="1" s="39">
      <c r="A131" s="38" t="n">
        <v>130</v>
      </c>
      <c r="B131" s="38" t="inlineStr">
        <is>
          <t>Sabit Günler</t>
        </is>
      </c>
      <c r="C131" s="38" t="inlineStr">
        <is>
          <t>Z42</t>
        </is>
      </c>
      <c r="D131" s="38" t="inlineStr">
        <is>
          <t>LARGE|TRM</t>
        </is>
      </c>
      <c r="E131" s="38" t="inlineStr">
        <is>
          <t>LARGE|TRM</t>
        </is>
      </c>
    </row>
    <row r="132" ht="15" customHeight="1" s="39">
      <c r="A132" s="38" t="n">
        <v>131</v>
      </c>
      <c r="B132" s="38" t="inlineStr">
        <is>
          <t>Sabit Günler</t>
        </is>
      </c>
      <c r="C132" s="38" t="inlineStr">
        <is>
          <t>Z43</t>
        </is>
      </c>
      <c r="D132" s="38" t="inlineStr">
        <is>
          <t>LARGE|CM</t>
        </is>
      </c>
      <c r="E132" s="38" t="inlineStr">
        <is>
          <t>LARGE|CM</t>
        </is>
      </c>
    </row>
    <row r="133" ht="15" customHeight="1" s="39">
      <c r="A133" s="38" t="n">
        <v>132</v>
      </c>
      <c r="B133" s="38" t="inlineStr">
        <is>
          <t>Sabit Günler</t>
        </is>
      </c>
      <c r="C133" s="38" t="inlineStr">
        <is>
          <t>Z44</t>
        </is>
      </c>
      <c r="D133" s="38" t="inlineStr">
        <is>
          <t>LARGE|FM</t>
        </is>
      </c>
      <c r="E133" s="38" t="inlineStr">
        <is>
          <t>LARGE|FM</t>
        </is>
      </c>
    </row>
    <row r="134" ht="15" customHeight="1" s="39">
      <c r="A134" s="38" t="n">
        <v>133</v>
      </c>
      <c r="B134" s="38" t="inlineStr">
        <is>
          <t>Sabit Günler</t>
        </is>
      </c>
      <c r="C134" s="38" t="inlineStr">
        <is>
          <t>Z45</t>
        </is>
      </c>
      <c r="D134" s="38" t="inlineStr">
        <is>
          <t>LARGE|MM</t>
        </is>
      </c>
      <c r="E134" s="38" t="inlineStr">
        <is>
          <t>LARGE|MM</t>
        </is>
      </c>
    </row>
    <row r="135" ht="15" customHeight="1" s="39">
      <c r="A135" s="38" t="n">
        <v>134</v>
      </c>
      <c r="B135" s="38" t="inlineStr">
        <is>
          <t>Sabit Günler</t>
        </is>
      </c>
      <c r="C135" s="38" t="inlineStr">
        <is>
          <t>Z46</t>
        </is>
      </c>
      <c r="D135" s="38" t="inlineStr">
        <is>
          <t>LARGE|PP</t>
        </is>
      </c>
      <c r="E135" s="38" t="inlineStr">
        <is>
          <t>LARGE|PP</t>
        </is>
      </c>
    </row>
    <row r="136" ht="15" customHeight="1" s="39">
      <c r="A136" s="38" t="n">
        <v>135</v>
      </c>
      <c r="B136" s="38" t="inlineStr">
        <is>
          <t>Sabit Günler</t>
        </is>
      </c>
      <c r="C136" s="38" t="inlineStr">
        <is>
          <t>Z47</t>
        </is>
      </c>
      <c r="D136" s="38" t="inlineStr">
        <is>
          <t>LARGE|SD</t>
        </is>
      </c>
      <c r="E136" s="38" t="inlineStr">
        <is>
          <t>LARGE|SD</t>
        </is>
      </c>
    </row>
    <row r="137" ht="15" customHeight="1" s="39">
      <c r="A137" s="38" t="n">
        <v>136</v>
      </c>
      <c r="B137" s="38" t="inlineStr">
        <is>
          <t>Sabit Günler</t>
        </is>
      </c>
      <c r="C137" s="38" t="inlineStr">
        <is>
          <t>Z48</t>
        </is>
      </c>
      <c r="D137" s="38" t="inlineStr">
        <is>
          <t>LARGE|QM</t>
        </is>
      </c>
      <c r="E137" s="38" t="inlineStr">
        <is>
          <t>LARGE|QM</t>
        </is>
      </c>
    </row>
    <row r="138" ht="15" customHeight="1" s="39">
      <c r="A138" s="38" t="n">
        <v>137</v>
      </c>
      <c r="B138" s="38" t="inlineStr">
        <is>
          <t>Sabit Günler</t>
        </is>
      </c>
      <c r="C138" s="38" t="inlineStr">
        <is>
          <t>Z49</t>
        </is>
      </c>
      <c r="D138" s="38" t="inlineStr">
        <is>
          <t>LARGE|PM</t>
        </is>
      </c>
      <c r="E138" s="38" t="inlineStr">
        <is>
          <t>LARGE|PM</t>
        </is>
      </c>
    </row>
    <row r="139" ht="15" customHeight="1" s="39">
      <c r="A139" s="38" t="n">
        <v>138</v>
      </c>
      <c r="B139" s="38" t="inlineStr">
        <is>
          <t>Sabit Günler</t>
        </is>
      </c>
      <c r="C139" s="38" t="inlineStr">
        <is>
          <t>Z50</t>
        </is>
      </c>
      <c r="D139" s="38" t="inlineStr">
        <is>
          <t>LARGE|PS</t>
        </is>
      </c>
      <c r="E139" s="38" t="inlineStr">
        <is>
          <t>LARGE|PS</t>
        </is>
      </c>
    </row>
    <row r="140" ht="15" customHeight="1" s="39">
      <c r="A140" s="38" t="n">
        <v>139</v>
      </c>
      <c r="B140" s="38" t="inlineStr">
        <is>
          <t>Sabit Günler</t>
        </is>
      </c>
      <c r="C140" s="38" t="inlineStr">
        <is>
          <t>Z51</t>
        </is>
      </c>
      <c r="D140" s="38" t="inlineStr">
        <is>
          <t>LARGE|EWM</t>
        </is>
      </c>
      <c r="E140" s="38" t="inlineStr">
        <is>
          <t>LARGE|EWM</t>
        </is>
      </c>
    </row>
    <row r="141" ht="15" customHeight="1" s="39">
      <c r="A141" s="38" t="n">
        <v>140</v>
      </c>
      <c r="B141" s="38" t="inlineStr">
        <is>
          <t>Sabit Günler</t>
        </is>
      </c>
      <c r="C141" s="38" t="inlineStr">
        <is>
          <t>Z52</t>
        </is>
      </c>
      <c r="D141" s="38" t="inlineStr">
        <is>
          <t>LARGE|TM</t>
        </is>
      </c>
      <c r="E141" s="38" t="inlineStr">
        <is>
          <t>LARGE|TM</t>
        </is>
      </c>
    </row>
    <row r="142" ht="15" customHeight="1" s="39">
      <c r="A142" s="38" t="n">
        <v>141</v>
      </c>
      <c r="B142" s="38" t="inlineStr">
        <is>
          <t>Sabit Günler</t>
        </is>
      </c>
      <c r="C142" s="38" t="inlineStr">
        <is>
          <t>Z53</t>
        </is>
      </c>
      <c r="D142" s="38" t="inlineStr">
        <is>
          <t>LARGE|PPDS</t>
        </is>
      </c>
      <c r="E142" s="38" t="inlineStr">
        <is>
          <t>LARGE|PPDS</t>
        </is>
      </c>
    </row>
    <row r="143" ht="15" customHeight="1" s="39">
      <c r="A143" s="38" t="n">
        <v>142</v>
      </c>
      <c r="B143" s="38" t="inlineStr">
        <is>
          <t>Sabit Günler</t>
        </is>
      </c>
      <c r="C143" s="38" t="inlineStr">
        <is>
          <t>Z54</t>
        </is>
      </c>
      <c r="D143" s="38" t="inlineStr">
        <is>
          <t>LARGE|ABAP</t>
        </is>
      </c>
      <c r="E143" s="38" t="inlineStr">
        <is>
          <t>LARGE|ABAP</t>
        </is>
      </c>
    </row>
    <row r="144" ht="15" customHeight="1" s="39">
      <c r="A144" s="38" t="n">
        <v>143</v>
      </c>
      <c r="B144" s="38" t="inlineStr">
        <is>
          <t>Sabit Günler</t>
        </is>
      </c>
      <c r="C144" s="38" t="inlineStr">
        <is>
          <t>A56</t>
        </is>
      </c>
      <c r="D144" s="38" t="inlineStr">
        <is>
          <t>X-LARGE</t>
        </is>
      </c>
      <c r="E144" s="38" t="inlineStr">
        <is>
          <t>X-LARGE</t>
        </is>
      </c>
    </row>
    <row r="145" ht="15" customHeight="1" s="39">
      <c r="A145" s="38" t="n">
        <v>144</v>
      </c>
      <c r="B145" s="38" t="inlineStr">
        <is>
          <t>Sabit Günler</t>
        </is>
      </c>
      <c r="C145" s="38" t="inlineStr">
        <is>
          <t>Z57</t>
        </is>
      </c>
      <c r="D145" s="38" t="inlineStr">
        <is>
          <t>X-LARGE|Column1</t>
        </is>
      </c>
      <c r="E145" s="38" t="inlineStr">
        <is>
          <t>X-LARGE|Column1</t>
        </is>
      </c>
    </row>
    <row r="146" ht="15" customHeight="1" s="39">
      <c r="A146" s="38" t="n">
        <v>145</v>
      </c>
      <c r="B146" s="38" t="inlineStr">
        <is>
          <t>Sabit Günler</t>
        </is>
      </c>
      <c r="C146" s="38" t="inlineStr">
        <is>
          <t>Z58</t>
        </is>
      </c>
      <c r="D146" s="38" t="inlineStr">
        <is>
          <t>X-LARGE|FI</t>
        </is>
      </c>
      <c r="E146" s="38" t="inlineStr">
        <is>
          <t>X-LARGE|FI</t>
        </is>
      </c>
    </row>
    <row r="147" ht="15" customHeight="1" s="39">
      <c r="A147" s="38" t="n">
        <v>146</v>
      </c>
      <c r="B147" s="38" t="inlineStr">
        <is>
          <t>Sabit Günler</t>
        </is>
      </c>
      <c r="C147" s="38" t="inlineStr">
        <is>
          <t>Z59</t>
        </is>
      </c>
      <c r="D147" s="38" t="inlineStr">
        <is>
          <t>X-LARGE|CO</t>
        </is>
      </c>
      <c r="E147" s="38" t="inlineStr">
        <is>
          <t>X-LARGE|CO</t>
        </is>
      </c>
    </row>
    <row r="148" ht="15" customHeight="1" s="39">
      <c r="A148" s="38" t="n">
        <v>147</v>
      </c>
      <c r="B148" s="38" t="inlineStr">
        <is>
          <t>Sabit Günler</t>
        </is>
      </c>
      <c r="C148" s="38" t="inlineStr">
        <is>
          <t>Z60</t>
        </is>
      </c>
      <c r="D148" s="38" t="inlineStr">
        <is>
          <t>X-LARGE|TRM</t>
        </is>
      </c>
      <c r="E148" s="38" t="inlineStr">
        <is>
          <t>X-LARGE|TRM</t>
        </is>
      </c>
    </row>
    <row r="149" ht="15" customHeight="1" s="39">
      <c r="A149" s="38" t="n">
        <v>148</v>
      </c>
      <c r="B149" s="38" t="inlineStr">
        <is>
          <t>Sabit Günler</t>
        </is>
      </c>
      <c r="C149" s="38" t="inlineStr">
        <is>
          <t>Z61</t>
        </is>
      </c>
      <c r="D149" s="38" t="inlineStr">
        <is>
          <t>X-LARGE|CM</t>
        </is>
      </c>
      <c r="E149" s="38" t="inlineStr">
        <is>
          <t>X-LARGE|CM</t>
        </is>
      </c>
    </row>
    <row r="150" ht="15" customHeight="1" s="39">
      <c r="A150" s="38" t="n">
        <v>149</v>
      </c>
      <c r="B150" s="38" t="inlineStr">
        <is>
          <t>Sabit Günler</t>
        </is>
      </c>
      <c r="C150" s="38" t="inlineStr">
        <is>
          <t>Z62</t>
        </is>
      </c>
      <c r="D150" s="38" t="inlineStr">
        <is>
          <t>X-LARGE|FM</t>
        </is>
      </c>
      <c r="E150" s="38" t="inlineStr">
        <is>
          <t>X-LARGE|FM</t>
        </is>
      </c>
    </row>
    <row r="151" ht="15" customHeight="1" s="39">
      <c r="A151" s="38" t="n">
        <v>150</v>
      </c>
      <c r="B151" s="38" t="inlineStr">
        <is>
          <t>Sabit Günler</t>
        </is>
      </c>
      <c r="C151" s="38" t="inlineStr">
        <is>
          <t>Z63</t>
        </is>
      </c>
      <c r="D151" s="38" t="inlineStr">
        <is>
          <t>X-LARGE|MM</t>
        </is>
      </c>
      <c r="E151" s="38" t="inlineStr">
        <is>
          <t>X-LARGE|MM</t>
        </is>
      </c>
    </row>
    <row r="152" ht="15" customHeight="1" s="39">
      <c r="A152" s="38" t="n">
        <v>151</v>
      </c>
      <c r="B152" s="38" t="inlineStr">
        <is>
          <t>Sabit Günler</t>
        </is>
      </c>
      <c r="C152" s="38" t="inlineStr">
        <is>
          <t>Z64</t>
        </is>
      </c>
      <c r="D152" s="38" t="inlineStr">
        <is>
          <t>X-LARGE|PP</t>
        </is>
      </c>
      <c r="E152" s="38" t="inlineStr">
        <is>
          <t>X-LARGE|PP</t>
        </is>
      </c>
    </row>
    <row r="153" ht="15" customHeight="1" s="39">
      <c r="A153" s="38" t="n">
        <v>152</v>
      </c>
      <c r="B153" s="38" t="inlineStr">
        <is>
          <t>Sabit Günler</t>
        </is>
      </c>
      <c r="C153" s="38" t="inlineStr">
        <is>
          <t>Z65</t>
        </is>
      </c>
      <c r="D153" s="38" t="inlineStr">
        <is>
          <t>X-LARGE|SD</t>
        </is>
      </c>
      <c r="E153" s="38" t="inlineStr">
        <is>
          <t>X-LARGE|SD</t>
        </is>
      </c>
    </row>
    <row r="154" ht="15" customHeight="1" s="39">
      <c r="A154" s="38" t="n">
        <v>153</v>
      </c>
      <c r="B154" s="38" t="inlineStr">
        <is>
          <t>Sabit Günler</t>
        </is>
      </c>
      <c r="C154" s="38" t="inlineStr">
        <is>
          <t>Z66</t>
        </is>
      </c>
      <c r="D154" s="38" t="inlineStr">
        <is>
          <t>X-LARGE|QM</t>
        </is>
      </c>
      <c r="E154" s="38" t="inlineStr">
        <is>
          <t>X-LARGE|QM</t>
        </is>
      </c>
    </row>
    <row r="155" ht="15" customHeight="1" s="39">
      <c r="A155" s="38" t="n">
        <v>154</v>
      </c>
      <c r="B155" s="38" t="inlineStr">
        <is>
          <t>Sabit Günler</t>
        </is>
      </c>
      <c r="C155" s="38" t="inlineStr">
        <is>
          <t>Z67</t>
        </is>
      </c>
      <c r="D155" s="38" t="inlineStr">
        <is>
          <t>X-LARGE|PM</t>
        </is>
      </c>
      <c r="E155" s="38" t="inlineStr">
        <is>
          <t>X-LARGE|PM</t>
        </is>
      </c>
    </row>
    <row r="156" ht="15" customHeight="1" s="39">
      <c r="A156" s="38" t="n">
        <v>155</v>
      </c>
      <c r="B156" s="38" t="inlineStr">
        <is>
          <t>Sabit Günler</t>
        </is>
      </c>
      <c r="C156" s="38" t="inlineStr">
        <is>
          <t>Z68</t>
        </is>
      </c>
      <c r="D156" s="38" t="inlineStr">
        <is>
          <t>X-LARGE|PS</t>
        </is>
      </c>
      <c r="E156" s="38" t="inlineStr">
        <is>
          <t>X-LARGE|PS</t>
        </is>
      </c>
    </row>
    <row r="157" ht="15" customHeight="1" s="39">
      <c r="A157" s="38" t="n">
        <v>156</v>
      </c>
      <c r="B157" s="38" t="inlineStr">
        <is>
          <t>Sabit Günler</t>
        </is>
      </c>
      <c r="C157" s="38" t="inlineStr">
        <is>
          <t>Z69</t>
        </is>
      </c>
      <c r="D157" s="38" t="inlineStr">
        <is>
          <t>X-LARGE|EWM</t>
        </is>
      </c>
      <c r="E157" s="38" t="inlineStr">
        <is>
          <t>X-LARGE|EWM</t>
        </is>
      </c>
    </row>
    <row r="158" ht="15" customHeight="1" s="39">
      <c r="A158" s="38" t="n">
        <v>157</v>
      </c>
      <c r="B158" s="38" t="inlineStr">
        <is>
          <t>Sabit Günler</t>
        </is>
      </c>
      <c r="C158" s="38" t="inlineStr">
        <is>
          <t>Z70</t>
        </is>
      </c>
      <c r="D158" s="38" t="inlineStr">
        <is>
          <t>X-LARGE|TM</t>
        </is>
      </c>
      <c r="E158" s="38" t="inlineStr">
        <is>
          <t>X-LARGE|TM</t>
        </is>
      </c>
    </row>
    <row r="159" ht="15" customHeight="1" s="39">
      <c r="A159" s="38" t="n">
        <v>158</v>
      </c>
      <c r="B159" s="38" t="inlineStr">
        <is>
          <t>Sabit Günler</t>
        </is>
      </c>
      <c r="C159" s="38" t="inlineStr">
        <is>
          <t>Z71</t>
        </is>
      </c>
      <c r="D159" s="38" t="inlineStr">
        <is>
          <t>X-LARGE|PPDS</t>
        </is>
      </c>
      <c r="E159" s="38" t="inlineStr">
        <is>
          <t>X-LARGE|PPDS</t>
        </is>
      </c>
    </row>
    <row r="160" ht="15" customHeight="1" s="39">
      <c r="A160" s="38" t="n">
        <v>159</v>
      </c>
      <c r="B160" s="38" t="inlineStr">
        <is>
          <t>Sabit Günler</t>
        </is>
      </c>
      <c r="C160" s="38" t="inlineStr">
        <is>
          <t>Z72</t>
        </is>
      </c>
      <c r="D160" s="38" t="inlineStr">
        <is>
          <t>X-LARGE|ABAP</t>
        </is>
      </c>
      <c r="E160" s="38" t="inlineStr">
        <is>
          <t>X-LARGE|ABAP</t>
        </is>
      </c>
    </row>
    <row r="161" ht="15" customHeight="1" s="39">
      <c r="A161" s="38" t="n">
        <v>160</v>
      </c>
      <c r="B161" s="38" t="inlineStr">
        <is>
          <t>Kapsam/Geliştirme</t>
        </is>
      </c>
      <c r="C161" s="38" t="inlineStr">
        <is>
          <t>A1</t>
        </is>
      </c>
      <c r="D161" s="38" t="inlineStr">
        <is>
          <t>SAP Proje Eforlandırma – Kapsam</t>
        </is>
      </c>
      <c r="E161" s="38" t="inlineStr">
        <is>
          <t>SAP Project Estimation – Scope</t>
        </is>
      </c>
    </row>
    <row r="162" ht="15" customHeight="1" s="39">
      <c r="A162" s="38" t="n">
        <v>161</v>
      </c>
      <c r="B162" s="38" t="inlineStr">
        <is>
          <t>Kapsam/Geliştirme</t>
        </is>
      </c>
      <c r="C162" s="38" t="inlineStr">
        <is>
          <t>A4</t>
        </is>
      </c>
      <c r="D162" s="38" t="inlineStr">
        <is>
          <t>Not: Bu sayfada puan hesaplaması yoktur. Kapsam ve Geliştirme tipleri Size Etkisiz sayfasından gelir. Kapsam olanlar Final Efor ana tablosuna, Geliştirme olanlar ise geliştirme listesine yansır.</t>
        </is>
      </c>
      <c r="E162" s="38" t="inlineStr">
        <is>
          <t>Note: There is no score calculation on this sheet. Scope and Development types come from the Non-Size Impact sheet. Scope items are reflected in the main Final Effort table; Development items are reflected in the development list.</t>
        </is>
      </c>
    </row>
    <row r="163" ht="15" customHeight="1" s="39">
      <c r="A163" s="38" t="n">
        <v>162</v>
      </c>
      <c r="B163" s="38" t="inlineStr">
        <is>
          <t>Kapsam/Geliştirme</t>
        </is>
      </c>
      <c r="C163" s="38" t="inlineStr">
        <is>
          <t>D5</t>
        </is>
      </c>
      <c r="D163" s="38" t="inlineStr">
        <is>
          <t>Değişken Tip</t>
        </is>
      </c>
      <c r="E163" s="38" t="inlineStr">
        <is>
          <t>Variable Type</t>
        </is>
      </c>
    </row>
    <row r="164" ht="15" customHeight="1" s="39">
      <c r="A164" s="38" t="n">
        <v>163</v>
      </c>
      <c r="B164" s="38" t="inlineStr">
        <is>
          <t>Kapsam/Geliştirme</t>
        </is>
      </c>
      <c r="C164" s="38" t="inlineStr">
        <is>
          <t>G5</t>
        </is>
      </c>
      <c r="D164" s="38" t="inlineStr">
        <is>
          <t>Adet</t>
        </is>
      </c>
      <c r="E164" s="38" t="inlineStr">
        <is>
          <t>Quantity</t>
        </is>
      </c>
    </row>
    <row r="165" ht="15" customHeight="1" s="39">
      <c r="A165" s="38" t="n">
        <v>164</v>
      </c>
      <c r="B165" s="38" t="inlineStr">
        <is>
          <t>Kapsam/Geliştirme</t>
        </is>
      </c>
      <c r="C165" s="38" t="inlineStr">
        <is>
          <t>B6</t>
        </is>
      </c>
      <c r="D165" s="38" t="inlineStr">
        <is>
          <t>Şirket Kodu</t>
        </is>
      </c>
      <c r="E165" s="38" t="inlineStr">
        <is>
          <t>Company Code</t>
        </is>
      </c>
    </row>
    <row r="166" ht="15" customHeight="1" s="39">
      <c r="A166" s="38" t="n">
        <v>165</v>
      </c>
      <c r="B166" s="38" t="inlineStr">
        <is>
          <t>Kapsam/Geliştirme</t>
        </is>
      </c>
      <c r="C166" s="38" t="inlineStr">
        <is>
          <t>C6</t>
        </is>
      </c>
      <c r="D166" s="38" t="inlineStr">
        <is>
          <t>Farklı şirket kodu sayısı</t>
        </is>
      </c>
      <c r="E166" s="38" t="inlineStr">
        <is>
          <t>Number of different company codes</t>
        </is>
      </c>
    </row>
    <row r="167" ht="15" customHeight="1" s="39">
      <c r="A167" s="38" t="n">
        <v>166</v>
      </c>
      <c r="B167" s="38" t="inlineStr">
        <is>
          <t>Kapsam/Geliştirme</t>
        </is>
      </c>
      <c r="C167" s="38" t="inlineStr">
        <is>
          <t>D6</t>
        </is>
      </c>
      <c r="D167" s="38" t="inlineStr">
        <is>
          <t>Kapsam</t>
        </is>
      </c>
      <c r="E167" s="38" t="inlineStr">
        <is>
          <t>Scope</t>
        </is>
      </c>
    </row>
    <row r="168" ht="15" customHeight="1" s="39">
      <c r="A168" s="38" t="n">
        <v>167</v>
      </c>
      <c r="B168" s="38" t="inlineStr">
        <is>
          <t>Kapsam/Geliştirme</t>
        </is>
      </c>
      <c r="C168" s="38" t="inlineStr">
        <is>
          <t>B7</t>
        </is>
      </c>
      <c r="D168" s="38" t="inlineStr">
        <is>
          <t>Üretim Yeri</t>
        </is>
      </c>
      <c r="E168" s="38" t="inlineStr">
        <is>
          <t>Production Site</t>
        </is>
      </c>
    </row>
    <row r="169" ht="15" customHeight="1" s="39">
      <c r="A169" s="38" t="n">
        <v>168</v>
      </c>
      <c r="B169" s="38" t="inlineStr">
        <is>
          <t>Kapsam/Geliştirme</t>
        </is>
      </c>
      <c r="C169" s="38" t="inlineStr">
        <is>
          <t>C7</t>
        </is>
      </c>
      <c r="D169" s="38" t="inlineStr">
        <is>
          <t>Farklı üretim yeri sayısı</t>
        </is>
      </c>
      <c r="E169" s="38" t="inlineStr">
        <is>
          <t>Number of different production sites</t>
        </is>
      </c>
    </row>
    <row r="170" ht="15" customHeight="1" s="39">
      <c r="A170" s="38" t="n">
        <v>169</v>
      </c>
      <c r="B170" s="38" t="inlineStr">
        <is>
          <t>Kapsam/Geliştirme</t>
        </is>
      </c>
      <c r="C170" s="38" t="inlineStr">
        <is>
          <t>B8</t>
        </is>
      </c>
      <c r="D170" s="38" t="inlineStr">
        <is>
          <t>Planlama kokpitleri vasıtası ile üretim önerileri oluşturulması</t>
        </is>
      </c>
      <c r="E170" s="38" t="inlineStr">
        <is>
          <t>Creation of production proposals via planning cockpits</t>
        </is>
      </c>
    </row>
    <row r="171" ht="15" customHeight="1" s="39">
      <c r="A171" s="38" t="n">
        <v>170</v>
      </c>
      <c r="B171" s="38" t="inlineStr">
        <is>
          <t>Kapsam/Geliştirme</t>
        </is>
      </c>
      <c r="C171" s="38" t="inlineStr">
        <is>
          <t>C8</t>
        </is>
      </c>
      <c r="D171" s="38" t="inlineStr">
        <is>
          <t>Ürün grubu bazında değişkenlik gösteren planlama algoritmaları / isterleri</t>
        </is>
      </c>
      <c r="E171" s="38" t="inlineStr">
        <is>
          <t>Planning algorithms / requirements that vary by product group</t>
        </is>
      </c>
    </row>
    <row r="172" ht="15" customHeight="1" s="39">
      <c r="A172" s="38" t="n">
        <v>171</v>
      </c>
      <c r="B172" s="38" t="inlineStr">
        <is>
          <t>Kapsam/Geliştirme</t>
        </is>
      </c>
      <c r="C172" s="38" t="inlineStr">
        <is>
          <t>D8</t>
        </is>
      </c>
      <c r="D172" s="38" t="inlineStr">
        <is>
          <t>Geliştirme</t>
        </is>
      </c>
      <c r="E172" s="38" t="inlineStr">
        <is>
          <t>Development</t>
        </is>
      </c>
    </row>
    <row r="173" ht="15" customHeight="1" s="39">
      <c r="A173" s="38" t="n">
        <v>172</v>
      </c>
      <c r="B173" s="38" t="inlineStr">
        <is>
          <t>Kapsam/Geliştirme</t>
        </is>
      </c>
      <c r="C173" s="38" t="inlineStr">
        <is>
          <t>E8</t>
        </is>
      </c>
      <c r="D173" s="38" t="inlineStr">
        <is>
          <t>Evet / Hayır</t>
        </is>
      </c>
      <c r="E173" s="38" t="inlineStr">
        <is>
          <t>Yes / No</t>
        </is>
      </c>
    </row>
    <row r="174" ht="15" customHeight="1" s="39">
      <c r="A174" s="38" t="n">
        <v>173</v>
      </c>
      <c r="B174" s="38" t="inlineStr">
        <is>
          <t>Kapsam/Geliştirme</t>
        </is>
      </c>
      <c r="C174" s="38" t="inlineStr">
        <is>
          <t>B9</t>
        </is>
      </c>
      <c r="D174" s="38" t="inlineStr">
        <is>
          <t>Üretimde Kantar Entegrasyonu</t>
        </is>
      </c>
      <c r="E174" s="38" t="inlineStr">
        <is>
          <t>Weighbridge Integration in Production</t>
        </is>
      </c>
    </row>
    <row r="175" ht="15" customHeight="1" s="39">
      <c r="A175" s="38" t="n">
        <v>174</v>
      </c>
      <c r="B175" s="38" t="inlineStr">
        <is>
          <t>Kapsam/Geliştirme</t>
        </is>
      </c>
      <c r="C175" s="38" t="inlineStr">
        <is>
          <t>C9</t>
        </is>
      </c>
      <c r="D175" s="38" t="inlineStr">
        <is>
          <t>Üretim girişlerinin kantar vasıtası ile entegrasyon ile yapılması (Kaç farklı hatta / farklı tipte kantarlar olacaktır)</t>
        </is>
      </c>
      <c r="E175" s="38" t="inlineStr">
        <is>
          <t>Production postings will be performed via weighbridge integration. How many different lines / different types of weighbridges will be used?</t>
        </is>
      </c>
    </row>
    <row r="176" ht="15" customHeight="1" s="39">
      <c r="A176" s="38" t="n">
        <v>175</v>
      </c>
      <c r="B176" s="38" t="inlineStr">
        <is>
          <t>Kapsam/Geliştirme</t>
        </is>
      </c>
      <c r="C176" s="38" t="inlineStr">
        <is>
          <t>B10</t>
        </is>
      </c>
      <c r="D176" s="38" t="inlineStr">
        <is>
          <t>MES olmadan üretim hattından anlık veri girişi</t>
        </is>
      </c>
      <c r="E176" s="38" t="inlineStr">
        <is>
          <t>Real-time data entry from production line without MES</t>
        </is>
      </c>
    </row>
    <row r="177" ht="15" customHeight="1" s="39">
      <c r="A177" s="38" t="n">
        <v>176</v>
      </c>
      <c r="B177" s="38" t="inlineStr">
        <is>
          <t>Kapsam/Geliştirme</t>
        </is>
      </c>
      <c r="C177" s="38" t="inlineStr">
        <is>
          <t>C10</t>
        </is>
      </c>
      <c r="D177" s="38" t="inlineStr">
        <is>
          <t>Ürün grubu / hattı bazında değişkenlik gösterebilen üretim hattından üretim veri girişi algoritmaları / isterleri</t>
        </is>
      </c>
      <c r="E177" s="38" t="inlineStr">
        <is>
          <t>Production data entry algorithms / requirements from the production line that may vary by product group / line</t>
        </is>
      </c>
    </row>
    <row r="178" ht="15" customHeight="1" s="39">
      <c r="A178" s="38" t="n">
        <v>177</v>
      </c>
      <c r="B178" s="38" t="inlineStr">
        <is>
          <t>Kapsam/Geliştirme</t>
        </is>
      </c>
      <c r="C178" s="38" t="inlineStr">
        <is>
          <t>B11</t>
        </is>
      </c>
      <c r="D178" s="38" t="inlineStr">
        <is>
          <t>Entegrasyon Testi Tekrar Sayısı</t>
        </is>
      </c>
      <c r="E178" s="38" t="inlineStr">
        <is>
          <t>Integration Test Repetition Count</t>
        </is>
      </c>
    </row>
    <row r="179" ht="15" customHeight="1" s="39">
      <c r="A179" s="38" t="n">
        <v>178</v>
      </c>
      <c r="B179" s="38" t="inlineStr">
        <is>
          <t>Kapsam/Geliştirme</t>
        </is>
      </c>
      <c r="C179" s="38" t="inlineStr">
        <is>
          <t>C11</t>
        </is>
      </c>
      <c r="D179" s="38" t="inlineStr">
        <is>
          <t>Kapsamda bulunan şirket kodları ve üretim yerleri bazında 1 tekrar olacak şekilde entegrasyon testi çevrilecektir.</t>
        </is>
      </c>
      <c r="E179" s="38" t="inlineStr">
        <is>
          <t>Integration testing will be executed with one repetition for each company code and production site in scope.</t>
        </is>
      </c>
    </row>
    <row r="180" ht="15" customHeight="1" s="39">
      <c r="A180" s="38" t="n">
        <v>179</v>
      </c>
      <c r="B180" s="38" t="inlineStr">
        <is>
          <t>Kapsam/Geliştirme</t>
        </is>
      </c>
      <c r="C180" s="38" t="inlineStr">
        <is>
          <t>B12</t>
        </is>
      </c>
      <c r="D180" s="38" t="inlineStr">
        <is>
          <t>Entegrasyon Testi Sayısı (Her ŞK/ÜY için ayrı mı)</t>
        </is>
      </c>
      <c r="E180" s="38" t="inlineStr">
        <is>
          <t>Integration Test Count (Separate for Each CC/PS?)</t>
        </is>
      </c>
    </row>
    <row r="181" ht="15" customHeight="1" s="39">
      <c r="A181" s="38" t="n">
        <v>180</v>
      </c>
      <c r="B181" s="38" t="inlineStr">
        <is>
          <t>Kapsam/Geliştirme</t>
        </is>
      </c>
      <c r="C181" s="38" t="inlineStr">
        <is>
          <t>C12</t>
        </is>
      </c>
      <c r="D181" s="38" t="inlineStr">
        <is>
          <t>Kapsamda bulunan şirket kodları ve üretim yerleri bazında 1 kere entegrasyon testi çevrilecektir.</t>
        </is>
      </c>
      <c r="E181" s="38" t="inlineStr">
        <is>
          <t>Integration testing will be executed once for each company code and production site in scope.</t>
        </is>
      </c>
    </row>
    <row r="182" ht="15" customHeight="1" s="39">
      <c r="A182" s="38" t="n">
        <v>181</v>
      </c>
      <c r="B182" s="38" t="inlineStr">
        <is>
          <t>Kapsam/Geliştirme</t>
        </is>
      </c>
      <c r="C182" s="38" t="inlineStr">
        <is>
          <t>B13</t>
        </is>
      </c>
      <c r="D182" s="38" t="inlineStr">
        <is>
          <t>Birim Test Sayısı</t>
        </is>
      </c>
      <c r="E182" s="38" t="inlineStr">
        <is>
          <t>Unit Test Count</t>
        </is>
      </c>
    </row>
    <row r="183" ht="15" customHeight="1" s="39">
      <c r="A183" s="38" t="n">
        <v>182</v>
      </c>
      <c r="B183" s="38" t="inlineStr">
        <is>
          <t>Kapsam/Geliştirme</t>
        </is>
      </c>
      <c r="C183" s="38" t="inlineStr">
        <is>
          <t>C13</t>
        </is>
      </c>
      <c r="D183" s="38" t="inlineStr">
        <is>
          <t>Kapsamda bulunan şirket kodları ve üretim yerleri bazında 1 kere birim test eğitimi verilecektir.</t>
        </is>
      </c>
      <c r="E183" s="38" t="inlineStr">
        <is>
          <t>Unit test training will be delivered once for each company code and production site in scope.</t>
        </is>
      </c>
    </row>
    <row r="184" ht="15" customHeight="1" s="39">
      <c r="A184" s="38" t="n">
        <v>183</v>
      </c>
      <c r="B184" s="38" t="inlineStr">
        <is>
          <t>Kapsam/Geliştirme</t>
        </is>
      </c>
      <c r="C184" s="38" t="inlineStr">
        <is>
          <t>B14</t>
        </is>
      </c>
      <c r="D184" s="38" t="inlineStr">
        <is>
          <t>Validasyon</t>
        </is>
      </c>
      <c r="E184" s="38" t="inlineStr">
        <is>
          <t>Validation</t>
        </is>
      </c>
    </row>
    <row r="185" ht="15" customHeight="1" s="39">
      <c r="A185" s="38" t="n">
        <v>184</v>
      </c>
      <c r="B185" s="38" t="inlineStr">
        <is>
          <t>Kapsam/Geliştirme</t>
        </is>
      </c>
      <c r="C185" s="38" t="inlineStr">
        <is>
          <t>C14</t>
        </is>
      </c>
      <c r="D185" s="38" t="inlineStr">
        <is>
          <t>Var? Yok?</t>
        </is>
      </c>
      <c r="E185" s="38" t="inlineStr">
        <is>
          <t>Exists? / Not exists?</t>
        </is>
      </c>
    </row>
    <row r="186" ht="15" customHeight="1" s="39">
      <c r="A186" s="38" t="n">
        <v>185</v>
      </c>
      <c r="B186" s="38" t="inlineStr">
        <is>
          <t>Kapsam/Geliştirme</t>
        </is>
      </c>
      <c r="C186" s="38" t="inlineStr">
        <is>
          <t>B15</t>
        </is>
      </c>
      <c r="D186" s="38" t="inlineStr">
        <is>
          <t>Dokümantasyon Dili</t>
        </is>
      </c>
      <c r="E186" s="38" t="inlineStr">
        <is>
          <t>Documentation Language</t>
        </is>
      </c>
    </row>
    <row r="187" ht="15" customHeight="1" s="39">
      <c r="A187" s="38" t="n">
        <v>186</v>
      </c>
      <c r="B187" s="38" t="inlineStr">
        <is>
          <t>Kapsam/Geliştirme</t>
        </is>
      </c>
      <c r="C187" s="38" t="inlineStr">
        <is>
          <t>C15</t>
        </is>
      </c>
      <c r="D187" s="38" t="inlineStr">
        <is>
          <t>Kaç farklı dilde dokümantasyon talebi bulunmakta?</t>
        </is>
      </c>
      <c r="E187" s="38" t="inlineStr">
        <is>
          <t>How many different documentation languages are requested?</t>
        </is>
      </c>
    </row>
    <row r="188" ht="15" customHeight="1" s="39">
      <c r="A188" s="38" t="n">
        <v>187</v>
      </c>
      <c r="B188" s="38" t="inlineStr">
        <is>
          <t>Kapsam/Geliştirme</t>
        </is>
      </c>
      <c r="C188" s="38" t="inlineStr">
        <is>
          <t>B16</t>
        </is>
      </c>
      <c r="D188" s="38" t="inlineStr">
        <is>
          <t>Sistem Dili</t>
        </is>
      </c>
      <c r="E188" s="38" t="inlineStr">
        <is>
          <t>System Language</t>
        </is>
      </c>
    </row>
    <row r="189" ht="15" customHeight="1" s="39">
      <c r="A189" s="38" t="n">
        <v>188</v>
      </c>
      <c r="B189" s="38" t="inlineStr">
        <is>
          <t>Kapsam/Geliştirme</t>
        </is>
      </c>
      <c r="C189" s="38" t="inlineStr">
        <is>
          <t>C16</t>
        </is>
      </c>
      <c r="D189" s="38" t="inlineStr">
        <is>
          <t>Uyarlaması gereken dil sayısı</t>
        </is>
      </c>
      <c r="E189" s="38" t="inlineStr">
        <is>
          <t>Number of system languages requiring adaptation</t>
        </is>
      </c>
    </row>
    <row r="190" ht="15" customHeight="1" s="39">
      <c r="A190" s="38" t="n">
        <v>189</v>
      </c>
      <c r="B190" s="38" t="inlineStr">
        <is>
          <t>Kapsam/Geliştirme</t>
        </is>
      </c>
      <c r="C190" s="38" t="inlineStr">
        <is>
          <t>B17</t>
        </is>
      </c>
      <c r="D190" s="38" t="inlineStr">
        <is>
          <t>Anahtar Kullanıcı Eğitimi olacak mı?</t>
        </is>
      </c>
      <c r="E190" s="38" t="inlineStr">
        <is>
          <t>Will there be Key User Training?</t>
        </is>
      </c>
    </row>
    <row r="191" ht="15" customHeight="1" s="39">
      <c r="A191" s="38" t="n">
        <v>190</v>
      </c>
      <c r="B191" s="38" t="inlineStr">
        <is>
          <t>Kapsam/Geliştirme</t>
        </is>
      </c>
      <c r="C191" s="38" t="inlineStr">
        <is>
          <t>C17</t>
        </is>
      </c>
      <c r="D191" s="38" t="inlineStr">
        <is>
          <t>Anahtar kullanıcı eğitimi proje ekibi tarafından verilecek mi?</t>
        </is>
      </c>
      <c r="E191" s="38" t="inlineStr">
        <is>
          <t>Will key user training be delivered by the project team?</t>
        </is>
      </c>
    </row>
    <row r="192" ht="15" customHeight="1" s="39">
      <c r="A192" s="38" t="n">
        <v>191</v>
      </c>
      <c r="B192" s="38" t="inlineStr">
        <is>
          <t>Kapsam/Geliştirme</t>
        </is>
      </c>
      <c r="C192" s="38" t="inlineStr">
        <is>
          <t>B18</t>
        </is>
      </c>
      <c r="D192" s="38" t="inlineStr">
        <is>
          <t>Son Kullanıcı Eğitimi olacak mı? Olacak ise kaç farklı lokasyonda olacak? (Modül bazında)</t>
        </is>
      </c>
      <c r="E192" s="38" t="inlineStr">
        <is>
          <t>Will there be End-User Training? If yes, in how many different locations? (Module-based)</t>
        </is>
      </c>
    </row>
    <row r="193" ht="15" customHeight="1" s="39">
      <c r="A193" s="38" t="n">
        <v>192</v>
      </c>
      <c r="B193" s="38" t="inlineStr">
        <is>
          <t>Kapsam/Geliştirme</t>
        </is>
      </c>
      <c r="C193" s="38" t="inlineStr">
        <is>
          <t>C18</t>
        </is>
      </c>
      <c r="D193" s="38" t="inlineStr">
        <is>
          <t>Son kullanıcı eğitimi proje ekibi tarafından verilecek mi?</t>
        </is>
      </c>
      <c r="E193" s="38" t="inlineStr">
        <is>
          <t>Will end-user training be delivered by the project team?</t>
        </is>
      </c>
    </row>
    <row r="194" ht="15" customHeight="1" s="39">
      <c r="A194" s="38" t="n">
        <v>193</v>
      </c>
      <c r="B194" s="38" t="inlineStr">
        <is>
          <t>Kapsam/Geliştirme</t>
        </is>
      </c>
      <c r="C194" s="38" t="inlineStr">
        <is>
          <t>B19</t>
        </is>
      </c>
      <c r="D194" s="38" t="inlineStr">
        <is>
          <t>Süreç Dokümantasyonu yapılacak mı?</t>
        </is>
      </c>
      <c r="E194" s="38" t="inlineStr">
        <is>
          <t>Will process documentation be prepared?</t>
        </is>
      </c>
    </row>
    <row r="195" ht="15" customHeight="1" s="39">
      <c r="A195" s="38" t="n">
        <v>194</v>
      </c>
      <c r="B195" s="38" t="inlineStr">
        <is>
          <t>Kapsam/Geliştirme</t>
        </is>
      </c>
      <c r="C195" s="38" t="inlineStr">
        <is>
          <t>C19</t>
        </is>
      </c>
      <c r="D195" s="38" t="inlineStr">
        <is>
          <t>İhtiyacı bulunmakta mıdır?</t>
        </is>
      </c>
      <c r="E195" s="38" t="inlineStr">
        <is>
          <t>Is there a need for it?</t>
        </is>
      </c>
    </row>
    <row r="196" ht="15" customHeight="1" s="39">
      <c r="A196" s="38" t="n">
        <v>195</v>
      </c>
      <c r="B196" s="38" t="inlineStr">
        <is>
          <t>Kapsam/Geliştirme</t>
        </is>
      </c>
      <c r="C196" s="38" t="inlineStr">
        <is>
          <t>B20</t>
        </is>
      </c>
      <c r="D196" s="38" t="inlineStr">
        <is>
          <t>Performans Testi</t>
        </is>
      </c>
      <c r="E196" s="38" t="inlineStr">
        <is>
          <t>Performance Test</t>
        </is>
      </c>
    </row>
    <row r="197" ht="15" customHeight="1" s="39">
      <c r="A197" s="38" t="n">
        <v>196</v>
      </c>
      <c r="B197" s="38" t="inlineStr">
        <is>
          <t>Kapsam/Geliştirme</t>
        </is>
      </c>
      <c r="C197" s="38" t="inlineStr">
        <is>
          <t>C20</t>
        </is>
      </c>
      <c r="D197" s="38" t="inlineStr">
        <is>
          <t>Testler kapsamında performans testi yapılacak mı?</t>
        </is>
      </c>
      <c r="E197" s="38" t="inlineStr">
        <is>
          <t>Will performance testing be performed within the testing scope?</t>
        </is>
      </c>
    </row>
    <row r="198" ht="15" customHeight="1" s="39">
      <c r="A198" s="38" t="n">
        <v>197</v>
      </c>
      <c r="B198" s="38" t="inlineStr">
        <is>
          <t>Kapsam/Geliştirme</t>
        </is>
      </c>
      <c r="C198" s="38" t="inlineStr">
        <is>
          <t>B21</t>
        </is>
      </c>
      <c r="D198" s="38" t="inlineStr">
        <is>
          <t>Stres Testi</t>
        </is>
      </c>
      <c r="E198" s="38" t="inlineStr">
        <is>
          <t>Stress Test</t>
        </is>
      </c>
    </row>
    <row r="199" ht="15" customHeight="1" s="39">
      <c r="A199" s="38" t="n">
        <v>198</v>
      </c>
      <c r="B199" s="38" t="inlineStr">
        <is>
          <t>Kapsam/Geliştirme</t>
        </is>
      </c>
      <c r="C199" s="38" t="inlineStr">
        <is>
          <t>C21</t>
        </is>
      </c>
      <c r="D199" s="38" t="inlineStr">
        <is>
          <t>Testler kapsamında stres testi yapılacak mı?</t>
        </is>
      </c>
      <c r="E199" s="38" t="inlineStr">
        <is>
          <t>Will stress testing be performed within the testing scope?</t>
        </is>
      </c>
    </row>
    <row r="200" ht="15" customHeight="1" s="39">
      <c r="A200" s="38" t="n">
        <v>199</v>
      </c>
      <c r="B200" s="38" t="inlineStr">
        <is>
          <t>Kapsam/Geliştirme</t>
        </is>
      </c>
      <c r="C200" s="38" t="inlineStr">
        <is>
          <t>B22</t>
        </is>
      </c>
      <c r="D200" s="38" t="inlineStr">
        <is>
          <t>Saha Testi</t>
        </is>
      </c>
      <c r="E200" s="38" t="inlineStr">
        <is>
          <t>Field Test</t>
        </is>
      </c>
    </row>
    <row r="201" ht="15" customHeight="1" s="39">
      <c r="A201" s="38" t="n">
        <v>200</v>
      </c>
      <c r="B201" s="38" t="inlineStr">
        <is>
          <t>Kapsam/Geliştirme</t>
        </is>
      </c>
      <c r="C201" s="38" t="inlineStr">
        <is>
          <t>C22</t>
        </is>
      </c>
      <c r="D201" s="38" t="inlineStr">
        <is>
          <t>Testler kapsamında saha testi yapılacak mı?</t>
        </is>
      </c>
      <c r="E201" s="38" t="inlineStr">
        <is>
          <t>Will field testing be performed within the testing scope?</t>
        </is>
      </c>
    </row>
    <row r="202" ht="15" customHeight="1" s="39">
      <c r="A202" s="38" t="n">
        <v>201</v>
      </c>
      <c r="B202" s="38" t="inlineStr">
        <is>
          <t>Kapsam/Geliştirme</t>
        </is>
      </c>
      <c r="C202" s="38" t="inlineStr">
        <is>
          <t>B23</t>
        </is>
      </c>
      <c r="D202" s="38" t="inlineStr">
        <is>
          <t>EDI</t>
        </is>
      </c>
      <c r="E202" s="38" t="inlineStr">
        <is>
          <t>EDI</t>
        </is>
      </c>
    </row>
    <row r="203" ht="15" customHeight="1" s="39">
      <c r="A203" s="38" t="n">
        <v>202</v>
      </c>
      <c r="B203" s="38" t="inlineStr">
        <is>
          <t>Kapsam/Geliştirme</t>
        </is>
      </c>
      <c r="C203" s="38" t="inlineStr">
        <is>
          <t>C23</t>
        </is>
      </c>
      <c r="D203" s="38" t="inlineStr">
        <is>
          <t>Kaç adet EDI bulunmaktadır.</t>
        </is>
      </c>
      <c r="E203" s="38" t="inlineStr">
        <is>
          <t>How many EDI interfaces are there?</t>
        </is>
      </c>
    </row>
    <row r="204" ht="15" customHeight="1" s="39">
      <c r="A204" s="38" t="n">
        <v>203</v>
      </c>
      <c r="B204" s="38" t="inlineStr">
        <is>
          <t>Kapsam/Geliştirme</t>
        </is>
      </c>
      <c r="C204" s="38" t="inlineStr">
        <is>
          <t>B24</t>
        </is>
      </c>
      <c r="D204" s="38" t="inlineStr">
        <is>
          <t>Ambalaj bazlı örneklendirme süreçleri</t>
        </is>
      </c>
      <c r="E204" s="38" t="inlineStr">
        <is>
          <t>Packaging-Based Sampling Processes</t>
        </is>
      </c>
    </row>
    <row r="205" ht="15" customHeight="1" s="39">
      <c r="A205" s="38" t="n">
        <v>204</v>
      </c>
      <c r="B205" s="38" t="inlineStr">
        <is>
          <t>Kapsam/Geliştirme</t>
        </is>
      </c>
      <c r="C205" s="38" t="inlineStr">
        <is>
          <t>C24</t>
        </is>
      </c>
      <c r="D205" s="38" t="inlineStr">
        <is>
          <t>Ambalaj bazlı örneklendirme süreci bulunmakta mıdır?</t>
        </is>
      </c>
      <c r="E205" s="38" t="inlineStr">
        <is>
          <t>Is there a packaging-based sampling process?</t>
        </is>
      </c>
    </row>
    <row r="206" ht="15" customHeight="1" s="39">
      <c r="A206" s="38" t="n">
        <v>205</v>
      </c>
      <c r="B206" s="38" t="inlineStr">
        <is>
          <t>Kapsam/Geliştirme</t>
        </is>
      </c>
      <c r="C206" s="38" t="inlineStr">
        <is>
          <t>B25</t>
        </is>
      </c>
      <c r="D206" s="38" t="inlineStr">
        <is>
          <t>Banka Entegrasyonu</t>
        </is>
      </c>
      <c r="E206" s="38" t="inlineStr">
        <is>
          <t>Bank Integration</t>
        </is>
      </c>
    </row>
    <row r="207" ht="15" customHeight="1" s="39">
      <c r="A207" s="38" t="n">
        <v>206</v>
      </c>
      <c r="B207" s="38" t="inlineStr">
        <is>
          <t>Kapsam/Geliştirme</t>
        </is>
      </c>
      <c r="C207" s="38" t="inlineStr">
        <is>
          <t>C25</t>
        </is>
      </c>
      <c r="D207" s="38" t="inlineStr">
        <is>
          <t xml:space="preserve">Giden ve Gelen Banka Entegrasyonu için Banka bazında verilen efor </t>
        </is>
      </c>
      <c r="E207" s="38" t="inlineStr">
        <is>
          <t>Effort provided per bank for outgoing and incoming bank integrations</t>
        </is>
      </c>
    </row>
    <row r="208" ht="15" customHeight="1" s="39">
      <c r="A208" s="38" t="n">
        <v>207</v>
      </c>
      <c r="B208" s="38" t="inlineStr">
        <is>
          <t>Kapsam/Geliştirme</t>
        </is>
      </c>
      <c r="C208" s="38" t="inlineStr">
        <is>
          <t>B26</t>
        </is>
      </c>
      <c r="D208" s="38" t="inlineStr">
        <is>
          <t>PM Mobility</t>
        </is>
      </c>
      <c r="E208" s="38" t="inlineStr">
        <is>
          <t>PM Mobility</t>
        </is>
      </c>
    </row>
    <row r="209" ht="15" customHeight="1" s="39">
      <c r="A209" s="38" t="n">
        <v>208</v>
      </c>
      <c r="B209" s="38" t="inlineStr">
        <is>
          <t>Kapsam/Geliştirme</t>
        </is>
      </c>
      <c r="C209" s="38" t="inlineStr">
        <is>
          <t>C26</t>
        </is>
      </c>
      <c r="D209" s="38" t="inlineStr">
        <is>
          <t>Kapsam dahilinde midir?</t>
        </is>
      </c>
      <c r="E209" s="38" t="inlineStr">
        <is>
          <t>Is it within scope?</t>
        </is>
      </c>
    </row>
    <row r="210" ht="15" customHeight="1" s="39">
      <c r="A210" s="38" t="n">
        <v>209</v>
      </c>
      <c r="B210" s="38" t="inlineStr">
        <is>
          <t>Kapsam/Geliştirme</t>
        </is>
      </c>
      <c r="C210" s="38" t="inlineStr">
        <is>
          <t>B27</t>
        </is>
      </c>
      <c r="D210" s="38" t="inlineStr">
        <is>
          <t>Paso Merdane</t>
        </is>
      </c>
      <c r="E210" s="38" t="inlineStr">
        <is>
          <t>Pass Mill</t>
        </is>
      </c>
    </row>
    <row r="211" ht="15" customHeight="1" s="39">
      <c r="A211" s="38" t="n">
        <v>210</v>
      </c>
      <c r="B211" s="38" t="inlineStr">
        <is>
          <t>Kapsam/Geliştirme</t>
        </is>
      </c>
      <c r="C211" s="38" t="inlineStr">
        <is>
          <t>C27</t>
        </is>
      </c>
      <c r="D211" s="38" t="inlineStr">
        <is>
          <t>Paso Merdane süreci bulunmakta mıdır?</t>
        </is>
      </c>
      <c r="E211" s="38" t="inlineStr">
        <is>
          <t>Is there a pass mill process?</t>
        </is>
      </c>
    </row>
    <row r="212" ht="15" customHeight="1" s="39">
      <c r="A212" s="38" t="n">
        <v>211</v>
      </c>
      <c r="B212" s="38" t="inlineStr">
        <is>
          <t>Kapsam/Geliştirme</t>
        </is>
      </c>
      <c r="C212" s="38" t="inlineStr">
        <is>
          <t>B28</t>
        </is>
      </c>
      <c r="D212" s="38" t="inlineStr">
        <is>
          <t>Hakediş</t>
        </is>
      </c>
      <c r="E212" s="38" t="inlineStr">
        <is>
          <t>Progress Payment</t>
        </is>
      </c>
    </row>
    <row r="213" ht="15" customHeight="1" s="39">
      <c r="A213" s="38" t="n">
        <v>212</v>
      </c>
      <c r="B213" s="38" t="inlineStr">
        <is>
          <t>Kapsam/Geliştirme</t>
        </is>
      </c>
      <c r="C213" s="38" t="inlineStr">
        <is>
          <t>C28</t>
        </is>
      </c>
      <c r="D213" s="38" t="inlineStr">
        <is>
          <t>Hakediş süreci bulunmakta mıdır?</t>
        </is>
      </c>
      <c r="E213" s="38" t="inlineStr">
        <is>
          <t>Is there a progress payment process?</t>
        </is>
      </c>
    </row>
    <row r="214" ht="15" customHeight="1" s="39">
      <c r="A214" s="38" t="n">
        <v>213</v>
      </c>
      <c r="B214" s="38" t="inlineStr">
        <is>
          <t>Kapsam/Geliştirme</t>
        </is>
      </c>
      <c r="C214" s="38" t="inlineStr">
        <is>
          <t>B29</t>
        </is>
      </c>
      <c r="D214" s="38" t="inlineStr">
        <is>
          <t>Giriş Kantar</t>
        </is>
      </c>
      <c r="E214" s="38" t="inlineStr">
        <is>
          <t>Inbound Weighbridge</t>
        </is>
      </c>
    </row>
    <row r="215" ht="15" customHeight="1" s="39">
      <c r="A215" s="38" t="n">
        <v>214</v>
      </c>
      <c r="B215" s="38" t="inlineStr">
        <is>
          <t>Kapsam/Geliştirme</t>
        </is>
      </c>
      <c r="C215" s="38" t="inlineStr">
        <is>
          <t>C29</t>
        </is>
      </c>
      <c r="D215" s="38" t="inlineStr">
        <is>
          <t>Giriş Kantar bulunmakta mıdır?</t>
        </is>
      </c>
      <c r="E215" s="38" t="inlineStr">
        <is>
          <t>Is there an inbound weighbridge?</t>
        </is>
      </c>
    </row>
    <row r="216" ht="15" customHeight="1" s="39">
      <c r="A216" s="38" t="n">
        <v>215</v>
      </c>
      <c r="B216" s="38" t="inlineStr">
        <is>
          <t>Kapsam/Geliştirme</t>
        </is>
      </c>
      <c r="C216" s="38" t="inlineStr">
        <is>
          <t>B30</t>
        </is>
      </c>
      <c r="D216" s="38" t="inlineStr">
        <is>
          <t>Çıkış Kantar</t>
        </is>
      </c>
      <c r="E216" s="38" t="inlineStr">
        <is>
          <t>Outbound Weighbridge</t>
        </is>
      </c>
    </row>
    <row r="217" ht="15" customHeight="1" s="39">
      <c r="A217" s="38" t="n">
        <v>216</v>
      </c>
      <c r="B217" s="38" t="inlineStr">
        <is>
          <t>Kapsam/Geliştirme</t>
        </is>
      </c>
      <c r="C217" s="38" t="inlineStr">
        <is>
          <t>C30</t>
        </is>
      </c>
      <c r="D217" s="38" t="inlineStr">
        <is>
          <t>Çıkış Kantar bulunmakta mıdır?</t>
        </is>
      </c>
      <c r="E217" s="38" t="inlineStr">
        <is>
          <t>Is there an outbound weighbridge?</t>
        </is>
      </c>
    </row>
    <row r="218" ht="15" customHeight="1" s="39">
      <c r="A218" s="38" t="n">
        <v>217</v>
      </c>
      <c r="B218" s="38" t="inlineStr">
        <is>
          <t>Kapsam/Geliştirme</t>
        </is>
      </c>
      <c r="C218" s="38" t="inlineStr">
        <is>
          <t>B31</t>
        </is>
      </c>
      <c r="D218" s="38" t="inlineStr">
        <is>
          <t>Kredi Yönetimi</t>
        </is>
      </c>
      <c r="E218" s="38" t="inlineStr">
        <is>
          <t>Credit Management</t>
        </is>
      </c>
    </row>
    <row r="219" ht="15" customHeight="1" s="39">
      <c r="A219" s="38" t="n">
        <v>218</v>
      </c>
      <c r="B219" s="38" t="inlineStr">
        <is>
          <t>Kapsam/Geliştirme</t>
        </is>
      </c>
      <c r="C219" s="38" t="inlineStr">
        <is>
          <t>C31</t>
        </is>
      </c>
      <c r="D219" s="38" t="inlineStr">
        <is>
          <t>Kredi limit talebi, workflow kurgusu talep ediliyor mu?</t>
        </is>
      </c>
      <c r="E219" s="38" t="inlineStr">
        <is>
          <t>Is a credit limit request and workflow setup requested?</t>
        </is>
      </c>
    </row>
    <row r="220" ht="15" customHeight="1" s="39">
      <c r="A220" s="38" t="n">
        <v>219</v>
      </c>
      <c r="B220" s="38" t="inlineStr">
        <is>
          <t>Kapsam/Geliştirme</t>
        </is>
      </c>
      <c r="C220" s="38" t="inlineStr">
        <is>
          <t>B32</t>
        </is>
      </c>
      <c r="D220" s="38" t="inlineStr">
        <is>
          <t>Intercompany</t>
        </is>
      </c>
      <c r="E220" s="38" t="inlineStr">
        <is>
          <t>Intercompany</t>
        </is>
      </c>
    </row>
    <row r="221" ht="15" customHeight="1" s="39">
      <c r="A221" s="38" t="n">
        <v>220</v>
      </c>
      <c r="B221" s="38" t="inlineStr">
        <is>
          <t>Kapsam/Geliştirme</t>
        </is>
      </c>
      <c r="C221" s="38" t="inlineStr">
        <is>
          <t>C32</t>
        </is>
      </c>
      <c r="D221" s="38" t="inlineStr">
        <is>
          <t>Kaç şirket arasında olacak?</t>
        </is>
      </c>
      <c r="E221" s="38" t="inlineStr">
        <is>
          <t>Between how many companies will it take place?</t>
        </is>
      </c>
    </row>
    <row r="222" ht="15" customHeight="1" s="39">
      <c r="A222" s="38" t="n">
        <v>221</v>
      </c>
      <c r="B222" s="38" t="inlineStr">
        <is>
          <t>Kapsam/Geliştirme</t>
        </is>
      </c>
      <c r="C222" s="38" t="inlineStr">
        <is>
          <t>B33</t>
        </is>
      </c>
      <c r="D222" s="38" t="inlineStr">
        <is>
          <t>Crosscompany</t>
        </is>
      </c>
      <c r="E222" s="38" t="inlineStr">
        <is>
          <t>Crosscompany</t>
        </is>
      </c>
    </row>
    <row r="223" ht="15" customHeight="1" s="39">
      <c r="A223" s="38" t="n">
        <v>222</v>
      </c>
      <c r="B223" s="38" t="inlineStr">
        <is>
          <t>Kapsam/Geliştirme</t>
        </is>
      </c>
      <c r="C223" s="38" t="inlineStr">
        <is>
          <t>B34</t>
        </is>
      </c>
      <c r="D223" s="38" t="inlineStr">
        <is>
          <t>Prim yönetimi</t>
        </is>
      </c>
      <c r="E223" s="38" t="inlineStr">
        <is>
          <t>Premium Management</t>
        </is>
      </c>
    </row>
    <row r="224" ht="15" customHeight="1" s="39">
      <c r="A224" s="38" t="n">
        <v>223</v>
      </c>
      <c r="B224" s="38" t="inlineStr">
        <is>
          <t>Kapsam/Geliştirme</t>
        </is>
      </c>
      <c r="C224" s="38" t="inlineStr">
        <is>
          <t>C34</t>
        </is>
      </c>
      <c r="D224" s="38" t="inlineStr">
        <is>
          <t>Prim yönetimi nasıl takip ediliyor, kaç çeşit prim var(ciro, lojistik, komisyon, personel vb)</t>
        </is>
      </c>
      <c r="E224" s="38" t="inlineStr">
        <is>
          <t>How is premium management tracked, and how many premium types are there (turnover, logistics, commission, personnel, etc.)?</t>
        </is>
      </c>
    </row>
    <row r="225" ht="15" customHeight="1" s="39">
      <c r="A225" s="38" t="n">
        <v>224</v>
      </c>
      <c r="B225" s="38" t="inlineStr">
        <is>
          <t>Kapsam/Geliştirme</t>
        </is>
      </c>
      <c r="C225" s="38" t="inlineStr">
        <is>
          <t>B35</t>
        </is>
      </c>
      <c r="D225" s="38" t="inlineStr">
        <is>
          <t>El terminali (giriş, nakil, çekme, mal çıkış)</t>
        </is>
      </c>
      <c r="E225" s="38" t="inlineStr">
        <is>
          <t>Handheld Terminal (Receipt, Transfer, Picking, Goods Issue)</t>
        </is>
      </c>
    </row>
    <row r="226" ht="15" customHeight="1" s="39">
      <c r="A226" s="38" t="n">
        <v>225</v>
      </c>
      <c r="B226" s="38" t="inlineStr">
        <is>
          <t>Kapsam/Geliştirme</t>
        </is>
      </c>
      <c r="C226" s="38" t="inlineStr">
        <is>
          <t>B36</t>
        </is>
      </c>
      <c r="D226" s="38" t="inlineStr">
        <is>
          <t>CRM entegrasyonları</t>
        </is>
      </c>
      <c r="E226" s="38" t="inlineStr">
        <is>
          <t>CRM Integrations</t>
        </is>
      </c>
    </row>
    <row r="227" ht="15" customHeight="1" s="39">
      <c r="A227" s="38" t="n">
        <v>226</v>
      </c>
      <c r="B227" s="38" t="inlineStr">
        <is>
          <t>Kapsam/Geliştirme</t>
        </is>
      </c>
      <c r="C227" s="38" t="inlineStr">
        <is>
          <t>C36</t>
        </is>
      </c>
      <c r="D227" s="38" t="inlineStr">
        <is>
          <t>Ana veri yönetimi, teklif/sipariş yönetimi kurgusu</t>
        </is>
      </c>
      <c r="E227" s="38" t="inlineStr">
        <is>
          <t>Master data management and quotation/order management setup</t>
        </is>
      </c>
    </row>
    <row r="228" ht="15" customHeight="1" s="39">
      <c r="A228" s="38" t="n">
        <v>227</v>
      </c>
      <c r="B228" s="38" t="inlineStr">
        <is>
          <t>Kapsam/Geliştirme</t>
        </is>
      </c>
      <c r="C228" s="38" t="inlineStr">
        <is>
          <t>B37</t>
        </is>
      </c>
      <c r="D228" s="38" t="inlineStr">
        <is>
          <t>Dış sistem sipariş entegrasyonları</t>
        </is>
      </c>
      <c r="E228" s="38" t="inlineStr">
        <is>
          <t>External Order Integrations</t>
        </is>
      </c>
    </row>
    <row r="229" ht="15" customHeight="1" s="39">
      <c r="A229" s="38" t="n">
        <v>228</v>
      </c>
      <c r="B229" s="38" t="inlineStr">
        <is>
          <t>Kapsam/Geliştirme</t>
        </is>
      </c>
      <c r="C229" s="38" t="inlineStr">
        <is>
          <t>C37</t>
        </is>
      </c>
      <c r="D229" s="38" t="inlineStr">
        <is>
          <t>Teklif/sipariş belgeleri b2c, b2b portallerinden mi geliyor? Kaç farklı entegrasyon konumlandırılacak? Ana veri entegrasyonları kaç tane olacak? Değişiklik talepleri için ayrı entegrasyon ihtiyaçları var mı?</t>
        </is>
      </c>
      <c r="E229" s="38" t="inlineStr">
        <is>
          <t>Do quotation/order documents come from B2C or B2B portals? How many different integrations will be positioned? How many master data integrations will there be? Are separate integrations required for change requests?</t>
        </is>
      </c>
    </row>
    <row r="230" ht="15" customHeight="1" s="39">
      <c r="A230" s="38" t="n">
        <v>229</v>
      </c>
      <c r="B230" s="38" t="inlineStr">
        <is>
          <t>Kapsam/Geliştirme</t>
        </is>
      </c>
      <c r="C230" s="38" t="inlineStr">
        <is>
          <t>B38</t>
        </is>
      </c>
      <c r="D230" s="38" t="inlineStr">
        <is>
          <t>Teklif maliyetlendirme ekranı</t>
        </is>
      </c>
      <c r="E230" s="38" t="inlineStr">
        <is>
          <t>Quotation Costing Screen</t>
        </is>
      </c>
    </row>
    <row r="231" ht="15" customHeight="1" s="39">
      <c r="A231" s="38" t="n">
        <v>230</v>
      </c>
      <c r="B231" s="38" t="inlineStr">
        <is>
          <t>Kapsam/Geliştirme</t>
        </is>
      </c>
      <c r="C231" s="38" t="inlineStr">
        <is>
          <t>C38</t>
        </is>
      </c>
      <c r="D231" s="38" t="inlineStr">
        <is>
          <t>Tekstil sektörü özelinde maliyetlendirme ekranı talep ediliyor mu? Segmentasyon olacak mı?</t>
        </is>
      </c>
      <c r="E231" s="38" t="inlineStr">
        <is>
          <t>Is a costing screen requested specifically for the textile sector? Will there be segmentation?</t>
        </is>
      </c>
    </row>
    <row r="232" ht="15" customHeight="1" s="39">
      <c r="A232" s="38" t="n">
        <v>231</v>
      </c>
      <c r="B232" s="38" t="inlineStr">
        <is>
          <t>Kapsam/Geliştirme</t>
        </is>
      </c>
      <c r="C232" s="38" t="inlineStr">
        <is>
          <t>B39</t>
        </is>
      </c>
      <c r="D232" s="38" t="inlineStr">
        <is>
          <t>Commodity / it.commodity</t>
        </is>
      </c>
      <c r="E232" s="38" t="inlineStr">
        <is>
          <t>Commodity / it.commodity</t>
        </is>
      </c>
    </row>
    <row r="233" ht="15" customHeight="1" s="39">
      <c r="A233" s="38" t="n">
        <v>232</v>
      </c>
      <c r="B233" s="38" t="inlineStr">
        <is>
          <t>Kapsam/Geliştirme</t>
        </is>
      </c>
      <c r="C233" s="38" t="inlineStr">
        <is>
          <t>B40</t>
        </is>
      </c>
      <c r="D233" s="38" t="inlineStr">
        <is>
          <t xml:space="preserve">it.foreign trade </t>
        </is>
      </c>
      <c r="E233" s="38" t="inlineStr">
        <is>
          <t xml:space="preserve">it.foreign trade </t>
        </is>
      </c>
    </row>
    <row r="234" ht="15" customHeight="1" s="39">
      <c r="A234" s="38" t="n">
        <v>233</v>
      </c>
      <c r="B234" s="38" t="inlineStr">
        <is>
          <t>Kapsam/Geliştirme</t>
        </is>
      </c>
      <c r="C234" s="38" t="inlineStr">
        <is>
          <t>B41</t>
        </is>
      </c>
      <c r="D234" s="38" t="inlineStr">
        <is>
          <t>it.foreign trade &amp; Gümrük ve diğer 3rd parti entegrasyonlar</t>
        </is>
      </c>
      <c r="E234" s="38" t="inlineStr">
        <is>
          <t>it.foreign trade &amp; Customs &amp; other 3rd party integrations</t>
        </is>
      </c>
    </row>
    <row r="235" ht="15" customHeight="1" s="39">
      <c r="A235" s="38" t="n">
        <v>234</v>
      </c>
      <c r="B235" s="38" t="inlineStr">
        <is>
          <t>Kapsam/Geliştirme</t>
        </is>
      </c>
      <c r="C235" s="38" t="inlineStr">
        <is>
          <t>B42</t>
        </is>
      </c>
      <c r="D235" s="38" t="inlineStr">
        <is>
          <t>Onay Stratejileri</t>
        </is>
      </c>
      <c r="E235" s="38" t="inlineStr">
        <is>
          <t>Approval Strategies</t>
        </is>
      </c>
    </row>
    <row r="236" ht="15" customHeight="1" s="39">
      <c r="A236" s="38" t="n">
        <v>235</v>
      </c>
      <c r="B236" s="38" t="inlineStr">
        <is>
          <t>Kapsam/Geliştirme</t>
        </is>
      </c>
      <c r="C236" s="38" t="inlineStr">
        <is>
          <t>B43</t>
        </is>
      </c>
      <c r="D236" s="38" t="inlineStr">
        <is>
          <t>Dış sistem Planlama Entegrasyonu</t>
        </is>
      </c>
      <c r="E236" s="38" t="inlineStr">
        <is>
          <t>External Planning System Integration</t>
        </is>
      </c>
    </row>
    <row r="237" ht="15" customHeight="1" s="39">
      <c r="A237" s="38" t="n">
        <v>236</v>
      </c>
      <c r="B237" s="38" t="inlineStr">
        <is>
          <t>Kapsam/Geliştirme</t>
        </is>
      </c>
      <c r="C237" s="38" t="inlineStr">
        <is>
          <t>C43</t>
        </is>
      </c>
      <c r="D237" s="38" t="inlineStr">
        <is>
          <t>3rd party planlama sistemlerinden planlama verilerinin alınması</t>
        </is>
      </c>
      <c r="E237" s="38" t="inlineStr">
        <is>
          <t>Receiving planning data from third-party planning systems</t>
        </is>
      </c>
    </row>
    <row r="238" ht="15" customHeight="1" s="39">
      <c r="A238" s="38" t="n">
        <v>237</v>
      </c>
      <c r="B238" s="38" t="inlineStr">
        <is>
          <t>Kapsam/Geliştirme</t>
        </is>
      </c>
      <c r="C238" s="38" t="inlineStr">
        <is>
          <t>B44</t>
        </is>
      </c>
      <c r="D238" s="38" t="inlineStr">
        <is>
          <t>Dış sistem Çizelgeleme Entegrasyonu</t>
        </is>
      </c>
      <c r="E238" s="38" t="inlineStr">
        <is>
          <t>External Scheduling System Integration</t>
        </is>
      </c>
    </row>
    <row r="239" ht="15" customHeight="1" s="39">
      <c r="A239" s="38" t="n">
        <v>238</v>
      </c>
      <c r="B239" s="38" t="inlineStr">
        <is>
          <t>Kapsam/Geliştirme</t>
        </is>
      </c>
      <c r="C239" s="38" t="inlineStr">
        <is>
          <t>C44</t>
        </is>
      </c>
      <c r="D239" s="38" t="inlineStr">
        <is>
          <t>3rd part çizelgeleme sistemlerinden iş emri termin veü üretim hattı atama verilerinin alınması</t>
        </is>
      </c>
      <c r="E239" s="38" t="inlineStr">
        <is>
          <t>Receiving work order due date and production line assignment data from third-party scheduling systems</t>
        </is>
      </c>
    </row>
    <row r="240" ht="15" customHeight="1" s="39">
      <c r="A240" s="38" t="n">
        <v>239</v>
      </c>
      <c r="B240" s="38" t="inlineStr">
        <is>
          <t>Kapsam/Geliştirme</t>
        </is>
      </c>
      <c r="C240" s="38" t="inlineStr">
        <is>
          <t>B45</t>
        </is>
      </c>
      <c r="D240" s="38" t="inlineStr">
        <is>
          <t>Üretime hazıredim saha uygulamaları</t>
        </is>
      </c>
      <c r="E240" s="38" t="inlineStr">
        <is>
          <t>Material staging to production field applications</t>
        </is>
      </c>
    </row>
    <row r="241" ht="15" customHeight="1" s="39">
      <c r="A241" s="38" t="n">
        <v>240</v>
      </c>
      <c r="B241" s="38" t="inlineStr">
        <is>
          <t>Kapsam/Geliştirme</t>
        </is>
      </c>
      <c r="C241" s="38" t="inlineStr">
        <is>
          <t>B46</t>
        </is>
      </c>
      <c r="D241" s="38" t="inlineStr">
        <is>
          <t>Üretime hazıredim tartım uygulamaları</t>
        </is>
      </c>
      <c r="E241" s="38" t="inlineStr">
        <is>
          <t>Material staging to production weighing applications</t>
        </is>
      </c>
    </row>
    <row r="242" ht="15" customHeight="1" s="39">
      <c r="A242" s="38" t="n">
        <v>241</v>
      </c>
      <c r="B242" s="38" t="inlineStr">
        <is>
          <t>Kapsam/Geliştirme</t>
        </is>
      </c>
      <c r="C242" s="38" t="inlineStr">
        <is>
          <t>B47</t>
        </is>
      </c>
      <c r="D242" s="38" t="inlineStr">
        <is>
          <t>It.capacity veya custom çizelgeleme programları</t>
        </is>
      </c>
      <c r="E242" s="38" t="inlineStr">
        <is>
          <t>It.capacity or custom scheduling programmes</t>
        </is>
      </c>
    </row>
    <row r="243" ht="15" customHeight="1" s="39">
      <c r="A243" s="38" t="n">
        <v>242</v>
      </c>
      <c r="B243" s="38" t="inlineStr">
        <is>
          <t>Kapsam/Geliştirme</t>
        </is>
      </c>
      <c r="C243" s="38" t="inlineStr">
        <is>
          <t>B48</t>
        </is>
      </c>
      <c r="D243" s="38" t="inlineStr">
        <is>
          <t>Kesim-trim planlama</t>
        </is>
      </c>
      <c r="E243" s="38" t="inlineStr">
        <is>
          <t>Cutting and trimming planning</t>
        </is>
      </c>
    </row>
    <row r="244" ht="15" customHeight="1" s="39">
      <c r="A244" s="38" t="n">
        <v>243</v>
      </c>
      <c r="B244" s="38" t="inlineStr">
        <is>
          <t>Kapsam/Geliştirme</t>
        </is>
      </c>
      <c r="C244" s="38" t="inlineStr">
        <is>
          <t>B49</t>
        </is>
      </c>
      <c r="D244" s="38" t="inlineStr">
        <is>
          <t>MII / DM kullanımı</t>
        </is>
      </c>
      <c r="E244" s="38" t="inlineStr">
        <is>
          <t>MII / DM usage</t>
        </is>
      </c>
    </row>
    <row r="245" ht="15" customHeight="1" s="39">
      <c r="A245" s="38" t="n">
        <v>244</v>
      </c>
      <c r="B245" s="38" t="inlineStr">
        <is>
          <t>Kapsam/Geliştirme</t>
        </is>
      </c>
      <c r="C245" s="38" t="inlineStr">
        <is>
          <t>B50</t>
        </is>
      </c>
      <c r="D245" s="38" t="inlineStr">
        <is>
          <t>Belge Ayrıştırma</t>
        </is>
      </c>
      <c r="E245" s="38" t="inlineStr">
        <is>
          <t>Document Splitting</t>
        </is>
      </c>
    </row>
    <row r="246" ht="15" customHeight="1" s="39">
      <c r="A246" s="38" t="n">
        <v>245</v>
      </c>
      <c r="B246" s="38" t="inlineStr">
        <is>
          <t>Kapsam/Geliştirme</t>
        </is>
      </c>
      <c r="C246" s="38" t="inlineStr">
        <is>
          <t>C50</t>
        </is>
      </c>
      <c r="D246" s="38" t="inlineStr">
        <is>
          <t xml:space="preserve">Farklı kırılımlarda mizan ihtiyacı </t>
        </is>
      </c>
      <c r="E246" s="38" t="inlineStr">
        <is>
          <t>Need for trial balance in different breakdowns</t>
        </is>
      </c>
    </row>
    <row r="247" ht="15" customHeight="1" s="39">
      <c r="A247" s="38" t="n">
        <v>248</v>
      </c>
      <c r="B247" s="38" t="inlineStr">
        <is>
          <t>Kapsam/Geliştirme</t>
        </is>
      </c>
      <c r="C247" s="38" t="inlineStr">
        <is>
          <t>B52</t>
        </is>
      </c>
      <c r="D247" s="38" t="inlineStr">
        <is>
          <t>Zimmet</t>
        </is>
      </c>
      <c r="E247" s="38" t="inlineStr">
        <is>
          <t>Embezzlement</t>
        </is>
      </c>
    </row>
    <row r="248" ht="15" customHeight="1" s="39">
      <c r="A248" s="38" t="n">
        <v>249</v>
      </c>
      <c r="B248" s="38" t="inlineStr">
        <is>
          <t>Kapsam/Geliştirme</t>
        </is>
      </c>
      <c r="C248" s="38" t="inlineStr">
        <is>
          <t>B53</t>
        </is>
      </c>
      <c r="D248" s="38" t="inlineStr">
        <is>
          <t>Cross Fason Kokpiti</t>
        </is>
      </c>
      <c r="E248" s="38" t="inlineStr">
        <is>
          <t>Cross Subcontracting Cockpit</t>
        </is>
      </c>
    </row>
    <row r="249" ht="15" customHeight="1" s="39">
      <c r="A249" s="38" t="n">
        <v>250</v>
      </c>
      <c r="B249" s="38" t="inlineStr">
        <is>
          <t>Kapsam/Geliştirme</t>
        </is>
      </c>
      <c r="C249" s="38" t="inlineStr">
        <is>
          <t>C53</t>
        </is>
      </c>
      <c r="D249" s="38" t="inlineStr">
        <is>
          <t>Aynı sistemde iki şirket arasında satış-satınalma yoluyla süreç yönetimi yapılmayıp şirket-tedarikçi yoluyla yapıldığında.</t>
        </is>
      </c>
      <c r="E249" s="38" t="inlineStr">
        <is>
          <t>When process management between two companies in the same system is handled via company-supplier instead of sales-purchasing.</t>
        </is>
      </c>
    </row>
    <row r="250" ht="15" customHeight="1" s="39">
      <c r="A250" s="38" t="n">
        <v>251</v>
      </c>
      <c r="B250" s="38" t="inlineStr">
        <is>
          <t>Kapsam/Geliştirme</t>
        </is>
      </c>
      <c r="C250" s="38" t="inlineStr">
        <is>
          <t>B54</t>
        </is>
      </c>
      <c r="D250" s="38" t="inlineStr">
        <is>
          <t>3PL entegrasyonu</t>
        </is>
      </c>
      <c r="E250" s="38" t="inlineStr">
        <is>
          <t>3PL Integration</t>
        </is>
      </c>
    </row>
    <row r="251" ht="15" customHeight="1" s="39">
      <c r="A251" s="38" t="n">
        <v>252</v>
      </c>
      <c r="B251" s="38" t="inlineStr">
        <is>
          <t>Kapsam/Geliştirme</t>
        </is>
      </c>
      <c r="C251" s="38" t="inlineStr">
        <is>
          <t>C54</t>
        </is>
      </c>
      <c r="D251" s="38" t="inlineStr">
        <is>
          <t>3rd party sistem ile yönetilen kaç farklı depo ve kaç farklı 3rd party ile yönetilmekte.</t>
        </is>
      </c>
      <c r="E251" s="38" t="inlineStr">
        <is>
          <t>How many different warehouses are managed by third-party systems, and by how many different third parties?</t>
        </is>
      </c>
    </row>
    <row r="252" ht="15" customHeight="1" s="39">
      <c r="A252" s="38" t="n">
        <v>253</v>
      </c>
      <c r="B252" s="38" t="inlineStr">
        <is>
          <t>Kapsam/Geliştirme</t>
        </is>
      </c>
      <c r="C252" s="38" t="inlineStr">
        <is>
          <t>B55</t>
        </is>
      </c>
      <c r="D252" s="38" t="inlineStr">
        <is>
          <t>Otomasyon &amp; Mekanizasyon</t>
        </is>
      </c>
      <c r="E252" s="38" t="inlineStr">
        <is>
          <t>Automation &amp; Mechanization</t>
        </is>
      </c>
    </row>
    <row r="253" ht="15" customHeight="1" s="39">
      <c r="A253" s="38" t="n">
        <v>254</v>
      </c>
      <c r="B253" s="38" t="inlineStr">
        <is>
          <t>Kapsam/Geliştirme</t>
        </is>
      </c>
      <c r="C253" s="38" t="inlineStr">
        <is>
          <t>C55</t>
        </is>
      </c>
      <c r="D253" s="38" t="inlineStr">
        <is>
          <t>Depoda otomasyon var mı / planlanıyor mu? ( Konveyor, AGV, RFID..) Ekipmanlar direkt EWM ile mi entegre çalışacak? Örneğin konveyör varsa konveyorün okuduğu ürün sonrası SAP sisteminde de bir işlem olsun isteniyor mu?</t>
        </is>
      </c>
      <c r="E253" s="38" t="inlineStr">
        <is>
          <t>Is there / will there be automation in the warehouse? (Conveyor, AGV, RFID, etc.) Will the equipment work directly integrated with EWM? For example, if there is a conveyor, is an SAP transaction also required after the product is read by the conveyor?</t>
        </is>
      </c>
    </row>
    <row r="254" ht="15" customHeight="1" s="39">
      <c r="A254" s="38" t="n">
        <v>255</v>
      </c>
      <c r="B254" s="38" t="inlineStr">
        <is>
          <t>Kapsam/Geliştirme</t>
        </is>
      </c>
      <c r="C254" s="38" t="inlineStr">
        <is>
          <t>B56</t>
        </is>
      </c>
      <c r="D254" s="38" t="inlineStr">
        <is>
          <t>Ekip ayrıştırma gerekecek mi?</t>
        </is>
      </c>
      <c r="E254" s="38" t="inlineStr">
        <is>
          <t>Will team split be required?</t>
        </is>
      </c>
    </row>
    <row r="255" ht="15" customHeight="1" s="39">
      <c r="A255" s="38" t="n">
        <v>256</v>
      </c>
      <c r="B255" s="38" t="inlineStr">
        <is>
          <t>Kapsam/Geliştirme</t>
        </is>
      </c>
      <c r="C255" s="38" t="inlineStr">
        <is>
          <t>C56</t>
        </is>
      </c>
      <c r="D255" s="38" t="inlineStr">
        <is>
          <t>Termin kısıtları vb. gibi sebepler ile ekip ayrıştırma ihtiyacı bulunmakta mıdır?</t>
        </is>
      </c>
      <c r="E255" s="38" t="inlineStr">
        <is>
          <t>Is there a need for team split due to schedule constraints and similar reasons?</t>
        </is>
      </c>
    </row>
    <row r="256" ht="15" customHeight="1" s="39">
      <c r="A256" s="38" t="n">
        <v>257</v>
      </c>
      <c r="B256" s="38" t="inlineStr">
        <is>
          <t>Kapsam/Geliştirme</t>
        </is>
      </c>
      <c r="C256" s="38" t="inlineStr">
        <is>
          <t>B57</t>
        </is>
      </c>
      <c r="D256" s="38" t="inlineStr">
        <is>
          <t>Optimizasyon Planlaması</t>
        </is>
      </c>
      <c r="E256" s="38" t="inlineStr">
        <is>
          <t>Optimization Planning</t>
        </is>
      </c>
    </row>
    <row r="257" ht="15" customHeight="1" s="39">
      <c r="A257" s="38" t="n">
        <v>258</v>
      </c>
      <c r="B257" s="38" t="inlineStr">
        <is>
          <t>Kapsam/Geliştirme</t>
        </is>
      </c>
      <c r="C257" s="38" t="inlineStr">
        <is>
          <t>C57</t>
        </is>
      </c>
      <c r="D257" s="38" t="inlineStr">
        <is>
          <t>TM planlamasında kullanılan optimizasyon planlaması kapsamı anaveri bakımı ve planlama kapsamında etkilemektedir.</t>
        </is>
      </c>
      <c r="E257" s="38" t="inlineStr">
        <is>
          <t>The optimization planning used in TM planning affects master data maintenance and the planning scope.</t>
        </is>
      </c>
    </row>
    <row r="258" ht="15" customHeight="1" s="39">
      <c r="A258" s="38" t="n">
        <v>259</v>
      </c>
      <c r="B258" s="38" t="inlineStr">
        <is>
          <t>Kapsam/Geliştirme</t>
        </is>
      </c>
      <c r="C258" s="38" t="inlineStr">
        <is>
          <t>B58</t>
        </is>
      </c>
      <c r="D258" s="38" t="inlineStr">
        <is>
          <t>Harita Planlaması</t>
        </is>
      </c>
      <c r="E258" s="38" t="inlineStr">
        <is>
          <t>Map Planning</t>
        </is>
      </c>
    </row>
    <row r="259" ht="15" customHeight="1" s="39">
      <c r="A259" s="38" t="n">
        <v>260</v>
      </c>
      <c r="B259" s="38" t="inlineStr">
        <is>
          <t>Kapsam/Geliştirme</t>
        </is>
      </c>
      <c r="C259" s="38" t="inlineStr">
        <is>
          <t>C58</t>
        </is>
      </c>
      <c r="D259" s="38" t="inlineStr">
        <is>
          <t>Harita planlaması yöntem olarak kullanılacak mı?</t>
        </is>
      </c>
      <c r="E259" s="38" t="inlineStr">
        <is>
          <t>Will map planning be used as a method?</t>
        </is>
      </c>
    </row>
    <row r="260" ht="15" customHeight="1" s="39">
      <c r="A260" s="38" t="n">
        <v>261</v>
      </c>
      <c r="B260" s="38" t="inlineStr">
        <is>
          <t>Kapsam/Geliştirme</t>
        </is>
      </c>
      <c r="C260" s="38" t="inlineStr">
        <is>
          <t>B59</t>
        </is>
      </c>
      <c r="D260" s="38" t="inlineStr">
        <is>
          <t>Yükleme Optimizasyonu</t>
        </is>
      </c>
      <c r="E260" s="38" t="inlineStr">
        <is>
          <t>Loading Optimization</t>
        </is>
      </c>
    </row>
    <row r="261" ht="15" customHeight="1" s="39">
      <c r="A261" s="38" t="n">
        <v>262</v>
      </c>
      <c r="B261" s="38" t="inlineStr">
        <is>
          <t>Kapsam/Geliştirme</t>
        </is>
      </c>
      <c r="C261" s="38" t="inlineStr">
        <is>
          <t>C59</t>
        </is>
      </c>
      <c r="D261" s="38" t="inlineStr">
        <is>
          <t>Yükleme optimizasyonu kullanılacak mı?</t>
        </is>
      </c>
      <c r="E261" s="38" t="inlineStr">
        <is>
          <t>Will loading optimization be used?</t>
        </is>
      </c>
    </row>
    <row r="262" ht="15" customHeight="1" s="39">
      <c r="A262" s="38" t="n">
        <v>263</v>
      </c>
      <c r="B262" s="38" t="inlineStr">
        <is>
          <t>Kapsam/Geliştirme</t>
        </is>
      </c>
      <c r="C262" s="38" t="inlineStr">
        <is>
          <t>B60</t>
        </is>
      </c>
      <c r="D262" s="38" t="inlineStr">
        <is>
          <t>Depo İçi Kaynak Yönetimi ve Stratejileri</t>
        </is>
      </c>
      <c r="E262" s="38" t="inlineStr">
        <is>
          <t>In-Warehouse Resource Management and Strategies</t>
        </is>
      </c>
    </row>
    <row r="263" ht="15" customHeight="1" s="39">
      <c r="A263" s="38" t="n">
        <v>264</v>
      </c>
      <c r="B263" s="38" t="inlineStr">
        <is>
          <t>Kapsam/Geliştirme</t>
        </is>
      </c>
      <c r="C263" s="38" t="inlineStr">
        <is>
          <t>C60</t>
        </is>
      </c>
      <c r="D263" s="38" t="inlineStr">
        <is>
          <t>Forklift, reachtruck, operatörlerin görev bazında dağılımları var mı?</t>
        </is>
      </c>
      <c r="E263" s="38" t="inlineStr">
        <is>
          <t>Are forklifts, reach trucks and operators assigned by task?</t>
        </is>
      </c>
    </row>
    <row r="264" ht="15" customHeight="1" s="39">
      <c r="A264" s="38" t="n">
        <v>265</v>
      </c>
      <c r="B264" s="38" t="inlineStr">
        <is>
          <t>Kapsam/Geliştirme</t>
        </is>
      </c>
      <c r="C264" s="38" t="inlineStr">
        <is>
          <t>B61</t>
        </is>
      </c>
      <c r="D264" s="38" t="inlineStr">
        <is>
          <t>Event Management</t>
        </is>
      </c>
      <c r="E264" s="38" t="inlineStr">
        <is>
          <t>Event Management</t>
        </is>
      </c>
    </row>
    <row r="265" ht="15" customHeight="1" s="39">
      <c r="A265" s="38" t="n">
        <v>266</v>
      </c>
      <c r="B265" s="38" t="inlineStr">
        <is>
          <t>Kapsam/Geliştirme</t>
        </is>
      </c>
      <c r="C265" s="38" t="inlineStr">
        <is>
          <t>C61</t>
        </is>
      </c>
      <c r="D265" s="38" t="inlineStr">
        <is>
          <t>Event Management kullanılacak mı?</t>
        </is>
      </c>
      <c r="E265" s="38" t="inlineStr">
        <is>
          <t>Will Event Management be used?</t>
        </is>
      </c>
    </row>
    <row r="266" ht="15" customHeight="1" s="39">
      <c r="A266" s="38" t="n">
        <v>267</v>
      </c>
      <c r="B266" s="38" t="inlineStr">
        <is>
          <t>Kapsam/Geliştirme</t>
        </is>
      </c>
      <c r="C266" s="38" t="inlineStr">
        <is>
          <t>B62</t>
        </is>
      </c>
      <c r="D266" s="38" t="inlineStr">
        <is>
          <t>Potens - HF takibi var mı?</t>
        </is>
      </c>
      <c r="E266" s="38" t="inlineStr">
        <is>
          <t>Potency - HF processes are included?</t>
        </is>
      </c>
    </row>
    <row r="267" ht="15" customHeight="1" s="39">
      <c r="A267" s="38" t="n">
        <v>268</v>
      </c>
      <c r="B267" s="38" t="inlineStr">
        <is>
          <t>Kapsam/Geliştirme</t>
        </is>
      </c>
      <c r="C267" s="38" t="inlineStr">
        <is>
          <t>C62</t>
        </is>
      </c>
      <c r="D267" s="38" t="inlineStr">
        <is>
          <t>Hammadde partilerinde potens, hf gibi karakteristik değerlerinin takibi ihtiyacı bulunmakta mıdır?</t>
        </is>
      </c>
      <c r="E267" s="38" t="inlineStr">
        <is>
          <t>Is there a need to track characteristic values such as potency and HF in raw material batches?</t>
        </is>
      </c>
    </row>
    <row r="268" ht="15" customHeight="1" s="39">
      <c r="A268" s="38" t="n">
        <v>269</v>
      </c>
      <c r="B268" s="38" t="inlineStr">
        <is>
          <t>Size Etkisiz</t>
        </is>
      </c>
      <c r="C268" s="38" t="inlineStr">
        <is>
          <t>F4</t>
        </is>
      </c>
      <c r="D268" s="38" t="inlineStr">
        <is>
          <t>+Sabit Gün</t>
        </is>
      </c>
      <c r="E268" s="38" t="inlineStr">
        <is>
          <t>+Fixed Days</t>
        </is>
      </c>
    </row>
    <row r="269" ht="15" customHeight="1" s="39">
      <c r="A269" s="38" t="n">
        <v>270</v>
      </c>
      <c r="B269" s="38" t="inlineStr">
        <is>
          <t>Size Etkisiz</t>
        </is>
      </c>
      <c r="C269" s="38" t="inlineStr">
        <is>
          <t>D7</t>
        </is>
      </c>
      <c r="D269" s="38" t="inlineStr">
        <is>
          <t>Proje Yürütme</t>
        </is>
      </c>
      <c r="E269" s="38" t="inlineStr">
        <is>
          <t>Project Execution</t>
        </is>
      </c>
    </row>
    <row r="270" ht="15" customHeight="1" s="39">
      <c r="A270" s="38" t="n">
        <v>271</v>
      </c>
      <c r="B270" s="38" t="inlineStr">
        <is>
          <t>Size Etkisiz</t>
        </is>
      </c>
      <c r="C270" s="38" t="inlineStr">
        <is>
          <t>H7</t>
        </is>
      </c>
      <c r="D270" s="38" t="inlineStr">
        <is>
          <t>Hepsi</t>
        </is>
      </c>
      <c r="E270" s="38" t="inlineStr">
        <is>
          <t>All</t>
        </is>
      </c>
    </row>
    <row r="271" ht="15" customHeight="1" s="39">
      <c r="A271" s="38" t="n">
        <v>272</v>
      </c>
      <c r="B271" s="38" t="inlineStr">
        <is>
          <t>Size Etkisiz</t>
        </is>
      </c>
      <c r="C271" s="38" t="inlineStr">
        <is>
          <t>F8</t>
        </is>
      </c>
      <c r="D271" s="38" t="inlineStr">
        <is>
          <t>+Sabit Katsayılı Gün</t>
        </is>
      </c>
      <c r="E271" s="38" t="inlineStr">
        <is>
          <t>+Coefficient Fixed Days</t>
        </is>
      </c>
    </row>
    <row r="272" ht="15" customHeight="1" s="39">
      <c r="A272" s="38" t="n">
        <v>273</v>
      </c>
      <c r="B272" s="38" t="inlineStr">
        <is>
          <t>Size Etkisiz</t>
        </is>
      </c>
      <c r="C272" s="38" t="inlineStr">
        <is>
          <t>D19</t>
        </is>
      </c>
      <c r="D272" s="38" t="inlineStr">
        <is>
          <t>Süreç</t>
        </is>
      </c>
      <c r="E272" s="38" t="inlineStr">
        <is>
          <t>Process</t>
        </is>
      </c>
    </row>
    <row r="273" ht="15" customHeight="1" s="39">
      <c r="A273" s="38" t="n">
        <v>274</v>
      </c>
      <c r="B273" s="38" t="inlineStr">
        <is>
          <t>Size Etkisiz</t>
        </is>
      </c>
      <c r="C273" s="38" t="inlineStr">
        <is>
          <t>B41</t>
        </is>
      </c>
      <c r="D273" s="38" t="inlineStr">
        <is>
          <t>Üretim ana veri yaratma otomasyonu (Varyant konfigurasyonlu)</t>
        </is>
      </c>
      <c r="E273" s="38" t="inlineStr">
        <is>
          <t>Production master data creation automation (with variant configuration)</t>
        </is>
      </c>
    </row>
    <row r="274" ht="15" customHeight="1" s="39">
      <c r="A274" s="38" t="n">
        <v>275</v>
      </c>
      <c r="B274" s="38" t="inlineStr">
        <is>
          <t>Size Etkisiz</t>
        </is>
      </c>
      <c r="C274" s="38" t="inlineStr">
        <is>
          <t>B42</t>
        </is>
      </c>
      <c r="D274" s="38" t="inlineStr">
        <is>
          <t>Üretim ana veri yaratma otomasyonu (FMS)</t>
        </is>
      </c>
      <c r="E274" s="38" t="inlineStr">
        <is>
          <t>Production master data creation automation (with FVB)</t>
        </is>
      </c>
    </row>
    <row r="275" ht="15" customHeight="1" s="39">
      <c r="A275" s="38" t="n">
        <v>276</v>
      </c>
      <c r="B275" s="38" t="inlineStr">
        <is>
          <t>Değişken+Modül+Faz</t>
        </is>
      </c>
      <c r="C275" s="38" t="inlineStr">
        <is>
          <t>B2</t>
        </is>
      </c>
      <c r="D275" s="38" t="inlineStr">
        <is>
          <t>Değişken</t>
        </is>
      </c>
      <c r="E275" s="38" t="inlineStr">
        <is>
          <t>Variable</t>
        </is>
      </c>
    </row>
    <row r="276" ht="15" customHeight="1" s="39">
      <c r="A276" s="38" t="n">
        <v>277</v>
      </c>
      <c r="B276" s="38" t="inlineStr">
        <is>
          <t>Değişken+Modül+Faz</t>
        </is>
      </c>
      <c r="C276" s="38" t="inlineStr">
        <is>
          <t>D2</t>
        </is>
      </c>
      <c r="D276" s="38" t="inlineStr">
        <is>
          <t>Efor Bazı</t>
        </is>
      </c>
      <c r="E276" s="38" t="inlineStr">
        <is>
          <t>Effort Basis</t>
        </is>
      </c>
    </row>
    <row r="277" ht="15" customHeight="1" s="39">
      <c r="A277" s="38" t="n">
        <v>278</v>
      </c>
      <c r="B277" s="38" t="inlineStr">
        <is>
          <t>Değişken+Modül+Faz</t>
        </is>
      </c>
      <c r="C277" s="38" t="inlineStr">
        <is>
          <t>D6</t>
        </is>
      </c>
      <c r="D277" s="38" t="inlineStr">
        <is>
          <t>Sabit</t>
        </is>
      </c>
      <c r="E277" s="38" t="inlineStr">
        <is>
          <t>Fixed</t>
        </is>
      </c>
    </row>
    <row r="278" ht="15" customHeight="1" s="39">
      <c r="A278" s="38" t="n">
        <v>279</v>
      </c>
      <c r="B278" s="38" t="inlineStr">
        <is>
          <t>Değişken+Modül+Faz</t>
        </is>
      </c>
      <c r="C278" s="38" t="inlineStr">
        <is>
          <t>B13</t>
        </is>
      </c>
      <c r="D278" s="38" t="inlineStr">
        <is>
          <t>Aynı Süreçlere Sahip Depo Sayısı</t>
        </is>
      </c>
      <c r="E278" s="38" t="inlineStr">
        <is>
          <t>Number of Warehouses with the Same Processes</t>
        </is>
      </c>
    </row>
    <row r="279" ht="15" customHeight="1" s="39">
      <c r="A279" s="38" t="n">
        <v>280</v>
      </c>
      <c r="B279" s="38" t="inlineStr">
        <is>
          <t>Değişken+Modül+Faz</t>
        </is>
      </c>
      <c r="C279" s="38" t="inlineStr">
        <is>
          <t>B16</t>
        </is>
      </c>
      <c r="D279" s="38" t="inlineStr">
        <is>
          <t xml:space="preserve">Belge Ayrıştırma </t>
        </is>
      </c>
      <c r="E279" s="38" t="inlineStr">
        <is>
          <t>Document Splitting</t>
        </is>
      </c>
    </row>
    <row r="280" ht="15" customHeight="1" s="39">
      <c r="A280" s="38" t="n">
        <v>281</v>
      </c>
      <c r="B280" s="38" t="inlineStr">
        <is>
          <t>Değişken+Modül+Faz</t>
        </is>
      </c>
      <c r="C280" s="38" t="inlineStr">
        <is>
          <t>D46</t>
        </is>
      </c>
      <c r="D280" s="38" t="inlineStr">
        <is>
          <t>1 Farklı Şirket Kurgusu</t>
        </is>
      </c>
      <c r="E280" s="38" t="inlineStr">
        <is>
          <t>1 Different Company Code Structure</t>
        </is>
      </c>
    </row>
    <row r="281" ht="15" customHeight="1" s="39">
      <c r="A281" s="38" t="n">
        <v>282</v>
      </c>
      <c r="B281" s="38" t="inlineStr">
        <is>
          <t>Değişken+Modül+Faz</t>
        </is>
      </c>
      <c r="C281" s="38" t="inlineStr">
        <is>
          <t>B70</t>
        </is>
      </c>
      <c r="D281" s="38" t="inlineStr">
        <is>
          <t>it.foreign trade</t>
        </is>
      </c>
      <c r="E281" s="38" t="inlineStr">
        <is>
          <t>it.foreign trade</t>
        </is>
      </c>
    </row>
    <row r="282" ht="15" customHeight="1" s="39">
      <c r="A282" s="38" t="n">
        <v>283</v>
      </c>
      <c r="B282" s="38" t="inlineStr">
        <is>
          <t>Değişken+Modül+Faz</t>
        </is>
      </c>
      <c r="C282" s="38" t="inlineStr">
        <is>
          <t>D72</t>
        </is>
      </c>
      <c r="D282" s="38" t="inlineStr">
        <is>
          <t>1 Entegrasyon bazında</t>
        </is>
      </c>
      <c r="E282" s="38" t="inlineStr">
        <is>
          <t>Only for 1 integration</t>
        </is>
      </c>
    </row>
    <row r="283" ht="15" customHeight="1" s="39">
      <c r="A283" s="38" t="n">
        <v>284</v>
      </c>
      <c r="B283" s="38" t="inlineStr">
        <is>
          <t>Değişken+Modül+Faz</t>
        </is>
      </c>
      <c r="C283" s="38" t="inlineStr">
        <is>
          <t>B78</t>
        </is>
      </c>
      <c r="D283" s="38" t="inlineStr">
        <is>
          <t>Lokalizasyon</t>
        </is>
      </c>
      <c r="E283" s="38" t="inlineStr">
        <is>
          <t>Localization</t>
        </is>
      </c>
    </row>
    <row r="284" ht="15" customHeight="1" s="39">
      <c r="A284" s="38" t="n">
        <v>285</v>
      </c>
      <c r="B284" s="38" t="inlineStr">
        <is>
          <t>Değişken+Modül+Faz</t>
        </is>
      </c>
      <c r="C284" s="38" t="inlineStr">
        <is>
          <t>D79</t>
        </is>
      </c>
      <c r="D284" s="38" t="inlineStr">
        <is>
          <t>1 Ürün tipi /üretim hattı</t>
        </is>
      </c>
      <c r="E284" s="38" t="inlineStr">
        <is>
          <t>1 Product type / production line</t>
        </is>
      </c>
    </row>
    <row r="285" ht="15" customHeight="1" s="39">
      <c r="A285" s="38" t="n">
        <v>286</v>
      </c>
      <c r="B285" s="38" t="inlineStr">
        <is>
          <t>Değişken+Modül+Faz</t>
        </is>
      </c>
      <c r="C285" s="38" t="inlineStr">
        <is>
          <t>B84</t>
        </is>
      </c>
      <c r="D285" s="38" t="inlineStr">
        <is>
          <t>Onay stratejileri</t>
        </is>
      </c>
      <c r="E285" s="38" t="inlineStr">
        <is>
          <t>Approval Strategies</t>
        </is>
      </c>
    </row>
    <row r="286" ht="15" customHeight="1" s="39">
      <c r="A286" s="38" t="n">
        <v>287</v>
      </c>
      <c r="B286" s="38" t="inlineStr">
        <is>
          <t>Değişken+Modül+Faz</t>
        </is>
      </c>
      <c r="C286" s="38" t="inlineStr">
        <is>
          <t>D90</t>
        </is>
      </c>
      <c r="D286" s="38" t="inlineStr">
        <is>
          <t>1 Ürün tipi</t>
        </is>
      </c>
      <c r="E286" s="38" t="inlineStr">
        <is>
          <t>1 Product Type</t>
        </is>
      </c>
    </row>
    <row r="287" ht="15" customHeight="1" s="39">
      <c r="A287" s="38" t="n">
        <v>288</v>
      </c>
      <c r="B287" s="38" t="inlineStr">
        <is>
          <t>Değişken+Modül+Faz</t>
        </is>
      </c>
      <c r="C287" s="38" t="inlineStr">
        <is>
          <t>B91</t>
        </is>
      </c>
      <c r="D287" s="38" t="inlineStr">
        <is>
          <t>Planlama Kokpitleri vasıtası ile üretim önerileri oluşturulması</t>
        </is>
      </c>
      <c r="E287" s="38" t="inlineStr">
        <is>
          <t>Creation of production proposals via planning cockpits</t>
        </is>
      </c>
    </row>
    <row r="288" ht="15" customHeight="1" s="39">
      <c r="A288" s="38" t="n">
        <v>289</v>
      </c>
      <c r="B288" s="38" t="inlineStr">
        <is>
          <t>Değişken+Modül+Faz</t>
        </is>
      </c>
      <c r="C288" s="38" t="inlineStr">
        <is>
          <t>B96</t>
        </is>
      </c>
      <c r="D288" s="38" t="inlineStr">
        <is>
          <t>Prim Yönetimi</t>
        </is>
      </c>
      <c r="E288" s="38" t="inlineStr">
        <is>
          <t>Rebate Management</t>
        </is>
      </c>
    </row>
    <row r="289" ht="15" customHeight="1" s="39">
      <c r="A289" s="38" t="n">
        <v>290</v>
      </c>
      <c r="B289" s="38" t="inlineStr">
        <is>
          <t>Değişken+Modül+Faz</t>
        </is>
      </c>
      <c r="C289" s="38" t="inlineStr">
        <is>
          <t>D99</t>
        </is>
      </c>
      <c r="D289" s="38" t="inlineStr">
        <is>
          <t>1 SD alanı</t>
        </is>
      </c>
      <c r="E289" s="38" t="inlineStr">
        <is>
          <t>1 SD Area</t>
        </is>
      </c>
    </row>
    <row r="290" ht="15" customHeight="1" s="39">
      <c r="A290" s="38" t="n">
        <v>291</v>
      </c>
      <c r="B290" s="38" t="inlineStr">
        <is>
          <t>Değişken+Modül+Faz</t>
        </is>
      </c>
      <c r="C290" s="38" t="inlineStr">
        <is>
          <t>D100</t>
        </is>
      </c>
      <c r="D290" s="38" t="inlineStr">
        <is>
          <t>1 ŞK</t>
        </is>
      </c>
      <c r="E290" s="38" t="inlineStr">
        <is>
          <t>1 CC</t>
        </is>
      </c>
    </row>
    <row r="291" ht="15" customHeight="1" s="39">
      <c r="A291" s="38" t="n">
        <v>292</v>
      </c>
      <c r="B291" s="38" t="inlineStr">
        <is>
          <t>Değişken+Modül+Faz</t>
        </is>
      </c>
      <c r="C291" s="38" t="inlineStr">
        <is>
          <t>D121</t>
        </is>
      </c>
      <c r="D291" s="38" t="inlineStr">
        <is>
          <t>1 ÜY</t>
        </is>
      </c>
      <c r="E291" s="38" t="inlineStr">
        <is>
          <t>1 PC</t>
        </is>
      </c>
    </row>
    <row r="292" ht="15" customHeight="1" s="39">
      <c r="A292" s="38" t="n">
        <v>293</v>
      </c>
      <c r="B292" s="38" t="inlineStr">
        <is>
          <t>Değişken+Modül+Faz</t>
        </is>
      </c>
      <c r="C292" s="38" t="inlineStr">
        <is>
          <t>D146</t>
        </is>
      </c>
      <c r="D292" s="38" t="inlineStr">
        <is>
          <t>Var</t>
        </is>
      </c>
      <c r="E292" s="38" t="inlineStr">
        <is>
          <t>Include</t>
        </is>
      </c>
    </row>
    <row r="293" ht="15" customHeight="1" s="39">
      <c r="A293" s="38" t="n">
        <v>294</v>
      </c>
      <c r="B293" s="38" t="inlineStr">
        <is>
          <t>Hypercare&amp;Canlı Destek</t>
        </is>
      </c>
      <c r="C293" s="38" t="inlineStr">
        <is>
          <t>B1</t>
        </is>
      </c>
      <c r="D293" s="38" t="inlineStr">
        <is>
          <t>Hypercare Hafta Sayısı</t>
        </is>
      </c>
      <c r="E293" s="38" t="inlineStr">
        <is>
          <t>Hypercare Number of Weeks</t>
        </is>
      </c>
    </row>
    <row r="294" ht="15" customHeight="1" s="39">
      <c r="A294" s="38" t="n">
        <v>295</v>
      </c>
      <c r="B294" s="38" t="inlineStr">
        <is>
          <t>Hypercare&amp;Canlı Destek</t>
        </is>
      </c>
      <c r="C294" s="38" t="inlineStr">
        <is>
          <t>C1</t>
        </is>
      </c>
      <c r="D294" s="38" t="inlineStr">
        <is>
          <t>Hypercare Haftadaki Gün Sayısı</t>
        </is>
      </c>
      <c r="E294" s="38" t="inlineStr">
        <is>
          <t>Hypercare Days per Week</t>
        </is>
      </c>
    </row>
    <row r="295" ht="15" customHeight="1" s="39">
      <c r="A295" s="38" t="n">
        <v>296</v>
      </c>
      <c r="B295" s="38" t="inlineStr">
        <is>
          <t>Hypercare&amp;Canlı Destek</t>
        </is>
      </c>
      <c r="C295" s="38" t="inlineStr">
        <is>
          <t>D1</t>
        </is>
      </c>
      <c r="D295" s="38" t="inlineStr">
        <is>
          <t>Hypercare Vardıya Sayısı</t>
        </is>
      </c>
      <c r="E295" s="38" t="inlineStr">
        <is>
          <t>Hypercare Number of Shifts</t>
        </is>
      </c>
    </row>
    <row r="296" ht="15" customHeight="1" s="39">
      <c r="A296" s="38" t="n">
        <v>297</v>
      </c>
      <c r="B296" s="38" t="inlineStr">
        <is>
          <t>Hypercare&amp;Canlı Destek</t>
        </is>
      </c>
      <c r="C296" s="38" t="inlineStr">
        <is>
          <t>E1</t>
        </is>
      </c>
      <c r="D296" s="38" t="inlineStr">
        <is>
          <t>Hypercare Lokasyon Sayısı</t>
        </is>
      </c>
      <c r="E296" s="38" t="inlineStr">
        <is>
          <t>Hypercare Number of Locations</t>
        </is>
      </c>
    </row>
    <row r="297" ht="15" customHeight="1" s="39">
      <c r="A297" s="38" t="n">
        <v>298</v>
      </c>
      <c r="B297" s="38" t="inlineStr">
        <is>
          <t>Hypercare&amp;Canlı Destek</t>
        </is>
      </c>
      <c r="C297" s="38" t="inlineStr">
        <is>
          <t>F1</t>
        </is>
      </c>
      <c r="D297" s="38" t="inlineStr">
        <is>
          <t>Canlı Destek Gün Sayısı</t>
        </is>
      </c>
      <c r="E297" s="38" t="inlineStr">
        <is>
          <t>Go-Live Support Number of Days</t>
        </is>
      </c>
    </row>
    <row r="298" ht="15" customHeight="1" s="39">
      <c r="A298" s="38" t="n">
        <v>299</v>
      </c>
      <c r="B298" s="38" t="inlineStr">
        <is>
          <t>Hypercare&amp;Canlı Destek</t>
        </is>
      </c>
      <c r="C298" s="38" t="inlineStr">
        <is>
          <t>G1</t>
        </is>
      </c>
      <c r="D298" s="38" t="inlineStr">
        <is>
          <t>Hesaplanan Hypercare</t>
        </is>
      </c>
      <c r="E298" s="38" t="inlineStr">
        <is>
          <t>Calculated Hypercare</t>
        </is>
      </c>
    </row>
    <row r="299" ht="15" customHeight="1" s="39">
      <c r="A299" s="38" t="n">
        <v>300</v>
      </c>
      <c r="B299" s="38" t="inlineStr">
        <is>
          <t>Final Efor</t>
        </is>
      </c>
      <c r="C299" s="38" t="inlineStr">
        <is>
          <t>Z1</t>
        </is>
      </c>
      <c r="D299" s="38" t="inlineStr">
        <is>
          <t>Kaynak</t>
        </is>
      </c>
      <c r="E299" s="38" t="inlineStr">
        <is>
          <t>Resource</t>
        </is>
      </c>
    </row>
    <row r="300" ht="15" customHeight="1" s="39">
      <c r="A300" s="38" t="n">
        <v>301</v>
      </c>
      <c r="B300" s="38" t="inlineStr">
        <is>
          <t>Final Efor</t>
        </is>
      </c>
      <c r="C300" s="38" t="inlineStr">
        <is>
          <t>AC1</t>
        </is>
      </c>
      <c r="D300" s="38" t="inlineStr">
        <is>
          <t>Faz</t>
        </is>
      </c>
      <c r="E300" s="38" t="inlineStr">
        <is>
          <t>Phase</t>
        </is>
      </c>
    </row>
    <row r="301" ht="15" customHeight="1" s="39">
      <c r="A301" s="38" t="n">
        <v>302</v>
      </c>
      <c r="B301" s="38" t="inlineStr">
        <is>
          <t>Final Efor</t>
        </is>
      </c>
      <c r="C301" s="38" t="inlineStr">
        <is>
          <t>AD1</t>
        </is>
      </c>
      <c r="D301" s="38" t="inlineStr">
        <is>
          <t>Multiplier</t>
        </is>
      </c>
      <c r="E301" s="38" t="inlineStr">
        <is>
          <t>Multiplier</t>
        </is>
      </c>
    </row>
    <row r="302" ht="15" customHeight="1" s="39">
      <c r="A302" s="38" t="n">
        <v>303</v>
      </c>
      <c r="B302" s="38" t="inlineStr">
        <is>
          <t>Final Efor</t>
        </is>
      </c>
      <c r="C302" s="38" t="inlineStr">
        <is>
          <t>AE1</t>
        </is>
      </c>
      <c r="D302" s="38" t="inlineStr">
        <is>
          <t>Delta</t>
        </is>
      </c>
      <c r="E302" s="38" t="inlineStr">
        <is>
          <t>Delta</t>
        </is>
      </c>
    </row>
    <row r="303" ht="15" customHeight="1" s="39">
      <c r="A303" s="38" t="n">
        <v>304</v>
      </c>
      <c r="B303" s="38" t="inlineStr">
        <is>
          <t>Final Efor</t>
        </is>
      </c>
      <c r="C303" s="38" t="inlineStr">
        <is>
          <t>AF1</t>
        </is>
      </c>
      <c r="D303" s="38" t="inlineStr">
        <is>
          <t>Ek Efor</t>
        </is>
      </c>
      <c r="E303" s="38" t="inlineStr">
        <is>
          <t>Additional Efforts</t>
        </is>
      </c>
    </row>
    <row r="304" ht="15" customHeight="1" s="39">
      <c r="A304" s="38" t="n">
        <v>305</v>
      </c>
      <c r="B304" s="38" t="inlineStr">
        <is>
          <t>Final Efor</t>
        </is>
      </c>
      <c r="C304" s="38" t="inlineStr">
        <is>
          <t>Z2</t>
        </is>
      </c>
      <c r="D304" s="38" t="inlineStr">
        <is>
          <t>Size Etkili</t>
        </is>
      </c>
      <c r="E304" s="38" t="inlineStr">
        <is>
          <t>Size Dependent</t>
        </is>
      </c>
    </row>
    <row r="305" ht="15" customHeight="1" s="39">
      <c r="A305" s="38" t="n">
        <v>306</v>
      </c>
      <c r="B305" s="38" t="inlineStr">
        <is>
          <t>Final Efor</t>
        </is>
      </c>
      <c r="C305" s="38" t="inlineStr">
        <is>
          <t>AH2</t>
        </is>
      </c>
      <c r="D305" s="38" t="inlineStr">
        <is>
          <t>NoNSize-Geliştirme</t>
        </is>
      </c>
      <c r="E305" s="38" t="inlineStr">
        <is>
          <t>NoNSize-Development</t>
        </is>
      </c>
    </row>
    <row r="306" ht="15" customHeight="1" s="39">
      <c r="A306" s="38" t="n">
        <v>307</v>
      </c>
      <c r="B306" s="38" t="inlineStr">
        <is>
          <t>Final Efor</t>
        </is>
      </c>
      <c r="C306" s="38" t="inlineStr">
        <is>
          <t>A19</t>
        </is>
      </c>
      <c r="D306" s="38" t="inlineStr">
        <is>
          <t>Geliştirme Listesi</t>
        </is>
      </c>
      <c r="E306" s="38" t="inlineStr">
        <is>
          <t>Development List</t>
        </is>
      </c>
    </row>
    <row r="307" ht="15" customHeight="1" s="39">
      <c r="A307" s="38" t="n">
        <v>308</v>
      </c>
      <c r="B307" s="38" t="inlineStr">
        <is>
          <t>Final Efor</t>
        </is>
      </c>
      <c r="C307" s="38" t="inlineStr">
        <is>
          <t>A20</t>
        </is>
      </c>
      <c r="D307" s="38" t="inlineStr">
        <is>
          <t>Geliştirme Adı</t>
        </is>
      </c>
      <c r="E307" s="38" t="inlineStr">
        <is>
          <t>Development Name</t>
        </is>
      </c>
    </row>
    <row r="308" ht="15" customHeight="1" s="39">
      <c r="A308" s="38" t="n">
        <v>309</v>
      </c>
      <c r="B308" s="38" t="inlineStr">
        <is>
          <t>Final Efor</t>
        </is>
      </c>
      <c r="C308" s="38" t="inlineStr">
        <is>
          <t>Q20</t>
        </is>
      </c>
      <c r="D308" s="38" t="inlineStr">
        <is>
          <t>Toplam AG</t>
        </is>
      </c>
      <c r="E308" s="38" t="inlineStr">
        <is>
          <t>Total MD</t>
        </is>
      </c>
    </row>
    <row r="309" ht="15" customHeight="1" s="39">
      <c r="A309" s="38" t="n">
        <v>310</v>
      </c>
      <c r="B309" s="38" t="inlineStr">
        <is>
          <t>Final Efor</t>
        </is>
      </c>
      <c r="C309" s="38" t="inlineStr">
        <is>
          <t>Z28</t>
        </is>
      </c>
      <c r="D309" s="38" t="inlineStr">
        <is>
          <t>NoNSize-Kapsam</t>
        </is>
      </c>
      <c r="E309" s="38" t="inlineStr">
        <is>
          <t>NoNSize-Scope</t>
        </is>
      </c>
    </row>
    <row r="310" ht="15" customHeight="1" s="39">
      <c r="A310" s="38" t="n">
        <v>311</v>
      </c>
      <c r="B310" s="38" t="inlineStr">
        <is>
          <t>Final Efor</t>
        </is>
      </c>
      <c r="C310" s="38" t="inlineStr">
        <is>
          <t>A48</t>
        </is>
      </c>
      <c r="D310" s="38" t="inlineStr">
        <is>
          <t>Toplam</t>
        </is>
      </c>
      <c r="E310" s="38" t="inlineStr">
        <is>
          <t>Total</t>
        </is>
      </c>
    </row>
    <row r="311" ht="15" customHeight="1" s="39">
      <c r="A311" s="38" t="n">
        <v>312</v>
      </c>
      <c r="B311" s="38" t="inlineStr">
        <is>
          <t>Final Efor</t>
        </is>
      </c>
      <c r="C311" s="38" t="inlineStr">
        <is>
          <t>AH113</t>
        </is>
      </c>
      <c r="D311" s="38" t="inlineStr">
        <is>
          <t>Auto-FMS</t>
        </is>
      </c>
      <c r="E311" s="38" t="inlineStr">
        <is>
          <t>Auto-FMS</t>
        </is>
      </c>
    </row>
    <row r="312" ht="15" customHeight="1" s="39">
      <c r="A312" s="38" t="n">
        <v>313</v>
      </c>
      <c r="B312" s="38" t="inlineStr">
        <is>
          <t>Final Efor</t>
        </is>
      </c>
      <c r="C312" s="38" t="inlineStr">
        <is>
          <t>AH120</t>
        </is>
      </c>
      <c r="D312" s="38" t="inlineStr">
        <is>
          <t>Auto-Variant</t>
        </is>
      </c>
      <c r="E312" s="38" t="inlineStr">
        <is>
          <t>Auto-Variant</t>
        </is>
      </c>
    </row>
    <row r="313" ht="15" customHeight="1" s="39">
      <c r="A313" s="38" t="n">
        <v>314</v>
      </c>
      <c r="B313" s="38" t="inlineStr">
        <is>
          <t>Final Efor</t>
        </is>
      </c>
      <c r="C313" s="38" t="inlineStr">
        <is>
          <t>Z512</t>
        </is>
      </c>
      <c r="D313" s="38" t="inlineStr">
        <is>
          <t>Special-IT Repeat</t>
        </is>
      </c>
      <c r="E313" s="38" t="inlineStr">
        <is>
          <t>Special-IT Repeat</t>
        </is>
      </c>
    </row>
    <row r="314" ht="15" customHeight="1" s="39">
      <c r="A314" s="38" t="n">
        <v>315</v>
      </c>
      <c r="B314" s="38" t="inlineStr">
        <is>
          <t>Final Efor</t>
        </is>
      </c>
      <c r="C314" s="38" t="inlineStr">
        <is>
          <t>Z527</t>
        </is>
      </c>
      <c r="D314" s="38" t="inlineStr">
        <is>
          <t>Special-UT Count</t>
        </is>
      </c>
      <c r="E314" s="38" t="inlineStr">
        <is>
          <t>Special-UT Count</t>
        </is>
      </c>
    </row>
    <row r="315" ht="15" customHeight="1" s="39">
      <c r="A315" s="38" t="n">
        <v>316</v>
      </c>
      <c r="B315" s="38" t="inlineStr">
        <is>
          <t>Final Efor</t>
        </is>
      </c>
      <c r="C315" s="38" t="inlineStr">
        <is>
          <t>Z542</t>
        </is>
      </c>
      <c r="D315" s="38" t="inlineStr">
        <is>
          <t>Special-Validasyon</t>
        </is>
      </c>
      <c r="E315" s="38" t="inlineStr">
        <is>
          <t>Special-Validation</t>
        </is>
      </c>
    </row>
    <row r="316" ht="15" customHeight="1" s="39">
      <c r="A316" s="38" t="n">
        <v>317</v>
      </c>
      <c r="B316" s="38" t="inlineStr">
        <is>
          <t>Final Efor</t>
        </is>
      </c>
      <c r="C316" s="38" t="inlineStr">
        <is>
          <t>Z654</t>
        </is>
      </c>
      <c r="D316" s="38" t="inlineStr">
        <is>
          <t>Special-IT Count</t>
        </is>
      </c>
      <c r="E316" s="38" t="inlineStr">
        <is>
          <t>Special-IT Count</t>
        </is>
      </c>
    </row>
    <row r="317" ht="15" customHeight="1" s="39">
      <c r="A317" s="38" t="n">
        <v>318</v>
      </c>
      <c r="B317" s="38" t="inlineStr">
        <is>
          <t>Kapsam</t>
        </is>
      </c>
      <c r="C317" s="38" t="inlineStr">
        <is>
          <t>E2</t>
        </is>
      </c>
      <c r="D317" s="38" t="inlineStr">
        <is>
          <t>Dil:</t>
        </is>
      </c>
      <c r="E317" s="38" t="inlineStr">
        <is>
          <t>Language:</t>
        </is>
      </c>
    </row>
    <row r="318" ht="15" customHeight="1" s="39">
      <c r="A318" s="38" t="n">
        <v>321</v>
      </c>
      <c r="D318" s="38" t="inlineStr">
        <is>
          <t>Localization Efforts</t>
        </is>
      </c>
      <c r="E318" s="38" t="inlineStr">
        <is>
          <t>Localization Efforts</t>
        </is>
      </c>
    </row>
    <row r="319" ht="15" customHeight="1" s="39">
      <c r="A319" s="38" t="n">
        <v>322</v>
      </c>
      <c r="D319" s="38" t="inlineStr">
        <is>
          <t>Localization Selection</t>
        </is>
      </c>
      <c r="E319" s="38" t="inlineStr">
        <is>
          <t>Localization Selection</t>
        </is>
      </c>
    </row>
    <row r="320" ht="15" customHeight="1" s="39">
      <c r="A320" s="38" t="n">
        <v>323</v>
      </c>
      <c r="D320" s="38" t="inlineStr">
        <is>
          <t>Ülke</t>
        </is>
      </c>
      <c r="E320" s="38" t="inlineStr">
        <is>
          <t>Country</t>
        </is>
      </c>
    </row>
    <row r="321" ht="15" customHeight="1" s="39">
      <c r="A321" s="38" t="n">
        <v>324</v>
      </c>
      <c r="D321" s="38" t="inlineStr">
        <is>
          <t>Lokalizasyon Listesi</t>
        </is>
      </c>
      <c r="E321" s="38" t="inlineStr">
        <is>
          <t>Localization List</t>
        </is>
      </c>
    </row>
    <row r="322" ht="15" customHeight="1" s="39">
      <c r="A322" s="38" t="n">
        <v>325</v>
      </c>
      <c r="D322" s="38" t="inlineStr">
        <is>
          <t>Lokalizasyon Adı</t>
        </is>
      </c>
      <c r="E322" s="38" t="inlineStr">
        <is>
          <t>Localization Name</t>
        </is>
      </c>
    </row>
    <row r="323" ht="15" customHeight="1" s="39">
      <c r="A323" s="38" t="n">
        <v>326</v>
      </c>
      <c r="D323" s="38" t="inlineStr">
        <is>
          <t>Rusya</t>
        </is>
      </c>
      <c r="E323" s="38" t="inlineStr">
        <is>
          <t>Russia</t>
        </is>
      </c>
    </row>
    <row r="324" ht="15" customHeight="1" s="39">
      <c r="A324" s="38" t="n">
        <v>327</v>
      </c>
      <c r="D324" s="38" t="inlineStr">
        <is>
          <t>Birleşik Arap Emirlikleri</t>
        </is>
      </c>
      <c r="E324" s="38" t="inlineStr">
        <is>
          <t>United Arab Emirates</t>
        </is>
      </c>
    </row>
    <row r="325" ht="15" customHeight="1" s="39">
      <c r="A325" s="38" t="n">
        <v>328</v>
      </c>
      <c r="D325" s="38" t="inlineStr">
        <is>
          <t>Romanya</t>
        </is>
      </c>
      <c r="E325" s="38" t="inlineStr">
        <is>
          <t>Romania</t>
        </is>
      </c>
    </row>
    <row r="326" ht="15" customHeight="1" s="39">
      <c r="A326" s="38" t="n">
        <v>329</v>
      </c>
      <c r="D326" s="38" t="inlineStr">
        <is>
          <t>Hollanda</t>
        </is>
      </c>
      <c r="E326" s="38" t="inlineStr">
        <is>
          <t>Netherlands</t>
        </is>
      </c>
    </row>
    <row r="327" ht="15" customHeight="1" s="39">
      <c r="A327" s="38" t="n">
        <v>330</v>
      </c>
      <c r="D327" s="38" t="inlineStr">
        <is>
          <t>İngiltere</t>
        </is>
      </c>
      <c r="E327" s="38" t="inlineStr">
        <is>
          <t>United Kingdom</t>
        </is>
      </c>
    </row>
    <row r="328" ht="15" customHeight="1" s="39">
      <c r="A328" s="38" t="n">
        <v>331</v>
      </c>
      <c r="D328" s="38" t="inlineStr">
        <is>
          <t>Sabit Faz Bazında Gün</t>
        </is>
      </c>
      <c r="E328" s="38" t="inlineStr">
        <is>
          <t>Fixed Days by Phase</t>
        </is>
      </c>
    </row>
    <row r="329" ht="15" customHeight="1" s="39">
      <c r="A329" s="38" t="n">
        <v>332</v>
      </c>
      <c r="B329" s="38" t="inlineStr">
        <is>
          <t>Module Translation</t>
        </is>
      </c>
      <c r="D329" s="38" t="inlineStr">
        <is>
          <t>FI</t>
        </is>
      </c>
      <c r="E329" s="38" t="inlineStr">
        <is>
          <t>FI</t>
        </is>
      </c>
    </row>
    <row r="330" ht="15" customHeight="1" s="39">
      <c r="A330" s="38" t="n">
        <v>333</v>
      </c>
      <c r="B330" s="38" t="inlineStr">
        <is>
          <t>Module Translation</t>
        </is>
      </c>
      <c r="D330" s="38" t="inlineStr">
        <is>
          <t>CO</t>
        </is>
      </c>
      <c r="E330" s="38" t="inlineStr">
        <is>
          <t>CO</t>
        </is>
      </c>
    </row>
    <row r="331" ht="15" customHeight="1" s="39">
      <c r="A331" s="38" t="n">
        <v>334</v>
      </c>
      <c r="B331" s="38" t="inlineStr">
        <is>
          <t>Module Translation</t>
        </is>
      </c>
      <c r="D331" s="38" t="inlineStr">
        <is>
          <t>TRM</t>
        </is>
      </c>
      <c r="E331" s="38" t="inlineStr">
        <is>
          <t>TRM</t>
        </is>
      </c>
    </row>
    <row r="332" ht="15" customHeight="1" s="39">
      <c r="A332" s="38" t="n">
        <v>335</v>
      </c>
      <c r="B332" s="38" t="inlineStr">
        <is>
          <t>Module Translation</t>
        </is>
      </c>
      <c r="D332" s="38" t="inlineStr">
        <is>
          <t>CM</t>
        </is>
      </c>
      <c r="E332" s="38" t="inlineStr">
        <is>
          <t>CM</t>
        </is>
      </c>
    </row>
    <row r="333" ht="15" customHeight="1" s="39">
      <c r="A333" s="38" t="n">
        <v>336</v>
      </c>
      <c r="B333" s="38" t="inlineStr">
        <is>
          <t>Module Translation</t>
        </is>
      </c>
      <c r="D333" s="38" t="inlineStr">
        <is>
          <t>FM</t>
        </is>
      </c>
      <c r="E333" s="38" t="inlineStr">
        <is>
          <t>FM</t>
        </is>
      </c>
    </row>
    <row r="334" ht="15" customHeight="1" s="39">
      <c r="A334" s="38" t="n">
        <v>337</v>
      </c>
      <c r="B334" s="38" t="inlineStr">
        <is>
          <t>Module Translation</t>
        </is>
      </c>
      <c r="D334" s="38" t="inlineStr">
        <is>
          <t>MM</t>
        </is>
      </c>
      <c r="E334" s="38" t="inlineStr">
        <is>
          <t>MM</t>
        </is>
      </c>
    </row>
    <row r="335" ht="15" customHeight="1" s="39">
      <c r="A335" s="38" t="n">
        <v>338</v>
      </c>
      <c r="B335" s="38" t="inlineStr">
        <is>
          <t>Module Translation</t>
        </is>
      </c>
      <c r="D335" s="38" t="inlineStr">
        <is>
          <t>PP</t>
        </is>
      </c>
      <c r="E335" s="38" t="inlineStr">
        <is>
          <t>PP</t>
        </is>
      </c>
    </row>
    <row r="336" ht="15" customHeight="1" s="39">
      <c r="A336" s="38" t="n">
        <v>339</v>
      </c>
      <c r="B336" s="38" t="inlineStr">
        <is>
          <t>Module Translation</t>
        </is>
      </c>
      <c r="D336" s="38" t="inlineStr">
        <is>
          <t>SD</t>
        </is>
      </c>
      <c r="E336" s="38" t="inlineStr">
        <is>
          <t>SD</t>
        </is>
      </c>
    </row>
    <row r="337" ht="15" customHeight="1" s="39">
      <c r="A337" s="38" t="n">
        <v>340</v>
      </c>
      <c r="B337" s="38" t="inlineStr">
        <is>
          <t>Module Translation</t>
        </is>
      </c>
      <c r="D337" s="38" t="inlineStr">
        <is>
          <t>QM</t>
        </is>
      </c>
      <c r="E337" s="38" t="inlineStr">
        <is>
          <t>QM</t>
        </is>
      </c>
    </row>
    <row r="338" ht="15" customHeight="1" s="39">
      <c r="A338" s="38" t="n">
        <v>341</v>
      </c>
      <c r="B338" s="38" t="inlineStr">
        <is>
          <t>Module Translation</t>
        </is>
      </c>
      <c r="D338" s="38" t="inlineStr">
        <is>
          <t>PM</t>
        </is>
      </c>
      <c r="E338" s="38" t="inlineStr">
        <is>
          <t>PM</t>
        </is>
      </c>
    </row>
    <row r="339" ht="15" customHeight="1" s="39">
      <c r="A339" s="38" t="n">
        <v>342</v>
      </c>
      <c r="B339" s="38" t="inlineStr">
        <is>
          <t>Module Translation</t>
        </is>
      </c>
      <c r="D339" s="38" t="inlineStr">
        <is>
          <t>PS</t>
        </is>
      </c>
      <c r="E339" s="38" t="inlineStr">
        <is>
          <t>PS</t>
        </is>
      </c>
    </row>
    <row r="340" ht="15" customHeight="1" s="39">
      <c r="A340" s="38" t="n">
        <v>343</v>
      </c>
      <c r="B340" s="38" t="inlineStr">
        <is>
          <t>Module Translation</t>
        </is>
      </c>
      <c r="D340" s="38" t="inlineStr">
        <is>
          <t>Basic EWM</t>
        </is>
      </c>
      <c r="E340" s="38" t="inlineStr">
        <is>
          <t>Basic EWM</t>
        </is>
      </c>
    </row>
    <row r="341" ht="15" customHeight="1" s="39">
      <c r="A341" s="38" t="n">
        <v>344</v>
      </c>
      <c r="B341" s="38" t="inlineStr">
        <is>
          <t>Module Translation</t>
        </is>
      </c>
      <c r="D341" s="38" t="inlineStr">
        <is>
          <t>TM</t>
        </is>
      </c>
      <c r="E341" s="38" t="inlineStr">
        <is>
          <t>TM</t>
        </is>
      </c>
    </row>
    <row r="342" ht="15" customHeight="1" s="39">
      <c r="A342" s="38" t="n">
        <v>345</v>
      </c>
      <c r="B342" s="38" t="inlineStr">
        <is>
          <t>Module Translation</t>
        </is>
      </c>
      <c r="D342" s="38" t="inlineStr">
        <is>
          <t>PPDS</t>
        </is>
      </c>
      <c r="E342" s="38" t="inlineStr">
        <is>
          <t>PPDS</t>
        </is>
      </c>
    </row>
    <row r="343" ht="15" customHeight="1" s="39">
      <c r="A343" s="38" t="n">
        <v>346</v>
      </c>
      <c r="B343" s="38" t="inlineStr">
        <is>
          <t>Module Translation</t>
        </is>
      </c>
      <c r="D343" s="38" t="inlineStr">
        <is>
          <t>ABAP</t>
        </is>
      </c>
      <c r="E343" s="38" t="inlineStr">
        <is>
          <t>ABAP</t>
        </is>
      </c>
    </row>
    <row r="344" ht="15" customHeight="1" s="39">
      <c r="A344" s="38" t="n">
        <v>347</v>
      </c>
      <c r="B344" s="38" t="inlineStr">
        <is>
          <t>Module Translation</t>
        </is>
      </c>
      <c r="D344" s="38" t="inlineStr">
        <is>
          <t>E-Fatura/Arşiv</t>
        </is>
      </c>
      <c r="E344" s="38" t="inlineStr">
        <is>
          <t>E-Invoice/Archive</t>
        </is>
      </c>
    </row>
    <row r="345" ht="15" customHeight="1" s="39">
      <c r="A345" s="38" t="n">
        <v>348</v>
      </c>
      <c r="B345" s="38" t="inlineStr">
        <is>
          <t>Module Translation</t>
        </is>
      </c>
      <c r="D345" s="38" t="inlineStr">
        <is>
          <t>E-İrsaliye</t>
        </is>
      </c>
      <c r="E345" s="38" t="inlineStr">
        <is>
          <t>E-Delivery Note</t>
        </is>
      </c>
    </row>
    <row r="346" ht="15" customHeight="1" s="39">
      <c r="A346" s="38" t="n">
        <v>349</v>
      </c>
      <c r="B346" s="38" t="inlineStr">
        <is>
          <t>Module Translation</t>
        </is>
      </c>
      <c r="D346" s="38" t="inlineStr">
        <is>
          <t>E-Defter</t>
        </is>
      </c>
      <c r="E346" s="38" t="inlineStr">
        <is>
          <t>E-Ledger</t>
        </is>
      </c>
    </row>
    <row r="347" ht="15" customHeight="1" s="39">
      <c r="A347" s="38" t="n">
        <v>350</v>
      </c>
      <c r="B347" s="38" t="inlineStr">
        <is>
          <t>Module Translation</t>
        </is>
      </c>
      <c r="D347" s="38" t="inlineStr">
        <is>
          <t>E-Hesap Özeti</t>
        </is>
      </c>
      <c r="E347" s="38" t="inlineStr">
        <is>
          <t>E-Account Statement</t>
        </is>
      </c>
    </row>
    <row r="348" ht="15" customHeight="1" s="39">
      <c r="A348" s="38" t="n">
        <v>351</v>
      </c>
      <c r="B348" s="38" t="inlineStr">
        <is>
          <t>Module Translation</t>
        </is>
      </c>
      <c r="D348" s="38" t="inlineStr">
        <is>
          <t>E-Ödeme</t>
        </is>
      </c>
      <c r="E348" s="38" t="inlineStr">
        <is>
          <t>E-Payment</t>
        </is>
      </c>
    </row>
    <row r="349" ht="15" customHeight="1" s="39">
      <c r="A349" s="38" t="n">
        <v>352</v>
      </c>
      <c r="B349" s="38" t="inlineStr">
        <is>
          <t>Module Translation</t>
        </is>
      </c>
      <c r="D349" s="38" t="inlineStr">
        <is>
          <t>E-Mutabakat</t>
        </is>
      </c>
      <c r="E349" s="38" t="inlineStr">
        <is>
          <t>E-Reconciliation</t>
        </is>
      </c>
    </row>
    <row r="350" ht="15" customHeight="1" s="39">
      <c r="A350" s="38" t="n">
        <v>353</v>
      </c>
      <c r="B350" s="38" t="inlineStr">
        <is>
          <t>Module Translation</t>
        </is>
      </c>
      <c r="D350" s="38" t="inlineStr">
        <is>
          <t>E-Beyanname</t>
        </is>
      </c>
      <c r="E350" s="38" t="inlineStr">
        <is>
          <t>E-Declaration</t>
        </is>
      </c>
    </row>
    <row r="351" ht="15" customHeight="1" s="39">
      <c r="A351" s="38" t="n">
        <v>354</v>
      </c>
      <c r="B351" s="38" t="inlineStr">
        <is>
          <t>Module Translation</t>
        </is>
      </c>
      <c r="D351" s="38" t="inlineStr">
        <is>
          <t>Gelen Fatura Otomasyon</t>
        </is>
      </c>
      <c r="E351" s="38" t="inlineStr">
        <is>
          <t>Incoming Invoice Automation</t>
        </is>
      </c>
    </row>
    <row r="352" ht="15" customHeight="1" s="39">
      <c r="A352" s="38" t="n">
        <v>355</v>
      </c>
      <c r="B352" s="38" t="inlineStr">
        <is>
          <t>Module Translation</t>
        </is>
      </c>
      <c r="D352" s="38" t="inlineStr">
        <is>
          <t>GLASSWING</t>
        </is>
      </c>
      <c r="E352" s="38" t="inlineStr">
        <is>
          <t>GLASSWING</t>
        </is>
      </c>
    </row>
    <row r="353" ht="15" customHeight="1" s="39">
      <c r="A353" s="38" t="n">
        <v>356</v>
      </c>
      <c r="B353" s="38" t="inlineStr">
        <is>
          <t>Module Translation</t>
        </is>
      </c>
      <c r="D353" s="38" t="inlineStr">
        <is>
          <t>COMMODITY</t>
        </is>
      </c>
      <c r="E353" s="38" t="inlineStr">
        <is>
          <t>COMMODITY</t>
        </is>
      </c>
    </row>
    <row r="354" ht="15" customHeight="1" s="39">
      <c r="A354" s="38" t="n">
        <v>357</v>
      </c>
      <c r="B354" s="38" t="inlineStr">
        <is>
          <t>Module Translation</t>
        </is>
      </c>
      <c r="D354" s="38" t="inlineStr">
        <is>
          <t>Dış Ticaret Çözümü</t>
        </is>
      </c>
      <c r="E354" s="38" t="inlineStr">
        <is>
          <t>Foreign Trade Solution</t>
        </is>
      </c>
    </row>
    <row r="355" ht="15" customHeight="1" s="39">
      <c r="A355" s="38" t="n">
        <v>358</v>
      </c>
      <c r="B355" s="38" t="inlineStr">
        <is>
          <t>Module Translation</t>
        </is>
      </c>
      <c r="D355" s="38" t="inlineStr">
        <is>
          <t>Seyahat ve Masraf Yönetimi</t>
        </is>
      </c>
      <c r="E355" s="38" t="inlineStr">
        <is>
          <t>Travel and Expense Management</t>
        </is>
      </c>
    </row>
    <row r="356" ht="15" customHeight="1" s="39">
      <c r="A356" s="38" t="n">
        <v>359</v>
      </c>
      <c r="B356" s="38" t="inlineStr">
        <is>
          <t>Module Translation</t>
        </is>
      </c>
      <c r="D356" s="38" t="inlineStr">
        <is>
          <t>BASIS</t>
        </is>
      </c>
      <c r="E356" s="38" t="inlineStr">
        <is>
          <t>BASIS</t>
        </is>
      </c>
    </row>
    <row r="357" ht="15" customHeight="1" s="39">
      <c r="A357" s="38" t="n">
        <v>360</v>
      </c>
      <c r="B357" s="38" t="inlineStr">
        <is>
          <t>Module Translation</t>
        </is>
      </c>
      <c r="D357" s="38" t="inlineStr">
        <is>
          <t>RM</t>
        </is>
      </c>
      <c r="E357" s="38" t="inlineStr">
        <is>
          <t>RM</t>
        </is>
      </c>
    </row>
    <row r="358" ht="15" customHeight="1" s="39">
      <c r="A358" s="38" t="n">
        <v>361</v>
      </c>
      <c r="B358" s="38" t="inlineStr">
        <is>
          <t>Module Translation</t>
        </is>
      </c>
      <c r="D358" s="38" t="inlineStr">
        <is>
          <t>RE/FX</t>
        </is>
      </c>
      <c r="E358" s="38" t="inlineStr">
        <is>
          <t>RE/FX</t>
        </is>
      </c>
    </row>
    <row r="359" ht="15" customHeight="1" s="39">
      <c r="A359" s="38" t="n">
        <v>362</v>
      </c>
      <c r="B359" s="38" t="inlineStr">
        <is>
          <t>Module Translation</t>
        </is>
      </c>
      <c r="D359" s="38" t="inlineStr">
        <is>
          <t>NTT Data POS</t>
        </is>
      </c>
      <c r="E359" s="38" t="inlineStr">
        <is>
          <t>NTT Data POS</t>
        </is>
      </c>
    </row>
    <row r="360" ht="15" customHeight="1" s="39">
      <c r="A360" s="38" t="n">
        <v>363</v>
      </c>
      <c r="B360" s="38" t="inlineStr">
        <is>
          <t>Localization Country</t>
        </is>
      </c>
      <c r="D360" s="38" t="inlineStr">
        <is>
          <t>İsviçre</t>
        </is>
      </c>
      <c r="E360" s="38" t="inlineStr">
        <is>
          <t>Switzerland</t>
        </is>
      </c>
    </row>
    <row r="361" ht="15" customHeight="1" s="39">
      <c r="A361" s="38" t="n">
        <v>1001</v>
      </c>
      <c r="B361" s="38" t="inlineStr">
        <is>
          <t>Project Information</t>
        </is>
      </c>
      <c r="C361" s="38" t="inlineStr">
        <is>
          <t>B2</t>
        </is>
      </c>
      <c r="D361" s="38" t="inlineStr">
        <is>
          <t>SAP Proje Eforlandırma - Proje Bilgileri</t>
        </is>
      </c>
      <c r="E361" s="38" t="inlineStr">
        <is>
          <t>SAP Project Estimation - Project Information</t>
        </is>
      </c>
    </row>
    <row r="362" ht="15" customHeight="1" s="39">
      <c r="A362" s="38" t="n">
        <v>1002</v>
      </c>
      <c r="B362" s="38" t="inlineStr">
        <is>
          <t>Project Information</t>
        </is>
      </c>
      <c r="C362" s="38" t="inlineStr">
        <is>
          <t>B4</t>
        </is>
      </c>
      <c r="D362" s="38" t="inlineStr">
        <is>
          <t>Dil</t>
        </is>
      </c>
      <c r="E362" s="38" t="inlineStr">
        <is>
          <t>Language</t>
        </is>
      </c>
    </row>
    <row r="363" ht="15" customHeight="1" s="39">
      <c r="A363" s="38" t="n">
        <v>1003</v>
      </c>
      <c r="B363" s="38" t="inlineStr">
        <is>
          <t>Project Information</t>
        </is>
      </c>
      <c r="C363" s="38" t="inlineStr">
        <is>
          <t>B6</t>
        </is>
      </c>
      <c r="D363" s="38" t="inlineStr">
        <is>
          <t>Müşteri İsmi</t>
        </is>
      </c>
      <c r="E363" s="38" t="inlineStr">
        <is>
          <t>Customer Name</t>
        </is>
      </c>
    </row>
    <row r="364" ht="15" customHeight="1" s="39">
      <c r="A364" s="38" t="n">
        <v>1004</v>
      </c>
      <c r="B364" s="38" t="inlineStr">
        <is>
          <t>Project Information</t>
        </is>
      </c>
      <c r="C364" s="38" t="inlineStr">
        <is>
          <t>B7</t>
        </is>
      </c>
      <c r="D364" s="38" t="inlineStr">
        <is>
          <t>Proje İsmi</t>
        </is>
      </c>
      <c r="E364" s="38" t="inlineStr">
        <is>
          <t>Project Name</t>
        </is>
      </c>
    </row>
    <row r="365" ht="15" customHeight="1" s="39">
      <c r="A365" s="38" t="n">
        <v>1005</v>
      </c>
      <c r="B365" s="38" t="inlineStr">
        <is>
          <t>Project Information</t>
        </is>
      </c>
      <c r="C365" s="38" t="inlineStr">
        <is>
          <t>B8</t>
        </is>
      </c>
      <c r="D365" s="38" t="inlineStr">
        <is>
          <t>Tarih</t>
        </is>
      </c>
      <c r="E365" s="38" t="inlineStr">
        <is>
          <t>Date</t>
        </is>
      </c>
    </row>
    <row r="366" ht="15" customHeight="1" s="39">
      <c r="A366" s="38" t="n">
        <v>1006</v>
      </c>
      <c r="B366" s="38" t="inlineStr">
        <is>
          <t>Project Information</t>
        </is>
      </c>
      <c r="C366" s="38" t="inlineStr">
        <is>
          <t>B10</t>
        </is>
      </c>
      <c r="D366" s="38" t="inlineStr">
        <is>
          <t>Endüstri</t>
        </is>
      </c>
      <c r="E366" s="38" t="inlineStr">
        <is>
          <t>Industry</t>
        </is>
      </c>
    </row>
    <row r="367" ht="15" customHeight="1" s="39">
      <c r="A367" s="38" t="n">
        <v>1007</v>
      </c>
      <c r="B367" s="38" t="inlineStr">
        <is>
          <t>Project Information</t>
        </is>
      </c>
      <c r="C367" s="38" t="inlineStr">
        <is>
          <t>B11</t>
        </is>
      </c>
      <c r="D367" s="38" t="inlineStr">
        <is>
          <t>Implementasyon Türü</t>
        </is>
      </c>
      <c r="E367" s="38" t="inlineStr">
        <is>
          <t>Implementation Type</t>
        </is>
      </c>
    </row>
    <row r="368" ht="15" customHeight="1" s="39">
      <c r="A368" s="38" t="n">
        <v>1008</v>
      </c>
      <c r="B368" s="38" t="inlineStr">
        <is>
          <t>Project Information</t>
        </is>
      </c>
      <c r="C368" s="38" t="inlineStr">
        <is>
          <t>B12</t>
        </is>
      </c>
      <c r="D368" s="38" t="inlineStr">
        <is>
          <t>Sistem Türü</t>
        </is>
      </c>
      <c r="E368" s="38" t="inlineStr">
        <is>
          <t>System Type</t>
        </is>
      </c>
    </row>
    <row r="369" ht="15" customHeight="1" s="39">
      <c r="A369" s="38" t="n">
        <v>1009</v>
      </c>
      <c r="B369" s="38" t="inlineStr">
        <is>
          <t>Project Information</t>
        </is>
      </c>
      <c r="C369" s="38" t="inlineStr">
        <is>
          <t>B14</t>
        </is>
      </c>
      <c r="D369" s="38" t="inlineStr">
        <is>
          <t>Hazırlayan</t>
        </is>
      </c>
      <c r="E369" s="38" t="inlineStr">
        <is>
          <t>Prepared By</t>
        </is>
      </c>
    </row>
    <row r="370" ht="15" customHeight="1" s="39">
      <c r="A370" s="38" t="n">
        <v>1010</v>
      </c>
      <c r="B370" s="38" t="inlineStr">
        <is>
          <t>Project Information</t>
        </is>
      </c>
      <c r="C370" s="38" t="inlineStr">
        <is>
          <t>B15</t>
        </is>
      </c>
      <c r="D370" s="38" t="inlineStr">
        <is>
          <t>Versiyon</t>
        </is>
      </c>
      <c r="E370" s="38" t="inlineStr">
        <is>
          <t>Version</t>
        </is>
      </c>
    </row>
    <row r="371" ht="15" customHeight="1" s="39">
      <c r="A371" s="38" t="n">
        <v>1011</v>
      </c>
      <c r="B371" s="38" t="inlineStr">
        <is>
          <t>Project Information</t>
        </is>
      </c>
      <c r="C371" s="38" t="inlineStr">
        <is>
          <t>B17</t>
        </is>
      </c>
      <c r="D371" s="38" t="inlineStr">
        <is>
          <t>Notlar</t>
        </is>
      </c>
      <c r="E371" s="38" t="inlineStr">
        <is>
          <t>Notes</t>
        </is>
      </c>
    </row>
    <row r="372" ht="15" customHeight="1" s="39">
      <c r="A372" s="38" t="n">
        <v>1012</v>
      </c>
      <c r="B372" s="38" t="inlineStr">
        <is>
          <t>Project Definitions</t>
        </is>
      </c>
      <c r="C372" s="38" t="inlineStr">
        <is>
          <t>A2</t>
        </is>
      </c>
      <c r="D372" s="38" t="inlineStr">
        <is>
          <t>Konfeksiyon</t>
        </is>
      </c>
      <c r="E372" s="38" t="inlineStr">
        <is>
          <t>Apparel</t>
        </is>
      </c>
    </row>
    <row r="373" ht="15" customHeight="1" s="39">
      <c r="A373" s="38" t="n">
        <v>1013</v>
      </c>
      <c r="B373" s="38" t="inlineStr">
        <is>
          <t>Project Definitions</t>
        </is>
      </c>
      <c r="C373" s="38" t="inlineStr">
        <is>
          <t>A3</t>
        </is>
      </c>
      <c r="D373" s="38" t="inlineStr">
        <is>
          <t>Perakende</t>
        </is>
      </c>
      <c r="E373" s="38" t="inlineStr">
        <is>
          <t>Retail</t>
        </is>
      </c>
    </row>
    <row r="374" ht="15" customHeight="1" s="39">
      <c r="A374" s="38" t="n">
        <v>1014</v>
      </c>
      <c r="B374" s="38" t="inlineStr">
        <is>
          <t>Project Definitions</t>
        </is>
      </c>
      <c r="C374" s="38" t="inlineStr">
        <is>
          <t>A4</t>
        </is>
      </c>
      <c r="D374" s="38" t="inlineStr">
        <is>
          <t>Otomotiv</t>
        </is>
      </c>
      <c r="E374" s="38" t="inlineStr">
        <is>
          <t>Automotive</t>
        </is>
      </c>
    </row>
    <row r="375" ht="15" customHeight="1" s="39">
      <c r="A375" s="38" t="n">
        <v>1015</v>
      </c>
      <c r="B375" s="38" t="inlineStr">
        <is>
          <t>Project Definitions</t>
        </is>
      </c>
      <c r="C375" s="38" t="inlineStr">
        <is>
          <t>A5</t>
        </is>
      </c>
      <c r="D375" s="38" t="inlineStr">
        <is>
          <t>FMCG</t>
        </is>
      </c>
      <c r="E375" s="38" t="inlineStr">
        <is>
          <t>FMCG</t>
        </is>
      </c>
    </row>
    <row r="376" ht="15" customHeight="1" s="39">
      <c r="A376" s="38" t="n">
        <v>1016</v>
      </c>
      <c r="B376" s="38" t="inlineStr">
        <is>
          <t>Project Definitions</t>
        </is>
      </c>
      <c r="C376" s="38" t="inlineStr">
        <is>
          <t>A6</t>
        </is>
      </c>
      <c r="D376" s="38" t="inlineStr">
        <is>
          <t>Kimya</t>
        </is>
      </c>
      <c r="E376" s="38" t="inlineStr">
        <is>
          <t>Chemicals</t>
        </is>
      </c>
    </row>
    <row r="377" ht="15" customHeight="1" s="39">
      <c r="A377" s="38" t="n">
        <v>1017</v>
      </c>
      <c r="B377" s="38" t="inlineStr">
        <is>
          <t>Project Definitions</t>
        </is>
      </c>
      <c r="C377" s="38" t="inlineStr">
        <is>
          <t>A7</t>
        </is>
      </c>
      <c r="D377" s="38" t="inlineStr">
        <is>
          <t>İlaç</t>
        </is>
      </c>
      <c r="E377" s="38" t="inlineStr">
        <is>
          <t>Pharmaceutical</t>
        </is>
      </c>
    </row>
    <row r="378" ht="15" customHeight="1" s="39">
      <c r="A378" s="38" t="n">
        <v>1018</v>
      </c>
      <c r="B378" s="38" t="inlineStr">
        <is>
          <t>Project Definitions</t>
        </is>
      </c>
      <c r="C378" s="38" t="inlineStr">
        <is>
          <t>A8</t>
        </is>
      </c>
      <c r="D378" s="38" t="inlineStr">
        <is>
          <t>Enerji</t>
        </is>
      </c>
      <c r="E378" s="38" t="inlineStr">
        <is>
          <t>Energy</t>
        </is>
      </c>
    </row>
    <row r="379" ht="15" customHeight="1" s="39">
      <c r="A379" s="38" t="n">
        <v>1019</v>
      </c>
      <c r="B379" s="38" t="inlineStr">
        <is>
          <t>Project Definitions</t>
        </is>
      </c>
      <c r="C379" s="38" t="inlineStr">
        <is>
          <t>A9</t>
        </is>
      </c>
      <c r="D379" s="38" t="inlineStr">
        <is>
          <t>Tekstil</t>
        </is>
      </c>
      <c r="E379" s="38" t="inlineStr">
        <is>
          <t>Textile</t>
        </is>
      </c>
    </row>
    <row r="380" ht="15" customHeight="1" s="39">
      <c r="A380" s="38" t="n">
        <v>1020</v>
      </c>
      <c r="B380" s="38" t="inlineStr">
        <is>
          <t>Project Definitions</t>
        </is>
      </c>
      <c r="C380" s="38" t="inlineStr">
        <is>
          <t>A10</t>
        </is>
      </c>
      <c r="D380" s="38" t="inlineStr">
        <is>
          <t>Tekstil</t>
        </is>
      </c>
      <c r="E380" s="38" t="inlineStr">
        <is>
          <t>Textile</t>
        </is>
      </c>
    </row>
    <row r="381" ht="15" customHeight="1" s="39">
      <c r="A381" s="38" t="n">
        <v>1021</v>
      </c>
      <c r="B381" s="38" t="inlineStr">
        <is>
          <t>Size Variables</t>
        </is>
      </c>
      <c r="C381" s="38" t="inlineStr">
        <is>
          <t>D60</t>
        </is>
      </c>
      <c r="D381" s="38" t="inlineStr">
        <is>
          <t>İhtiyacı bulunmakta mıdır?</t>
        </is>
      </c>
      <c r="E381" s="38" t="inlineStr">
        <is>
          <t>Is there a need?</t>
        </is>
      </c>
    </row>
    <row r="382" ht="15" customHeight="1" s="39">
      <c r="A382" s="38" t="n">
        <v>1022</v>
      </c>
      <c r="B382" s="38" t="inlineStr">
        <is>
          <t>Geliştirme</t>
        </is>
      </c>
      <c r="C382" s="38" t="inlineStr">
        <is>
          <t>A1</t>
        </is>
      </c>
      <c r="D382" s="38" t="inlineStr">
        <is>
          <t>SAP Proje Eforlandırma – Geliştirme</t>
        </is>
      </c>
      <c r="E382" s="38" t="inlineStr">
        <is>
          <t>SAP Project Estimation – Development</t>
        </is>
      </c>
    </row>
    <row r="383" ht="15" customHeight="1" s="39">
      <c r="A383" s="38" t="n">
        <v>1023</v>
      </c>
      <c r="B383" s="38" t="inlineStr">
        <is>
          <t>Geliştirme</t>
        </is>
      </c>
      <c r="C383" s="38" t="inlineStr">
        <is>
          <t>A4</t>
        </is>
      </c>
      <c r="D383" s="38" t="inlineStr">
        <is>
          <t>Bu sayfada Değişken Tipi Geliştirme olan maddeler yer alır. Geliştirme eforları geliştirme listesine yansır.</t>
        </is>
      </c>
      <c r="E383" s="38" t="inlineStr">
        <is>
          <t>This sheet contains items whose Variable Type is Development. Development efforts are reflected in the development list.</t>
        </is>
      </c>
    </row>
    <row r="384" ht="15" customHeight="1" s="39">
      <c r="A384" s="38" t="n">
        <v>388</v>
      </c>
      <c r="B384" s="38" t="inlineStr">
        <is>
          <t>Değişken+Modül+Faz</t>
        </is>
      </c>
      <c r="C384" s="38" t="inlineStr">
        <is>
          <t>B2</t>
        </is>
      </c>
      <c r="D384" s="38" t="inlineStr">
        <is>
          <t>Kaynak Tipi</t>
        </is>
      </c>
      <c r="E384" s="38" t="inlineStr">
        <is>
          <t>Source Type</t>
        </is>
      </c>
    </row>
    <row r="385" ht="15" customHeight="1" s="39">
      <c r="A385" s="38" t="n">
        <v>389</v>
      </c>
      <c r="B385" s="38" t="inlineStr">
        <is>
          <t>Değişken+Modül+Faz</t>
        </is>
      </c>
      <c r="C385" s="38" t="inlineStr">
        <is>
          <t>C2</t>
        </is>
      </c>
      <c r="D385" s="38" t="inlineStr">
        <is>
          <t>Kaynak</t>
        </is>
      </c>
      <c r="E385" s="38" t="inlineStr">
        <is>
          <t>Source</t>
        </is>
      </c>
    </row>
    <row r="386" ht="15" customHeight="1" s="39">
      <c r="A386" s="38" t="n">
        <v>390</v>
      </c>
      <c r="B386" s="38" t="inlineStr">
        <is>
          <t>Değişken+Modül+Faz</t>
        </is>
      </c>
      <c r="C386" s="38" t="inlineStr">
        <is>
          <t>D2</t>
        </is>
      </c>
      <c r="D386" s="38" t="inlineStr">
        <is>
          <t>Hedef Modül</t>
        </is>
      </c>
      <c r="E386" s="38" t="inlineStr">
        <is>
          <t>Target Module</t>
        </is>
      </c>
    </row>
    <row r="387" ht="15" customHeight="1" s="39">
      <c r="A387" s="38" t="n">
        <v>391</v>
      </c>
      <c r="B387" s="38" t="inlineStr">
        <is>
          <t>Değişken+Modül+Faz</t>
        </is>
      </c>
      <c r="C387" s="38" t="inlineStr">
        <is>
          <t>B21</t>
        </is>
      </c>
      <c r="D387" s="38" t="inlineStr">
        <is>
          <t>Modül</t>
        </is>
      </c>
      <c r="E387" s="38" t="inlineStr">
        <is>
          <t>Module</t>
        </is>
      </c>
    </row>
    <row r="388" ht="15" customHeight="1" s="39">
      <c r="A388" s="38" t="n">
        <v>392</v>
      </c>
      <c r="B388" s="38" t="inlineStr">
        <is>
          <t>Değişken+Modül+Faz</t>
        </is>
      </c>
      <c r="C388" s="38" t="inlineStr">
        <is>
          <t>B3</t>
        </is>
      </c>
      <c r="D388" s="38" t="inlineStr">
        <is>
          <t>Değişken</t>
        </is>
      </c>
      <c r="E388" s="38" t="inlineStr">
        <is>
          <t>Variable</t>
        </is>
      </c>
    </row>
    <row r="389" ht="15" customHeight="1" s="39">
      <c r="A389" s="38" t="n">
        <v>393</v>
      </c>
      <c r="B389" s="38" t="inlineStr">
        <is>
          <t>Final Efor</t>
        </is>
      </c>
      <c r="C389" s="38" t="inlineStr">
        <is>
          <t>AZ2</t>
        </is>
      </c>
      <c r="D389" s="38" t="inlineStr">
        <is>
          <t>Modül Seçimi</t>
        </is>
      </c>
      <c r="E389" s="38" t="inlineStr">
        <is>
          <t>Module Selection</t>
        </is>
      </c>
    </row>
    <row r="390" ht="15" customHeight="1" s="39">
      <c r="A390" s="38" t="n">
        <v>1024</v>
      </c>
      <c r="B390" s="38" t="inlineStr">
        <is>
          <t>Project Definitions</t>
        </is>
      </c>
      <c r="C390" s="38" t="inlineStr">
        <is>
          <t>A11</t>
        </is>
      </c>
      <c r="D390" s="38" t="inlineStr">
        <is>
          <t>Demir &amp; Çelik</t>
        </is>
      </c>
      <c r="E390" s="38" t="inlineStr">
        <is>
          <t>Iron &amp; Steel</t>
        </is>
      </c>
    </row>
    <row r="391" ht="15" customHeight="1" s="39">
      <c r="A391" s="38" t="n">
        <v>1025</v>
      </c>
      <c r="B391" s="38" t="inlineStr">
        <is>
          <t>Size Variables</t>
        </is>
      </c>
      <c r="C391" s="38" t="inlineStr">
        <is>
          <t>C69</t>
        </is>
      </c>
      <c r="D391" s="38" t="inlineStr">
        <is>
          <t>CVI Dönüşüm Karmaşıklığı</t>
        </is>
      </c>
      <c r="E391" s="38" t="inlineStr">
        <is>
          <t>CVI Conversion Complexity</t>
        </is>
      </c>
    </row>
    <row r="392" ht="15" customHeight="1" s="39">
      <c r="A392" s="38" t="n">
        <v>1026</v>
      </c>
      <c r="B392" s="38" t="inlineStr">
        <is>
          <t>Size Variables</t>
        </is>
      </c>
      <c r="C392" s="38" t="inlineStr">
        <is>
          <t>D69</t>
        </is>
      </c>
      <c r="D392" s="38" t="inlineStr">
        <is>
          <t>Customer/Vendor → BP dönüşüm kapsamı, duplicate kayıtlar, role yapıları, senkronizasyon problemleri ve veri temizliği ihtiyacı bulunmakta mıdır?</t>
        </is>
      </c>
      <c r="E392" s="38" t="inlineStr">
        <is>
          <t>Does the Customer/Vendor → BP conversion scope include duplicate records, role structures, synchronization issues, and data cleansing needs?</t>
        </is>
      </c>
    </row>
    <row r="393" ht="15" customHeight="1" s="39">
      <c r="A393" s="38" t="n">
        <v>1027</v>
      </c>
      <c r="B393" s="38" t="inlineStr">
        <is>
          <t>Size Variables</t>
        </is>
      </c>
      <c r="C393" s="38" t="inlineStr">
        <is>
          <t>C70</t>
        </is>
      </c>
      <c r="D393" s="38" t="inlineStr">
        <is>
          <t>Finansal Dönüşüm Kapsamı</t>
        </is>
      </c>
      <c r="E393" s="38" t="inlineStr">
        <is>
          <t>Financial Transformation Scope</t>
        </is>
      </c>
    </row>
    <row r="394" ht="15" customHeight="1" s="39">
      <c r="A394" s="38" t="n">
        <v>1028</v>
      </c>
      <c r="B394" s="38" t="inlineStr">
        <is>
          <t>Size Variables</t>
        </is>
      </c>
      <c r="C394" s="38" t="inlineStr">
        <is>
          <t>D70</t>
        </is>
      </c>
      <c r="D394" s="38" t="inlineStr">
        <is>
          <t>New GL, document splitting, parallel accounting, asset accounting dönüşümü ve finansal reconciliation ihtiyaçları mevcut mudur?</t>
        </is>
      </c>
      <c r="E394" s="38" t="inlineStr">
        <is>
          <t>Are New GL, document splitting, parallel accounting, asset accounting conversion, and financial reconciliation needs in scope?</t>
        </is>
      </c>
    </row>
    <row r="395" ht="15" customHeight="1" s="39">
      <c r="A395" s="38" t="n">
        <v>1029</v>
      </c>
      <c r="B395" s="38" t="inlineStr">
        <is>
          <t>Size Variables</t>
        </is>
      </c>
      <c r="C395" s="38" t="inlineStr">
        <is>
          <t>C71</t>
        </is>
      </c>
      <c r="D395" s="38" t="inlineStr">
        <is>
          <t>3rd Party Entegrasyon Sayısı</t>
        </is>
      </c>
      <c r="E395" s="38" t="inlineStr">
        <is>
          <t>Number of 3rd Party Integrations</t>
        </is>
      </c>
    </row>
    <row r="396" ht="15" customHeight="1" s="39">
      <c r="A396" s="38" t="n">
        <v>1030</v>
      </c>
      <c r="B396" s="38" t="inlineStr">
        <is>
          <t>Size Variables</t>
        </is>
      </c>
      <c r="C396" s="38" t="inlineStr">
        <is>
          <t>D71</t>
        </is>
      </c>
      <c r="D396" s="38" t="inlineStr">
        <is>
          <t>PI/PO, CPI, MES,, MII, WMS, CRM, e-Document, banka vb. aktif entegrasyon sayısı ve karmaşıklığı</t>
        </is>
      </c>
      <c r="E396" s="38" t="inlineStr">
        <is>
          <t>Number and complexity of active integrations such as PI/PO, CPI, MES, MII, WMS, CRM, e-Document, banks, etc.</t>
        </is>
      </c>
    </row>
    <row r="397" ht="15" customHeight="1" s="39">
      <c r="A397" s="38" t="n">
        <v>1031</v>
      </c>
      <c r="B397" s="38" t="inlineStr">
        <is>
          <t>Size Variables</t>
        </is>
      </c>
      <c r="C397" s="38" t="inlineStr">
        <is>
          <t>C72</t>
        </is>
      </c>
      <c r="D397" s="38" t="inlineStr">
        <is>
          <t>Vistex / Add-On Kullanımı</t>
        </is>
      </c>
      <c r="E397" s="38" t="inlineStr">
        <is>
          <t>Vistex / Add-On Usage</t>
        </is>
      </c>
    </row>
    <row r="398" ht="15" customHeight="1" s="39">
      <c r="A398" s="38" t="n">
        <v>1032</v>
      </c>
      <c r="B398" s="38" t="inlineStr">
        <is>
          <t>Size Variables</t>
        </is>
      </c>
      <c r="C398" s="38" t="inlineStr">
        <is>
          <t>D72</t>
        </is>
      </c>
      <c r="D398" s="38" t="inlineStr">
        <is>
          <t>Vistex veya SAP dışı add-on ürünlerin S/4HANA uyumluluk ve dönüşüm ihtiyacı bulunmakta mıdır?</t>
        </is>
      </c>
      <c r="E398" s="38" t="inlineStr">
        <is>
          <t>Is there a need to assess and convert Vistex or non-SAP add-on products for S/4HANA compatibility?</t>
        </is>
      </c>
    </row>
    <row r="399" ht="15" customHeight="1" s="39">
      <c r="A399" s="38" t="n">
        <v>1033</v>
      </c>
      <c r="B399" s="38" t="inlineStr">
        <is>
          <t>Size Variables</t>
        </is>
      </c>
      <c r="C399" s="38" t="inlineStr">
        <is>
          <t>C73</t>
        </is>
      </c>
      <c r="D399" s="38" t="inlineStr">
        <is>
          <t>SRM / Ariba / İthalat Paketi</t>
        </is>
      </c>
      <c r="E399" s="38" t="inlineStr">
        <is>
          <t>SRM / Ariba / Import Package</t>
        </is>
      </c>
    </row>
    <row r="400" ht="15" customHeight="1" s="39">
      <c r="A400" s="38" t="n">
        <v>1034</v>
      </c>
      <c r="B400" s="38" t="inlineStr">
        <is>
          <t>Size Variables</t>
        </is>
      </c>
      <c r="C400" s="38" t="inlineStr">
        <is>
          <t>D73</t>
        </is>
      </c>
      <c r="D400" s="38" t="inlineStr">
        <is>
          <t>SRM, Ariba veya harici satınalma sistemleri ile entegrasyon ve dönüşüm ihtiyacı mevcut mudur?</t>
        </is>
      </c>
      <c r="E400" s="38" t="inlineStr">
        <is>
          <t>Is there an integration and conversion need for SRM, Ariba, or external procurement systems?</t>
        </is>
      </c>
    </row>
    <row r="401" ht="15" customHeight="1" s="39">
      <c r="A401" s="38" t="n">
        <v>1035</v>
      </c>
      <c r="B401" s="38" t="inlineStr">
        <is>
          <t>Size Variables</t>
        </is>
      </c>
      <c r="C401" s="38" t="inlineStr">
        <is>
          <t>C74</t>
        </is>
      </c>
      <c r="D401" s="38" t="inlineStr">
        <is>
          <t>PPDS / IBP Kullanımı</t>
        </is>
      </c>
      <c r="E401" s="38" t="inlineStr">
        <is>
          <t>PPDS / IBP Usage</t>
        </is>
      </c>
    </row>
    <row r="402" ht="15" customHeight="1" s="39">
      <c r="A402" s="38" t="n">
        <v>1036</v>
      </c>
      <c r="B402" s="38" t="inlineStr">
        <is>
          <t>Size Variables</t>
        </is>
      </c>
      <c r="C402" s="38" t="inlineStr">
        <is>
          <t>D74</t>
        </is>
      </c>
      <c r="D402" s="38" t="inlineStr">
        <is>
          <t>PPDS, IBP veya ileri seviye supply chain planning çözümleri kullanılmakta mıdır?</t>
        </is>
      </c>
      <c r="E402" s="38" t="inlineStr">
        <is>
          <t>Are PPDS, IBP, or advanced supply chain planning solutions used?</t>
        </is>
      </c>
    </row>
    <row r="403" ht="15" customHeight="1" s="39">
      <c r="A403" s="38" t="n">
        <v>1037</v>
      </c>
      <c r="B403" s="38" t="inlineStr">
        <is>
          <t>Size Variables</t>
        </is>
      </c>
      <c r="C403" s="38" t="inlineStr">
        <is>
          <t>C75</t>
        </is>
      </c>
      <c r="D403" s="38" t="inlineStr">
        <is>
          <t>BW / SAC / Reporting Entegrasyonu</t>
        </is>
      </c>
      <c r="E403" s="38" t="inlineStr">
        <is>
          <t>BW / SAC / Reporting Integration</t>
        </is>
      </c>
    </row>
    <row r="404" ht="15" customHeight="1" s="39">
      <c r="A404" s="38" t="n">
        <v>1038</v>
      </c>
      <c r="B404" s="38" t="inlineStr">
        <is>
          <t>Size Variables</t>
        </is>
      </c>
      <c r="C404" s="38" t="inlineStr">
        <is>
          <t>D75</t>
        </is>
      </c>
      <c r="D404" s="38" t="inlineStr">
        <is>
          <t>BW, BW/4HANA, SAC veya özel reporting altyapılarında dönüşüm ihtiyacı bulunmakta mıdır?</t>
        </is>
      </c>
      <c r="E404" s="38" t="inlineStr">
        <is>
          <t>Is there a conversion need for BW, BW/4HANA, SAC, or custom reporting infrastructures?</t>
        </is>
      </c>
    </row>
    <row r="405" ht="15" customHeight="1" s="39">
      <c r="A405" s="38" t="n">
        <v>1039</v>
      </c>
      <c r="B405" s="38" t="inlineStr">
        <is>
          <t>Size Variables</t>
        </is>
      </c>
      <c r="C405" s="38" t="inlineStr">
        <is>
          <t>C76</t>
        </is>
      </c>
      <c r="D405" s="38" t="inlineStr">
        <is>
          <t>Fiori ve Custom UI Kapsamı</t>
        </is>
      </c>
      <c r="E405" s="38" t="inlineStr">
        <is>
          <t>Fiori and Custom UI Scope</t>
        </is>
      </c>
    </row>
    <row r="406" ht="15" customHeight="1" s="39">
      <c r="A406" s="38" t="n">
        <v>1040</v>
      </c>
      <c r="B406" s="38" t="inlineStr">
        <is>
          <t>Size Variables</t>
        </is>
      </c>
      <c r="C406" s="38" t="inlineStr">
        <is>
          <t>D76</t>
        </is>
      </c>
      <c r="D406" s="38" t="inlineStr">
        <is>
          <t>Fiori app sayısı, custom tile/catalog yapıları, launchpad uyarlamaları ve custom UI dönüşüm ihtiyacı</t>
        </is>
      </c>
      <c r="E406" s="38" t="inlineStr">
        <is>
          <t>Number of Fiori apps, custom tile/catalog structures, launchpad adaptations, and custom UI conversion needs.</t>
        </is>
      </c>
    </row>
    <row r="407" ht="15" customHeight="1" s="39">
      <c r="A407" s="38" t="n">
        <v>1041</v>
      </c>
      <c r="B407" s="38" t="inlineStr">
        <is>
          <t>Size Variables</t>
        </is>
      </c>
      <c r="C407" s="38" t="inlineStr">
        <is>
          <t>C77</t>
        </is>
      </c>
      <c r="D407" s="38" t="inlineStr">
        <is>
          <t>Rebate / Pricing Karmaşıklığı</t>
        </is>
      </c>
      <c r="E407" s="38" t="inlineStr">
        <is>
          <t>Rebate / Pricing Complexity</t>
        </is>
      </c>
    </row>
    <row r="408" ht="15" customHeight="1" s="39">
      <c r="A408" s="38" t="n">
        <v>1042</v>
      </c>
      <c r="B408" s="38" t="inlineStr">
        <is>
          <t>Size Variables</t>
        </is>
      </c>
      <c r="C408" s="38" t="inlineStr">
        <is>
          <t>D77</t>
        </is>
      </c>
      <c r="D408" s="38" t="inlineStr">
        <is>
          <t>Rebate süreçleri, condition yapıları, advanced pricing veya settlement management dönüşümü bulunmakta mıdır?</t>
        </is>
      </c>
      <c r="E408" s="38" t="inlineStr">
        <is>
          <t>Are rebate processes, condition structures, advanced pricing, or settlement management conversion in scope?</t>
        </is>
      </c>
    </row>
    <row r="409" ht="15" customHeight="1" s="39">
      <c r="A409" s="38" t="n">
        <v>1043</v>
      </c>
      <c r="B409" s="38" t="inlineStr">
        <is>
          <t>Size Variables</t>
        </is>
      </c>
      <c r="C409" s="38" t="inlineStr">
        <is>
          <t>C78</t>
        </is>
      </c>
      <c r="D409" s="38" t="inlineStr">
        <is>
          <t>SUM / SPDD-SPAU Teknik Karmaşıklığı</t>
        </is>
      </c>
      <c r="E409" s="38" t="inlineStr">
        <is>
          <t>SUM / SPDD-SPAU Technical Complexity</t>
        </is>
      </c>
    </row>
    <row r="410" ht="15" customHeight="1" s="39">
      <c r="A410" s="38" t="n">
        <v>1044</v>
      </c>
      <c r="B410" s="38" t="inlineStr">
        <is>
          <t>Size Variables</t>
        </is>
      </c>
      <c r="C410" s="38" t="inlineStr">
        <is>
          <t>D78</t>
        </is>
      </c>
      <c r="D410" s="38" t="inlineStr">
        <is>
          <t>Upgrade sırasında yüksek SPDD/SPAU objesi, yoğun custom development ve OSS note bağımlılığı bulunmakta mıdır?</t>
        </is>
      </c>
      <c r="E410" s="38" t="inlineStr">
        <is>
          <t>During the upgrade, are there high SPDD/SPAU objects, extensive custom development, and OSS note dependencies?</t>
        </is>
      </c>
    </row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57421875" defaultRowHeight="15" customHeight="1" zeroHeight="0" outlineLevelRow="0"/>
  <cols>
    <col width="32" customWidth="1" style="38" min="1" max="3"/>
    <col width="40" customWidth="1" style="38" min="4" max="5"/>
    <col hidden="1" width="13" customWidth="1" style="38" min="26" max="26"/>
  </cols>
  <sheetData>
    <row r="1" ht="15" customHeight="1" s="39">
      <c r="A1" s="65">
        <f>INDEX(Translations!$D:$ZZ,MATCH(1006,Translations!$A:$A,0),MATCH('Project Information'!$C$4,Translations!$D$1:$ZZ$1,0))</f>
        <v/>
      </c>
      <c r="B1" s="65" t="inlineStr">
        <is>
          <t>Implementation Type</t>
        </is>
      </c>
      <c r="C1" s="65" t="inlineStr">
        <is>
          <t>System Type</t>
        </is>
      </c>
      <c r="D1" s="65" t="inlineStr">
        <is>
          <t>Modüller</t>
        </is>
      </c>
      <c r="E1" s="54" t="n"/>
      <c r="Z1" s="38" t="inlineStr">
        <is>
          <t>TR</t>
        </is>
      </c>
    </row>
    <row r="2" ht="15" customHeight="1" s="39">
      <c r="A2" s="66">
        <f>INDEX(Translations!$D:$ZZ,MATCH(1012,Translations!$A:$A,0),MATCH('Project Information'!$C$4,Translations!$D$1:$ZZ$1,0))</f>
        <v/>
      </c>
      <c r="B2" s="66" t="inlineStr">
        <is>
          <t>Greenfield</t>
        </is>
      </c>
      <c r="C2" s="66" t="inlineStr">
        <is>
          <t>SAP ECC</t>
        </is>
      </c>
      <c r="D2" s="66" t="inlineStr">
        <is>
          <t>FI</t>
        </is>
      </c>
      <c r="Z2" s="38" t="inlineStr">
        <is>
          <t>EN</t>
        </is>
      </c>
    </row>
    <row r="3" ht="15" customHeight="1" s="39">
      <c r="A3" s="66">
        <f>INDEX(Translations!$D:$ZZ,MATCH(1013,Translations!$A:$A,0),MATCH('Project Information'!$C$4,Translations!$D$1:$ZZ$1,0))</f>
        <v/>
      </c>
      <c r="B3" s="66" t="inlineStr">
        <is>
          <t>Brownfield</t>
        </is>
      </c>
      <c r="C3" s="66" t="inlineStr">
        <is>
          <t>SAP S/4HANA Private Cloud</t>
        </is>
      </c>
      <c r="D3" s="66" t="inlineStr">
        <is>
          <t>CO</t>
        </is>
      </c>
    </row>
    <row r="4" ht="15" customHeight="1" s="39">
      <c r="A4" s="66">
        <f>INDEX(Translations!$D:$ZZ,MATCH(1014,Translations!$A:$A,0),MATCH('Project Information'!$C$4,Translations!$D$1:$ZZ$1,0))</f>
        <v/>
      </c>
      <c r="B4" s="66" t="inlineStr">
        <is>
          <t>Rollout</t>
        </is>
      </c>
      <c r="C4" s="66" t="inlineStr">
        <is>
          <t>SAP S/4HANA Public Cloud</t>
        </is>
      </c>
      <c r="D4" s="66" t="inlineStr">
        <is>
          <t>TRM</t>
        </is>
      </c>
    </row>
    <row r="5" ht="15" customHeight="1" s="39">
      <c r="A5" s="66">
        <f>INDEX(Translations!$D:$ZZ,MATCH(1015,Translations!$A:$A,0),MATCH('Project Information'!$C$4,Translations!$D$1:$ZZ$1,0))</f>
        <v/>
      </c>
      <c r="B5" s="66" t="inlineStr">
        <is>
          <t>Migration</t>
        </is>
      </c>
      <c r="C5" s="66" t="inlineStr">
        <is>
          <t>SAP Rise</t>
        </is>
      </c>
      <c r="D5" s="66" t="inlineStr">
        <is>
          <t>CM</t>
        </is>
      </c>
    </row>
    <row r="6" ht="15" customHeight="1" s="39">
      <c r="A6" s="66">
        <f>INDEX(Translations!$D:$ZZ,MATCH(1016,Translations!$A:$A,0),MATCH('Project Information'!$C$4,Translations!$D$1:$ZZ$1,0))</f>
        <v/>
      </c>
      <c r="B6" s="66" t="inlineStr">
        <is>
          <t>Upgrade</t>
        </is>
      </c>
      <c r="C6" s="66" t="inlineStr">
        <is>
          <t>SAP On-Premise</t>
        </is>
      </c>
      <c r="D6" s="66" t="inlineStr">
        <is>
          <t>FM</t>
        </is>
      </c>
    </row>
    <row r="7" ht="15" customHeight="1" s="39">
      <c r="A7" s="66">
        <f>INDEX(Translations!$D:$ZZ,MATCH(1017,Translations!$A:$A,0),MATCH('Project Information'!$C$4,Translations!$D$1:$ZZ$1,0))</f>
        <v/>
      </c>
      <c r="B7" s="66" t="inlineStr">
        <is>
          <t>Conversion</t>
        </is>
      </c>
      <c r="C7" s="66" t="n"/>
      <c r="D7" s="66" t="inlineStr">
        <is>
          <t>RM</t>
        </is>
      </c>
    </row>
    <row r="8" ht="15" customHeight="1" s="39">
      <c r="A8" s="66">
        <f>INDEX(Translations!$D:$ZZ,MATCH(1018,Translations!$A:$A,0),MATCH('Project Information'!$C$4,Translations!$D$1:$ZZ$1,0))</f>
        <v/>
      </c>
      <c r="B8" s="66" t="n"/>
      <c r="C8" s="66" t="n"/>
      <c r="D8" s="66" t="inlineStr">
        <is>
          <t>RE/FX</t>
        </is>
      </c>
    </row>
    <row r="9" ht="15" customHeight="1" s="39">
      <c r="A9" s="66">
        <f>INDEX(Translations!$D:$ZZ,MATCH(1019,Translations!$A:$A,0),MATCH('Project Information'!$C$4,Translations!$D$1:$ZZ$1,0))</f>
        <v/>
      </c>
      <c r="B9" s="66" t="n"/>
      <c r="C9" s="66" t="n"/>
      <c r="D9" s="66" t="inlineStr">
        <is>
          <t>MM</t>
        </is>
      </c>
    </row>
    <row r="10" ht="15" customHeight="1" s="39">
      <c r="A10" s="66" t="inlineStr">
        <is>
          <t>Ambalaj</t>
        </is>
      </c>
      <c r="B10" s="66" t="n"/>
      <c r="C10" s="66" t="n"/>
      <c r="D10" s="66" t="inlineStr">
        <is>
          <t>PP</t>
        </is>
      </c>
    </row>
    <row r="11" ht="15" customHeight="1" s="39">
      <c r="A11" s="66">
        <f>INDEX(Translations!$D:$ZZ,MATCH(1024,Translations!$A:$A,0),MATCH('Project Information'!$C$4,Translations!$D$1:$ZZ$1,0))</f>
        <v/>
      </c>
      <c r="B11" s="66" t="n"/>
      <c r="C11" s="66" t="n"/>
      <c r="D11" s="66" t="inlineStr">
        <is>
          <t>SD</t>
        </is>
      </c>
    </row>
    <row r="12" ht="15" customHeight="1" s="39">
      <c r="A12" s="66" t="n"/>
      <c r="B12" s="66" t="n"/>
      <c r="C12" s="66" t="n"/>
      <c r="D12" s="66" t="inlineStr">
        <is>
          <t>QM</t>
        </is>
      </c>
    </row>
    <row r="13" ht="15" customHeight="1" s="39">
      <c r="A13" s="66" t="n"/>
      <c r="B13" s="66" t="n"/>
      <c r="C13" s="66" t="n"/>
      <c r="D13" s="66" t="inlineStr">
        <is>
          <t>PM</t>
        </is>
      </c>
    </row>
    <row r="14" ht="15" customHeight="1" s="39">
      <c r="A14" s="66" t="n"/>
      <c r="B14" s="66" t="n"/>
      <c r="C14" s="66" t="n"/>
      <c r="D14" s="66" t="inlineStr">
        <is>
          <t>PS</t>
        </is>
      </c>
    </row>
    <row r="15" ht="15" customHeight="1" s="39">
      <c r="A15" s="66" t="n"/>
      <c r="B15" s="66" t="n"/>
      <c r="C15" s="66" t="n"/>
      <c r="D15" s="66" t="inlineStr">
        <is>
          <t>MII/DM</t>
        </is>
      </c>
    </row>
    <row r="16" ht="15" customHeight="1" s="39">
      <c r="A16" s="66" t="n"/>
      <c r="B16" s="66" t="n"/>
      <c r="C16" s="66" t="n"/>
      <c r="D16" s="66" t="inlineStr">
        <is>
          <t>PM Mobility</t>
        </is>
      </c>
    </row>
    <row r="17" ht="15" customHeight="1" s="39">
      <c r="A17" s="66" t="n"/>
      <c r="B17" s="66" t="n"/>
      <c r="C17" s="66" t="n"/>
      <c r="D17" s="66" t="inlineStr">
        <is>
          <t>Basic EWM</t>
        </is>
      </c>
    </row>
    <row r="18" ht="15" customHeight="1" s="39">
      <c r="A18" s="66" t="n"/>
      <c r="B18" s="66" t="n"/>
      <c r="C18" s="66" t="n"/>
      <c r="D18" s="66" t="inlineStr">
        <is>
          <t>Advanced EWM</t>
        </is>
      </c>
    </row>
    <row r="19" ht="15" customHeight="1" s="39">
      <c r="A19" s="66" t="n"/>
      <c r="B19" s="66" t="n"/>
      <c r="C19" s="66" t="n"/>
      <c r="D19" s="66" t="inlineStr">
        <is>
          <t>TM</t>
        </is>
      </c>
    </row>
    <row r="20" ht="15" customHeight="1" s="39">
      <c r="A20" s="66" t="n"/>
      <c r="B20" s="66" t="n"/>
      <c r="C20" s="66" t="n"/>
      <c r="D20" s="66" t="inlineStr">
        <is>
          <t>PPDS</t>
        </is>
      </c>
    </row>
    <row r="21" ht="15" customHeight="1" s="39">
      <c r="A21" s="66" t="n"/>
      <c r="B21" s="66" t="n"/>
      <c r="C21" s="66" t="n"/>
      <c r="D21" s="66" t="inlineStr">
        <is>
          <t>ABAP</t>
        </is>
      </c>
    </row>
    <row r="22" ht="15" customHeight="1" s="39">
      <c r="A22" s="66" t="n"/>
      <c r="B22" s="66" t="n"/>
      <c r="C22" s="66" t="n"/>
      <c r="D22" s="66" t="inlineStr">
        <is>
          <t>BASIS</t>
        </is>
      </c>
    </row>
    <row r="23" ht="15" customHeight="1" s="39">
      <c r="A23" s="66" t="n"/>
      <c r="B23" s="66" t="n"/>
      <c r="C23" s="66" t="n"/>
      <c r="D23" s="66" t="inlineStr">
        <is>
          <t>E-Fatura/Arşiv</t>
        </is>
      </c>
    </row>
    <row r="24" ht="15" customHeight="1" s="39">
      <c r="A24" s="66" t="n"/>
      <c r="B24" s="66" t="n"/>
      <c r="C24" s="66" t="n"/>
      <c r="D24" s="66" t="inlineStr">
        <is>
          <t>E-İrsaliye</t>
        </is>
      </c>
    </row>
    <row r="25" ht="15" customHeight="1" s="39">
      <c r="A25" s="66" t="n"/>
      <c r="B25" s="66" t="n"/>
      <c r="C25" s="66" t="n"/>
      <c r="D25" s="66" t="inlineStr">
        <is>
          <t>E-Defter</t>
        </is>
      </c>
    </row>
    <row r="26" ht="15" customHeight="1" s="39">
      <c r="A26" s="66" t="n"/>
      <c r="B26" s="66" t="n"/>
      <c r="C26" s="66" t="n"/>
      <c r="D26" s="66" t="inlineStr">
        <is>
          <t>E-Hesap Özeti</t>
        </is>
      </c>
    </row>
    <row r="27" ht="15" customHeight="1" s="39">
      <c r="A27" s="66" t="n"/>
      <c r="B27" s="66" t="n"/>
      <c r="C27" s="66" t="n"/>
      <c r="D27" s="66" t="inlineStr">
        <is>
          <t>E-Ödeme</t>
        </is>
      </c>
    </row>
    <row r="28" ht="15" customHeight="1" s="39">
      <c r="A28" s="66" t="n"/>
      <c r="B28" s="66" t="n"/>
      <c r="C28" s="66" t="n"/>
      <c r="D28" s="66" t="inlineStr">
        <is>
          <t>E-Mutabakat</t>
        </is>
      </c>
    </row>
    <row r="29" ht="15" customHeight="1" s="39">
      <c r="A29" s="66" t="n"/>
      <c r="B29" s="66" t="n"/>
      <c r="C29" s="66" t="n"/>
      <c r="D29" s="66" t="inlineStr">
        <is>
          <t>E-Beyanname</t>
        </is>
      </c>
    </row>
    <row r="30" ht="15" customHeight="1" s="39">
      <c r="A30" s="66" t="n"/>
      <c r="B30" s="66" t="n"/>
      <c r="C30" s="66" t="n"/>
      <c r="D30" s="66" t="inlineStr">
        <is>
          <t>Gelen Fatura Otomasyon</t>
        </is>
      </c>
    </row>
    <row r="31" ht="15" customHeight="1" s="39">
      <c r="A31" s="66" t="n"/>
      <c r="B31" s="66" t="n"/>
      <c r="C31" s="66" t="n"/>
      <c r="D31" s="66" t="inlineStr">
        <is>
          <t>GLASSWING</t>
        </is>
      </c>
    </row>
    <row r="32" ht="15" customHeight="1" s="39">
      <c r="A32" s="66" t="n"/>
      <c r="B32" s="66" t="n"/>
      <c r="C32" s="66" t="n"/>
      <c r="D32" s="66" t="inlineStr">
        <is>
          <t>COMMODITY</t>
        </is>
      </c>
    </row>
    <row r="33" ht="15" customHeight="1" s="39">
      <c r="D33" s="38" t="inlineStr">
        <is>
          <t>Dış Ticaret Çözümü</t>
        </is>
      </c>
    </row>
    <row r="34" ht="15" customHeight="1" s="39">
      <c r="D34" s="38" t="inlineStr">
        <is>
          <t>Seyahat ve Masraf Yönetimi</t>
        </is>
      </c>
    </row>
    <row r="35" ht="15" customHeight="1" s="39">
      <c r="D35" s="38" t="inlineStr">
        <is>
          <t>NTT Data POS</t>
        </is>
      </c>
    </row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P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7421875" defaultRowHeight="15" customHeight="1" zeroHeight="0" outlineLevelRow="0"/>
  <cols>
    <col width="30" customWidth="1" style="38" min="1" max="1"/>
    <col width="8.43" customWidth="1" style="38" min="2" max="2"/>
    <col width="14.71" customWidth="1" style="38" min="3" max="3"/>
    <col width="8.859999999999999" customWidth="1" style="38" min="4" max="4"/>
    <col width="13.14" customWidth="1" style="38" min="5" max="5"/>
    <col width="15.57" customWidth="1" style="38" min="7" max="7"/>
    <col width="14.71" customWidth="1" style="38" min="8" max="8"/>
    <col width="22.29" customWidth="1" style="38" min="9" max="9"/>
    <col width="14.71" customWidth="1" style="38" min="10" max="10"/>
    <col width="12.86" customWidth="1" style="38" min="11" max="11"/>
    <col width="23" customWidth="1" style="38" min="12" max="12"/>
    <col width="17.57" customWidth="1" style="38" min="13" max="13"/>
    <col width="20.72" customWidth="1" style="38" min="14" max="14"/>
    <col width="9.859999999999999" customWidth="1" style="38" min="15" max="15"/>
    <col width="14.86" customWidth="1" style="38" min="16" max="16"/>
  </cols>
  <sheetData>
    <row r="1" ht="21" customHeight="1" s="39">
      <c r="A1" s="53">
        <f>INDEX(Translations!$D:$ZZ, MATCH(321,Translations!$A:$A,0), MATCH('Project Information'!$C$4,Translations!$D$1:$ZZ$1,0))</f>
        <v/>
      </c>
    </row>
    <row r="3" ht="15" customHeight="1" s="39">
      <c r="A3" s="67">
        <f>INDEX(Translations!$D:$ZZ, MATCH(323,Translations!$A:$A,0), MATCH('Project Information'!$C$4,Translations!$D$1:$ZZ$1,0))</f>
        <v/>
      </c>
      <c r="B3" s="67">
        <f>INDEX(Translations!$D:$ZZ, MATCH(75,Translations!$A:$A,0), MATCH('Project Information'!$C$4,Translations!$D$1:$ZZ$1,0))</f>
        <v/>
      </c>
      <c r="C3" s="67">
        <f>INDEX(Translations!$D:$ZZ, MATCH(76,Translations!$A:$A,0), MATCH('Project Information'!$C$4,Translations!$D$1:$ZZ$1,0))</f>
        <v/>
      </c>
      <c r="D3" s="67">
        <f>INDEX(Translations!$D:$ZZ, MATCH(77,Translations!$A:$A,0), MATCH('Project Information'!$C$4,Translations!$D$1:$ZZ$1,0))</f>
        <v/>
      </c>
      <c r="E3" s="67">
        <f>INDEX(Translations!$D:$ZZ, MATCH(78,Translations!$A:$A,0), MATCH('Project Information'!$C$4,Translations!$D$1:$ZZ$1,0))</f>
        <v/>
      </c>
      <c r="F3" s="67">
        <f>INDEX(Translations!$D:$ZZ, MATCH(79,Translations!$A:$A,0), MATCH('Project Information'!$C$4,Translations!$D$1:$ZZ$1,0))</f>
        <v/>
      </c>
      <c r="G3" s="67">
        <f>INDEX(Translations!$D:$ZZ, MATCH(80,Translations!$A:$A,0), MATCH('Project Information'!$C$4,Translations!$D$1:$ZZ$1,0))</f>
        <v/>
      </c>
      <c r="H3" s="67">
        <f>INDEX(Translations!$D:$ZZ, MATCH(81,Translations!$A:$A,0), MATCH('Project Information'!$C$4,Translations!$D$1:$ZZ$1,0))</f>
        <v/>
      </c>
      <c r="I3" s="67">
        <f>INDEX(Translations!$D:$ZZ, MATCH(82,Translations!$A:$A,0), MATCH('Project Information'!$C$4,Translations!$D$1:$ZZ$1,0))</f>
        <v/>
      </c>
      <c r="J3" s="67">
        <f>INDEX(Translations!$D:$ZZ, MATCH(83,Translations!$A:$A,0), MATCH('Project Information'!$C$4,Translations!$D$1:$ZZ$1,0))</f>
        <v/>
      </c>
      <c r="K3" s="67">
        <f>INDEX(Translations!$D:$ZZ, MATCH(84,Translations!$A:$A,0), MATCH('Project Information'!$C$4,Translations!$D$1:$ZZ$1,0))</f>
        <v/>
      </c>
      <c r="L3" s="67">
        <f>INDEX(Translations!$D:$ZZ, MATCH(85,Translations!$A:$A,0), MATCH('Project Information'!$C$4,Translations!$D$1:$ZZ$1,0))</f>
        <v/>
      </c>
      <c r="M3" s="67">
        <f>INDEX(Translations!$D:$ZZ, MATCH(86,Translations!$A:$A,0), MATCH('Project Information'!$C$4,Translations!$D$1:$ZZ$1,0))</f>
        <v/>
      </c>
      <c r="N3" s="67">
        <f>INDEX(Translations!$D:$ZZ, MATCH(87,Translations!$A:$A,0), MATCH('Project Information'!$C$4,Translations!$D$1:$ZZ$1,0))</f>
        <v/>
      </c>
      <c r="O3" s="67">
        <f>INDEX(Translations!$D:$ZZ, MATCH(88,Translations!$A:$A,0), MATCH('Project Information'!$C$4,Translations!$D$1:$ZZ$1,0))</f>
        <v/>
      </c>
      <c r="P3" s="67">
        <f>INDEX(Translations!$D:$ZZ, MATCH(89,Translations!$A:$A,0), MATCH('Project Information'!$C$4,Translations!$D$1:$ZZ$1,0))</f>
        <v/>
      </c>
    </row>
    <row r="4" ht="15" customHeight="1" s="39">
      <c r="A4" s="67">
        <f>INDEX(Translations!$D:$ZZ, MATCH(326,Translations!$A:$A,0), MATCH('Project Information'!$C$4,Translations!$D$1:$ZZ$1,0))</f>
        <v/>
      </c>
      <c r="B4" s="67" t="n">
        <v>2</v>
      </c>
      <c r="C4" s="67" t="n">
        <v>3</v>
      </c>
      <c r="D4" s="67" t="n">
        <v>4</v>
      </c>
      <c r="E4" s="67" t="n">
        <v>5</v>
      </c>
      <c r="F4" s="67" t="n">
        <v>6</v>
      </c>
      <c r="G4" s="67" t="n">
        <v>7</v>
      </c>
      <c r="H4" s="67" t="n">
        <v>8</v>
      </c>
      <c r="I4" s="67" t="n">
        <v>9</v>
      </c>
      <c r="J4" s="67" t="n">
        <v>10</v>
      </c>
      <c r="K4" s="67" t="n">
        <v>11</v>
      </c>
      <c r="L4" s="67" t="n">
        <v>12</v>
      </c>
      <c r="M4" s="67" t="n">
        <v>13</v>
      </c>
      <c r="N4" s="67" t="n">
        <v>14</v>
      </c>
      <c r="O4" s="67" t="n">
        <v>15</v>
      </c>
      <c r="P4" s="67" t="n">
        <v>16</v>
      </c>
    </row>
    <row r="5" ht="15" customHeight="1" s="39">
      <c r="A5" s="67">
        <f>INDEX(Translations!$D:$ZZ, MATCH(327,Translations!$A:$A,0), MATCH('Project Information'!$C$4,Translations!$D$1:$ZZ$1,0))</f>
        <v/>
      </c>
      <c r="B5" s="67" t="n">
        <v>2</v>
      </c>
      <c r="C5" s="67" t="n">
        <v>3</v>
      </c>
      <c r="D5" s="67" t="n">
        <v>4</v>
      </c>
      <c r="E5" s="67" t="n">
        <v>5</v>
      </c>
      <c r="F5" s="67" t="n">
        <v>6</v>
      </c>
      <c r="G5" s="67" t="n">
        <v>7</v>
      </c>
      <c r="H5" s="67" t="n">
        <v>8</v>
      </c>
      <c r="I5" s="67" t="n">
        <v>9</v>
      </c>
      <c r="J5" s="67" t="n">
        <v>10</v>
      </c>
      <c r="K5" s="67" t="n">
        <v>11</v>
      </c>
      <c r="L5" s="67" t="n">
        <v>12</v>
      </c>
      <c r="M5" s="67" t="n">
        <v>13</v>
      </c>
      <c r="N5" s="67" t="n">
        <v>14</v>
      </c>
      <c r="O5" s="67" t="n">
        <v>15</v>
      </c>
      <c r="P5" s="67" t="n">
        <v>16</v>
      </c>
    </row>
    <row r="6" ht="15" customHeight="1" s="39">
      <c r="A6" s="67">
        <f>INDEX(Translations!$D:$ZZ, MATCH(328,Translations!$A:$A,0), MATCH('Project Information'!$C$4,Translations!$D$1:$ZZ$1,0))</f>
        <v/>
      </c>
      <c r="B6" s="67" t="n">
        <v>2</v>
      </c>
      <c r="C6" s="67" t="n">
        <v>3</v>
      </c>
      <c r="D6" s="67" t="n">
        <v>4</v>
      </c>
      <c r="E6" s="67" t="n">
        <v>5</v>
      </c>
      <c r="F6" s="67" t="n">
        <v>6</v>
      </c>
      <c r="G6" s="67" t="n">
        <v>7</v>
      </c>
      <c r="H6" s="67" t="n">
        <v>8</v>
      </c>
      <c r="I6" s="67" t="n">
        <v>9</v>
      </c>
      <c r="J6" s="67" t="n">
        <v>10</v>
      </c>
      <c r="K6" s="67" t="n">
        <v>11</v>
      </c>
      <c r="L6" s="67" t="n">
        <v>12</v>
      </c>
      <c r="M6" s="67" t="n">
        <v>13</v>
      </c>
      <c r="N6" s="67" t="n">
        <v>14</v>
      </c>
      <c r="O6" s="67" t="n">
        <v>15</v>
      </c>
      <c r="P6" s="67" t="n">
        <v>16</v>
      </c>
    </row>
    <row r="7" ht="15" customHeight="1" s="39">
      <c r="A7" s="67">
        <f>INDEX(Translations!$D:$ZZ, MATCH(329,Translations!$A:$A,0), MATCH('Project Information'!$C$4,Translations!$D$1:$ZZ$1,0))</f>
        <v/>
      </c>
      <c r="B7" s="67" t="n">
        <v>2</v>
      </c>
      <c r="C7" s="67" t="n">
        <v>3</v>
      </c>
      <c r="D7" s="67" t="n">
        <v>4</v>
      </c>
      <c r="E7" s="67" t="n">
        <v>5</v>
      </c>
      <c r="F7" s="67" t="n">
        <v>6</v>
      </c>
      <c r="G7" s="67" t="n">
        <v>7</v>
      </c>
      <c r="H7" s="67" t="n">
        <v>8</v>
      </c>
      <c r="I7" s="67" t="n">
        <v>9</v>
      </c>
      <c r="J7" s="67" t="n">
        <v>10</v>
      </c>
      <c r="K7" s="67" t="n">
        <v>11</v>
      </c>
      <c r="L7" s="67" t="n">
        <v>12</v>
      </c>
      <c r="M7" s="67" t="n">
        <v>13</v>
      </c>
      <c r="N7" s="67" t="n">
        <v>14</v>
      </c>
      <c r="O7" s="67" t="n">
        <v>15</v>
      </c>
      <c r="P7" s="67" t="n">
        <v>16</v>
      </c>
    </row>
    <row r="8" ht="15" customHeight="1" s="39">
      <c r="A8" s="67">
        <f>INDEX(Translations!$D:$ZZ, MATCH(330,Translations!$A:$A,0), MATCH('Project Information'!$C$4,Translations!$D$1:$ZZ$1,0))</f>
        <v/>
      </c>
      <c r="B8" s="67" t="n">
        <v>2</v>
      </c>
      <c r="C8" s="67" t="n">
        <v>3</v>
      </c>
      <c r="D8" s="67" t="n">
        <v>4</v>
      </c>
      <c r="E8" s="67" t="n">
        <v>5</v>
      </c>
      <c r="F8" s="67" t="n">
        <v>6</v>
      </c>
      <c r="G8" s="67" t="n">
        <v>7</v>
      </c>
      <c r="H8" s="67" t="n">
        <v>8</v>
      </c>
      <c r="I8" s="67" t="n">
        <v>9</v>
      </c>
      <c r="J8" s="67" t="n">
        <v>10</v>
      </c>
      <c r="K8" s="67" t="n">
        <v>11</v>
      </c>
      <c r="L8" s="67" t="n">
        <v>12</v>
      </c>
      <c r="M8" s="67" t="n">
        <v>13</v>
      </c>
      <c r="N8" s="67" t="n">
        <v>14</v>
      </c>
      <c r="O8" s="67" t="n">
        <v>15</v>
      </c>
      <c r="P8" s="67" t="n">
        <v>16</v>
      </c>
    </row>
    <row r="9" ht="15" customHeight="1" s="39">
      <c r="A9" s="67">
        <f>INDEX(Translations!$D:$ZZ, MATCH(363,Translations!$A:$A,0), MATCH('Project Information'!$C$4,Translations!$D$1:$ZZ$1,0))</f>
        <v/>
      </c>
      <c r="B9" s="67" t="n">
        <v>2</v>
      </c>
      <c r="C9" s="67" t="n">
        <v>3</v>
      </c>
      <c r="D9" s="67" t="n">
        <v>4</v>
      </c>
      <c r="E9" s="67" t="n">
        <v>5</v>
      </c>
      <c r="F9" s="67" t="n">
        <v>6</v>
      </c>
      <c r="G9" s="67" t="n">
        <v>7</v>
      </c>
      <c r="H9" s="67" t="n">
        <v>8</v>
      </c>
      <c r="I9" s="67" t="n">
        <v>9</v>
      </c>
      <c r="J9" s="67" t="n">
        <v>10</v>
      </c>
      <c r="K9" s="67" t="n">
        <v>11</v>
      </c>
      <c r="L9" s="67" t="n">
        <v>12</v>
      </c>
      <c r="M9" s="67" t="n">
        <v>13</v>
      </c>
      <c r="N9" s="67" t="n">
        <v>14</v>
      </c>
      <c r="O9" s="67" t="n">
        <v>15</v>
      </c>
      <c r="P9" s="67" t="n">
        <v>16</v>
      </c>
    </row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AA8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80" activeCellId="0" sqref="B80"/>
    </sheetView>
  </sheetViews>
  <sheetFormatPr baseColWidth="8" defaultColWidth="8.57421875" defaultRowHeight="15" customHeight="1" zeroHeight="0" outlineLevelRow="0"/>
  <cols>
    <col width="23.15" customWidth="1" style="38" min="1" max="1"/>
    <col width="8.43" customWidth="1" style="38" min="2" max="2"/>
    <col width="14.71" customWidth="1" style="38" min="3" max="3"/>
    <col width="8.859999999999999" customWidth="1" style="38" min="4" max="4"/>
    <col width="13.14" customWidth="1" style="38" min="5" max="5"/>
    <col width="15.57" customWidth="1" style="38" min="7" max="7"/>
    <col width="14.71" customWidth="1" style="38" min="8" max="8"/>
    <col width="22.29" customWidth="1" style="38" min="9" max="9"/>
    <col width="14.71" customWidth="1" style="38" min="10" max="10"/>
    <col width="12.86" customWidth="1" style="38" min="11" max="11"/>
    <col width="23" customWidth="1" style="38" min="12" max="12"/>
    <col width="17.57" customWidth="1" style="38" min="13" max="13"/>
    <col width="20.72" customWidth="1" style="38" min="14" max="14"/>
    <col width="9.859999999999999" customWidth="1" style="38" min="15" max="15"/>
    <col width="14.86" customWidth="1" style="38" min="16" max="16"/>
    <col width="20" customWidth="1" style="38" min="17" max="17"/>
    <col hidden="1" width="13" customWidth="1" style="38" min="26" max="26"/>
    <col hidden="1" width="25" customWidth="1" style="38" min="27" max="27"/>
  </cols>
  <sheetData>
    <row r="1" ht="15" customHeight="1" s="39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</row>
    <row r="2" ht="15" customHeight="1" s="39">
      <c r="A2" s="68" t="inlineStr">
        <is>
          <t>Implementation Type: Conversion</t>
        </is>
      </c>
      <c r="Q2" s="68" t="inlineStr">
        <is>
          <t>Conversion</t>
        </is>
      </c>
    </row>
    <row r="3" ht="15" customHeight="1" s="39">
      <c r="A3" s="68" t="inlineStr">
        <is>
          <t>SMALL</t>
        </is>
      </c>
      <c r="Q3" s="68" t="inlineStr">
        <is>
          <t>Conversion</t>
        </is>
      </c>
    </row>
    <row r="4" ht="15" customHeight="1" s="39">
      <c r="A4" s="67">
        <f>INDEX(Translations!$D:$ZZ, MATCH(74,Translations!$A:$A,0), MATCH('Project Information'!$C$4,Translations!$D$1:$ZZ$1,0))</f>
        <v/>
      </c>
      <c r="B4" s="67">
        <f>INDEX(Translations!$D:$ZZ, MATCH(75,Translations!$A:$A,0), MATCH('Project Information'!$C$4,Translations!$D$1:$ZZ$1,0))</f>
        <v/>
      </c>
      <c r="C4" s="67">
        <f>INDEX(Translations!$D:$ZZ, MATCH(76,Translations!$A:$A,0), MATCH('Project Information'!$C$4,Translations!$D$1:$ZZ$1,0))</f>
        <v/>
      </c>
      <c r="D4" s="67">
        <f>INDEX(Translations!$D:$ZZ, MATCH(77,Translations!$A:$A,0), MATCH('Project Information'!$C$4,Translations!$D$1:$ZZ$1,0))</f>
        <v/>
      </c>
      <c r="E4" s="67">
        <f>INDEX(Translations!$D:$ZZ, MATCH(78,Translations!$A:$A,0), MATCH('Project Information'!$C$4,Translations!$D$1:$ZZ$1,0))</f>
        <v/>
      </c>
      <c r="F4" s="67">
        <f>INDEX(Translations!$D:$ZZ, MATCH(79,Translations!$A:$A,0), MATCH('Project Information'!$C$4,Translations!$D$1:$ZZ$1,0))</f>
        <v/>
      </c>
      <c r="G4" s="67">
        <f>INDEX(Translations!$D:$ZZ, MATCH(80,Translations!$A:$A,0), MATCH('Project Information'!$C$4,Translations!$D$1:$ZZ$1,0))</f>
        <v/>
      </c>
      <c r="H4" s="67">
        <f>INDEX(Translations!$D:$ZZ, MATCH(81,Translations!$A:$A,0), MATCH('Project Information'!$C$4,Translations!$D$1:$ZZ$1,0))</f>
        <v/>
      </c>
      <c r="I4" s="67">
        <f>INDEX(Translations!$D:$ZZ, MATCH(82,Translations!$A:$A,0), MATCH('Project Information'!$C$4,Translations!$D$1:$ZZ$1,0))</f>
        <v/>
      </c>
      <c r="J4" s="67">
        <f>INDEX(Translations!$D:$ZZ, MATCH(83,Translations!$A:$A,0), MATCH('Project Information'!$C$4,Translations!$D$1:$ZZ$1,0))</f>
        <v/>
      </c>
      <c r="K4" s="67">
        <f>INDEX(Translations!$D:$ZZ, MATCH(84,Translations!$A:$A,0), MATCH('Project Information'!$C$4,Translations!$D$1:$ZZ$1,0))</f>
        <v/>
      </c>
      <c r="L4" s="67">
        <f>INDEX(Translations!$D:$ZZ, MATCH(85,Translations!$A:$A,0), MATCH('Project Information'!$C$4,Translations!$D$1:$ZZ$1,0))</f>
        <v/>
      </c>
      <c r="M4" s="67">
        <f>INDEX(Translations!$D:$ZZ, MATCH(86,Translations!$A:$A,0), MATCH('Project Information'!$C$4,Translations!$D$1:$ZZ$1,0))</f>
        <v/>
      </c>
      <c r="N4" s="67">
        <f>INDEX(Translations!$D:$ZZ, MATCH(87,Translations!$A:$A,0), MATCH('Project Information'!$C$4,Translations!$D$1:$ZZ$1,0))</f>
        <v/>
      </c>
      <c r="O4" s="67">
        <f>INDEX(Translations!$D:$ZZ, MATCH(88,Translations!$A:$A,0), MATCH('Project Information'!$C$4,Translations!$D$1:$ZZ$1,0))</f>
        <v/>
      </c>
      <c r="P4" s="67">
        <f>INDEX(Translations!$D:$ZZ, MATCH(89,Translations!$A:$A,0), MATCH('Project Information'!$C$4,Translations!$D$1:$ZZ$1,0))</f>
        <v/>
      </c>
      <c r="Q4" s="67" t="inlineStr">
        <is>
          <t>Implementation Type</t>
        </is>
      </c>
      <c r="Z4" s="67">
        <f>INDEX(Translations!$D:$ZZ, MATCH(93,Translations!$A:$A,0), MATCH('Project Information'!$C$4,Translations!$D$1:$ZZ$1,0))</f>
        <v/>
      </c>
      <c r="AA4" s="67" t="inlineStr">
        <is>
          <t>Implementation Key</t>
        </is>
      </c>
    </row>
    <row r="5" ht="15" customHeight="1" s="39">
      <c r="A5" s="67" t="inlineStr">
        <is>
          <t>FI</t>
        </is>
      </c>
      <c r="B5" s="67" t="n">
        <v>20</v>
      </c>
      <c r="C5" s="67" t="n">
        <v>3</v>
      </c>
      <c r="D5" s="67" t="n">
        <v>2</v>
      </c>
      <c r="E5" s="67" t="n">
        <v>3</v>
      </c>
      <c r="F5" s="67" t="n">
        <v>2</v>
      </c>
      <c r="G5" s="67" t="n">
        <v>1</v>
      </c>
      <c r="H5" s="67" t="n">
        <v>1</v>
      </c>
      <c r="I5" s="67" t="n">
        <v>5</v>
      </c>
      <c r="J5" s="67" t="n">
        <v>5</v>
      </c>
      <c r="K5" s="67" t="n">
        <v>1</v>
      </c>
      <c r="L5" s="67" t="n">
        <v>1</v>
      </c>
      <c r="M5" s="67" t="n">
        <v>4</v>
      </c>
      <c r="N5" s="67" t="n">
        <v>4</v>
      </c>
      <c r="O5" s="67" t="n">
        <v>0</v>
      </c>
      <c r="P5" s="67" t="n">
        <v>0</v>
      </c>
      <c r="Q5" s="66" t="inlineStr">
        <is>
          <t>Conversion</t>
        </is>
      </c>
      <c r="Z5" s="66">
        <f>"SMALL|"&amp;A5</f>
        <v/>
      </c>
      <c r="AA5" s="66">
        <f>Q5&amp;"|"&amp;Z5</f>
        <v/>
      </c>
    </row>
    <row r="6" ht="15" customHeight="1" s="39">
      <c r="A6" s="67" t="inlineStr">
        <is>
          <t>CO</t>
        </is>
      </c>
      <c r="B6" s="67" t="n">
        <v>20</v>
      </c>
      <c r="C6" s="67" t="n">
        <v>3</v>
      </c>
      <c r="D6" s="67" t="n">
        <v>2</v>
      </c>
      <c r="E6" s="67" t="n">
        <v>3</v>
      </c>
      <c r="F6" s="67" t="n">
        <v>2</v>
      </c>
      <c r="G6" s="67" t="n">
        <v>1</v>
      </c>
      <c r="H6" s="67" t="n">
        <v>1</v>
      </c>
      <c r="I6" s="67" t="n">
        <v>5</v>
      </c>
      <c r="J6" s="67" t="n">
        <v>5</v>
      </c>
      <c r="K6" s="67" t="n">
        <v>1</v>
      </c>
      <c r="L6" s="67" t="n">
        <v>1</v>
      </c>
      <c r="M6" s="67" t="n">
        <v>4</v>
      </c>
      <c r="N6" s="67" t="n">
        <v>4</v>
      </c>
      <c r="O6" s="67" t="n">
        <v>0</v>
      </c>
      <c r="P6" s="67" t="n">
        <v>0</v>
      </c>
      <c r="Q6" s="66" t="inlineStr">
        <is>
          <t>Conversion</t>
        </is>
      </c>
      <c r="Z6" s="66">
        <f>"SMALL|"&amp;A6</f>
        <v/>
      </c>
      <c r="AA6" s="66">
        <f>Q6&amp;"|"&amp;Z6</f>
        <v/>
      </c>
    </row>
    <row r="7" ht="15" customHeight="1" s="39">
      <c r="A7" s="67" t="inlineStr">
        <is>
          <t>TRM</t>
        </is>
      </c>
      <c r="B7" s="67" t="n">
        <v>10</v>
      </c>
      <c r="C7" s="67" t="n">
        <v>2</v>
      </c>
      <c r="D7" s="67" t="n">
        <v>1</v>
      </c>
      <c r="E7" s="67" t="n">
        <v>2</v>
      </c>
      <c r="F7" s="67" t="n">
        <v>1</v>
      </c>
      <c r="G7" s="67" t="n">
        <v>0.5</v>
      </c>
      <c r="H7" s="67" t="n">
        <v>0.5</v>
      </c>
      <c r="I7" s="67" t="n">
        <v>3</v>
      </c>
      <c r="J7" s="67" t="n">
        <v>3</v>
      </c>
      <c r="K7" s="67" t="n">
        <v>0.5</v>
      </c>
      <c r="L7" s="67" t="n">
        <v>0.5</v>
      </c>
      <c r="M7" s="67" t="n">
        <v>3</v>
      </c>
      <c r="N7" s="67" t="n">
        <v>3</v>
      </c>
      <c r="O7" s="67" t="n">
        <v>0</v>
      </c>
      <c r="P7" s="67" t="n">
        <v>0</v>
      </c>
      <c r="Q7" s="66" t="inlineStr">
        <is>
          <t>Conversion</t>
        </is>
      </c>
      <c r="Z7" s="66">
        <f>"SMALL|"&amp;A7</f>
        <v/>
      </c>
      <c r="AA7" s="66">
        <f>Q7&amp;"|"&amp;Z7</f>
        <v/>
      </c>
    </row>
    <row r="8" ht="15" customHeight="1" s="39">
      <c r="A8" s="67" t="inlineStr">
        <is>
          <t>CM</t>
        </is>
      </c>
      <c r="B8" s="67" t="n">
        <v>5</v>
      </c>
      <c r="C8" s="67" t="n">
        <v>1</v>
      </c>
      <c r="D8" s="67" t="n">
        <v>1</v>
      </c>
      <c r="E8" s="67" t="n">
        <v>1</v>
      </c>
      <c r="F8" s="67" t="n">
        <v>1</v>
      </c>
      <c r="G8" s="67" t="n">
        <v>0.5</v>
      </c>
      <c r="H8" s="67" t="n">
        <v>0.5</v>
      </c>
      <c r="I8" s="67" t="n">
        <v>1</v>
      </c>
      <c r="J8" s="67" t="n">
        <v>1</v>
      </c>
      <c r="K8" s="67" t="n">
        <v>0.5</v>
      </c>
      <c r="L8" s="67" t="n">
        <v>0.5</v>
      </c>
      <c r="M8" s="67" t="n">
        <v>2</v>
      </c>
      <c r="N8" s="67" t="n">
        <v>2</v>
      </c>
      <c r="O8" s="67" t="n">
        <v>0</v>
      </c>
      <c r="P8" s="67" t="n">
        <v>0</v>
      </c>
      <c r="Q8" s="66" t="inlineStr">
        <is>
          <t>Conversion</t>
        </is>
      </c>
      <c r="Z8" s="66">
        <f>"SMALL|"&amp;A8</f>
        <v/>
      </c>
      <c r="AA8" s="66">
        <f>Q8&amp;"|"&amp;Z8</f>
        <v/>
      </c>
    </row>
    <row r="9" ht="15" customHeight="1" s="39">
      <c r="A9" s="67" t="inlineStr">
        <is>
          <t>FM</t>
        </is>
      </c>
      <c r="B9" s="67" t="n">
        <v>5</v>
      </c>
      <c r="C9" s="67" t="n">
        <v>1</v>
      </c>
      <c r="D9" s="67" t="n">
        <v>1</v>
      </c>
      <c r="E9" s="67" t="n">
        <v>1</v>
      </c>
      <c r="F9" s="67" t="n">
        <v>1</v>
      </c>
      <c r="G9" s="67" t="n">
        <v>0.5</v>
      </c>
      <c r="H9" s="67" t="n">
        <v>0.5</v>
      </c>
      <c r="I9" s="67" t="n">
        <v>1</v>
      </c>
      <c r="J9" s="67" t="n">
        <v>1</v>
      </c>
      <c r="K9" s="67" t="n">
        <v>0.5</v>
      </c>
      <c r="L9" s="67" t="n">
        <v>0.5</v>
      </c>
      <c r="M9" s="67" t="n">
        <v>2</v>
      </c>
      <c r="N9" s="67" t="n">
        <v>2</v>
      </c>
      <c r="O9" s="67" t="n">
        <v>0</v>
      </c>
      <c r="P9" s="67" t="n">
        <v>0</v>
      </c>
      <c r="Q9" s="66" t="inlineStr">
        <is>
          <t>Conversion</t>
        </is>
      </c>
      <c r="Z9" s="66">
        <f>"SMALL|"&amp;A9</f>
        <v/>
      </c>
      <c r="AA9" s="66">
        <f>Q9&amp;"|"&amp;Z9</f>
        <v/>
      </c>
    </row>
    <row r="10" ht="15" customHeight="1" s="39">
      <c r="A10" s="67" t="inlineStr">
        <is>
          <t>RM</t>
        </is>
      </c>
      <c r="B10" s="67" t="n">
        <v>0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67" t="n">
        <v>0</v>
      </c>
      <c r="I10" s="67" t="n">
        <v>0</v>
      </c>
      <c r="J10" s="67" t="n">
        <v>0</v>
      </c>
      <c r="K10" s="67" t="n">
        <v>0</v>
      </c>
      <c r="L10" s="67" t="n">
        <v>0</v>
      </c>
      <c r="M10" s="67" t="n">
        <v>0</v>
      </c>
      <c r="N10" s="67" t="n">
        <v>0</v>
      </c>
      <c r="O10" s="67" t="n">
        <v>0</v>
      </c>
      <c r="P10" s="67" t="n">
        <v>0</v>
      </c>
      <c r="Q10" s="66" t="inlineStr">
        <is>
          <t>Conversion</t>
        </is>
      </c>
      <c r="Z10" s="66">
        <f>"SMALL|"&amp;A10</f>
        <v/>
      </c>
      <c r="AA10" s="66">
        <f>Q10&amp;"|"&amp;Z10</f>
        <v/>
      </c>
    </row>
    <row r="11" ht="15" customHeight="1" s="39">
      <c r="A11" s="67" t="inlineStr">
        <is>
          <t>RE/FX</t>
        </is>
      </c>
      <c r="B11" s="67" t="n">
        <v>0</v>
      </c>
      <c r="C11" s="67" t="n">
        <v>0</v>
      </c>
      <c r="D11" s="67" t="n">
        <v>0</v>
      </c>
      <c r="E11" s="67" t="n">
        <v>0</v>
      </c>
      <c r="F11" s="67" t="n">
        <v>0</v>
      </c>
      <c r="G11" s="67" t="n">
        <v>0</v>
      </c>
      <c r="H11" s="67" t="n">
        <v>0</v>
      </c>
      <c r="I11" s="67" t="n">
        <v>0</v>
      </c>
      <c r="J11" s="67" t="n">
        <v>0</v>
      </c>
      <c r="K11" s="67" t="n">
        <v>0</v>
      </c>
      <c r="L11" s="67" t="n">
        <v>0</v>
      </c>
      <c r="M11" s="67" t="n">
        <v>0</v>
      </c>
      <c r="N11" s="67" t="n">
        <v>0</v>
      </c>
      <c r="O11" s="67" t="n">
        <v>0</v>
      </c>
      <c r="P11" s="67" t="n">
        <v>0</v>
      </c>
      <c r="Q11" s="66" t="inlineStr">
        <is>
          <t>Conversion</t>
        </is>
      </c>
      <c r="Z11" s="66">
        <f>"SMALL|"&amp;A11</f>
        <v/>
      </c>
      <c r="AA11" s="66">
        <f>Q11&amp;"|"&amp;Z11</f>
        <v/>
      </c>
    </row>
    <row r="12" ht="15" customHeight="1" s="39">
      <c r="A12" s="67" t="inlineStr">
        <is>
          <t>MM</t>
        </is>
      </c>
      <c r="B12" s="67" t="n">
        <v>24</v>
      </c>
      <c r="C12" s="67" t="n">
        <v>3</v>
      </c>
      <c r="D12" s="67" t="n">
        <v>2</v>
      </c>
      <c r="E12" s="67" t="n">
        <v>3</v>
      </c>
      <c r="F12" s="67" t="n">
        <v>2</v>
      </c>
      <c r="G12" s="67" t="n">
        <v>1</v>
      </c>
      <c r="H12" s="67" t="n">
        <v>1</v>
      </c>
      <c r="I12" s="67" t="n">
        <v>5</v>
      </c>
      <c r="J12" s="67" t="n">
        <v>5</v>
      </c>
      <c r="K12" s="67" t="n">
        <v>1</v>
      </c>
      <c r="L12" s="67" t="n">
        <v>1</v>
      </c>
      <c r="M12" s="67" t="n">
        <v>4</v>
      </c>
      <c r="N12" s="67" t="n">
        <v>4</v>
      </c>
      <c r="O12" s="67" t="n">
        <v>0</v>
      </c>
      <c r="P12" s="67" t="n">
        <v>0</v>
      </c>
      <c r="Q12" s="66" t="inlineStr">
        <is>
          <t>Conversion</t>
        </is>
      </c>
      <c r="Z12" s="66">
        <f>"SMALL|"&amp;A12</f>
        <v/>
      </c>
      <c r="AA12" s="66">
        <f>Q12&amp;"|"&amp;Z12</f>
        <v/>
      </c>
    </row>
    <row r="13" ht="15" customHeight="1" s="39">
      <c r="A13" s="67" t="inlineStr">
        <is>
          <t>PP</t>
        </is>
      </c>
      <c r="B13" s="67" t="n">
        <v>24</v>
      </c>
      <c r="C13" s="67" t="n">
        <v>3</v>
      </c>
      <c r="D13" s="67" t="n">
        <v>2</v>
      </c>
      <c r="E13" s="67" t="n">
        <v>3</v>
      </c>
      <c r="F13" s="67" t="n">
        <v>2</v>
      </c>
      <c r="G13" s="67" t="n">
        <v>1</v>
      </c>
      <c r="H13" s="67" t="n">
        <v>1</v>
      </c>
      <c r="I13" s="67" t="n">
        <v>5</v>
      </c>
      <c r="J13" s="67" t="n">
        <v>5</v>
      </c>
      <c r="K13" s="67" t="n">
        <v>1</v>
      </c>
      <c r="L13" s="67" t="n">
        <v>1</v>
      </c>
      <c r="M13" s="67" t="n">
        <v>4</v>
      </c>
      <c r="N13" s="67" t="n">
        <v>4</v>
      </c>
      <c r="O13" s="67" t="n">
        <v>0</v>
      </c>
      <c r="P13" s="67" t="n">
        <v>0</v>
      </c>
      <c r="Q13" s="66" t="inlineStr">
        <is>
          <t>Conversion</t>
        </is>
      </c>
      <c r="Z13" s="66">
        <f>"SMALL|"&amp;A13</f>
        <v/>
      </c>
      <c r="AA13" s="66">
        <f>Q13&amp;"|"&amp;Z13</f>
        <v/>
      </c>
    </row>
    <row r="14" ht="15" customHeight="1" s="39">
      <c r="A14" s="67" t="inlineStr">
        <is>
          <t>SD</t>
        </is>
      </c>
      <c r="B14" s="67" t="n">
        <v>24</v>
      </c>
      <c r="C14" s="67" t="n">
        <v>3</v>
      </c>
      <c r="D14" s="67" t="n">
        <v>2</v>
      </c>
      <c r="E14" s="67" t="n">
        <v>3</v>
      </c>
      <c r="F14" s="67" t="n">
        <v>2</v>
      </c>
      <c r="G14" s="67" t="n">
        <v>1</v>
      </c>
      <c r="H14" s="67" t="n">
        <v>1</v>
      </c>
      <c r="I14" s="67" t="n">
        <v>5</v>
      </c>
      <c r="J14" s="67" t="n">
        <v>5</v>
      </c>
      <c r="K14" s="67" t="n">
        <v>1</v>
      </c>
      <c r="L14" s="67" t="n">
        <v>1</v>
      </c>
      <c r="M14" s="67" t="n">
        <v>4</v>
      </c>
      <c r="N14" s="67" t="n">
        <v>4</v>
      </c>
      <c r="O14" s="67" t="n">
        <v>0</v>
      </c>
      <c r="P14" s="67" t="n">
        <v>0</v>
      </c>
      <c r="Q14" s="66" t="inlineStr">
        <is>
          <t>Conversion</t>
        </is>
      </c>
      <c r="Z14" s="66">
        <f>"SMALL|"&amp;A14</f>
        <v/>
      </c>
      <c r="AA14" s="66">
        <f>Q14&amp;"|"&amp;Z14</f>
        <v/>
      </c>
    </row>
    <row r="15" ht="15" customHeight="1" s="39">
      <c r="A15" s="67" t="inlineStr">
        <is>
          <t>QM</t>
        </is>
      </c>
      <c r="B15" s="67" t="n">
        <v>15</v>
      </c>
      <c r="C15" s="67" t="n">
        <v>2</v>
      </c>
      <c r="D15" s="67" t="n">
        <v>1</v>
      </c>
      <c r="E15" s="67" t="n">
        <v>2</v>
      </c>
      <c r="F15" s="67" t="n">
        <v>2</v>
      </c>
      <c r="G15" s="67" t="n">
        <v>0.5</v>
      </c>
      <c r="H15" s="67" t="n">
        <v>1</v>
      </c>
      <c r="I15" s="67" t="n">
        <v>3</v>
      </c>
      <c r="J15" s="67" t="n">
        <v>3</v>
      </c>
      <c r="K15" s="67" t="n">
        <v>1</v>
      </c>
      <c r="L15" s="67" t="n">
        <v>0.5</v>
      </c>
      <c r="M15" s="67" t="n">
        <v>4</v>
      </c>
      <c r="N15" s="67" t="n">
        <v>4</v>
      </c>
      <c r="O15" s="67" t="n">
        <v>0</v>
      </c>
      <c r="P15" s="67" t="n">
        <v>0</v>
      </c>
      <c r="Q15" s="66" t="inlineStr">
        <is>
          <t>Conversion</t>
        </is>
      </c>
      <c r="Z15" s="66">
        <f>"SMALL|"&amp;A15</f>
        <v/>
      </c>
      <c r="AA15" s="66">
        <f>Q15&amp;"|"&amp;Z15</f>
        <v/>
      </c>
    </row>
    <row r="16" ht="15" customHeight="1" s="39">
      <c r="A16" s="67" t="inlineStr">
        <is>
          <t>PM</t>
        </is>
      </c>
      <c r="B16" s="67" t="n">
        <v>12</v>
      </c>
      <c r="C16" s="67" t="n">
        <v>2</v>
      </c>
      <c r="D16" s="67" t="n">
        <v>1</v>
      </c>
      <c r="E16" s="67" t="n">
        <v>2</v>
      </c>
      <c r="F16" s="67" t="n">
        <v>2</v>
      </c>
      <c r="G16" s="67" t="n">
        <v>0.5</v>
      </c>
      <c r="H16" s="67" t="n">
        <v>1</v>
      </c>
      <c r="I16" s="67" t="n">
        <v>3</v>
      </c>
      <c r="J16" s="67" t="n">
        <v>3</v>
      </c>
      <c r="K16" s="67" t="n">
        <v>1</v>
      </c>
      <c r="L16" s="67" t="n">
        <v>0.5</v>
      </c>
      <c r="M16" s="67" t="n">
        <v>4</v>
      </c>
      <c r="N16" s="67" t="n">
        <v>4</v>
      </c>
      <c r="O16" s="67" t="n">
        <v>0</v>
      </c>
      <c r="P16" s="67" t="n">
        <v>0</v>
      </c>
      <c r="Q16" s="66" t="inlineStr">
        <is>
          <t>Conversion</t>
        </is>
      </c>
      <c r="Z16" s="66">
        <f>"SMALL|"&amp;A16</f>
        <v/>
      </c>
      <c r="AA16" s="66">
        <f>Q16&amp;"|"&amp;Z16</f>
        <v/>
      </c>
    </row>
    <row r="17" ht="15" customHeight="1" s="39">
      <c r="A17" s="67" t="inlineStr">
        <is>
          <t>PS</t>
        </is>
      </c>
      <c r="B17" s="67" t="n">
        <v>12</v>
      </c>
      <c r="C17" s="67" t="n">
        <v>2</v>
      </c>
      <c r="D17" s="67" t="n">
        <v>1</v>
      </c>
      <c r="E17" s="67" t="n">
        <v>2</v>
      </c>
      <c r="F17" s="67" t="n">
        <v>2</v>
      </c>
      <c r="G17" s="67" t="n">
        <v>0.5</v>
      </c>
      <c r="H17" s="67" t="n">
        <v>1</v>
      </c>
      <c r="I17" s="67" t="n">
        <v>3</v>
      </c>
      <c r="J17" s="67" t="n">
        <v>3</v>
      </c>
      <c r="K17" s="67" t="n">
        <v>1</v>
      </c>
      <c r="L17" s="67" t="n">
        <v>0.5</v>
      </c>
      <c r="M17" s="67" t="n">
        <v>4</v>
      </c>
      <c r="N17" s="67" t="n">
        <v>4</v>
      </c>
      <c r="O17" s="67" t="n">
        <v>0</v>
      </c>
      <c r="P17" s="67" t="n">
        <v>0</v>
      </c>
      <c r="Q17" s="66" t="inlineStr">
        <is>
          <t>Conversion</t>
        </is>
      </c>
      <c r="Z17" s="66">
        <f>"SMALL|"&amp;A17</f>
        <v/>
      </c>
      <c r="AA17" s="66">
        <f>Q17&amp;"|"&amp;Z17</f>
        <v/>
      </c>
    </row>
    <row r="18" ht="15" customHeight="1" s="39">
      <c r="A18" s="67" t="inlineStr">
        <is>
          <t>MII/DM</t>
        </is>
      </c>
      <c r="B18" s="67" t="n">
        <v>0</v>
      </c>
      <c r="C18" s="67" t="n">
        <v>0</v>
      </c>
      <c r="D18" s="67" t="n">
        <v>0</v>
      </c>
      <c r="E18" s="67" t="n">
        <v>0</v>
      </c>
      <c r="F18" s="67" t="n">
        <v>0</v>
      </c>
      <c r="G18" s="67" t="n">
        <v>0</v>
      </c>
      <c r="H18" s="67" t="n">
        <v>0</v>
      </c>
      <c r="I18" s="67" t="n">
        <v>0</v>
      </c>
      <c r="J18" s="67" t="n">
        <v>0</v>
      </c>
      <c r="K18" s="67" t="n">
        <v>0</v>
      </c>
      <c r="L18" s="67" t="n">
        <v>0</v>
      </c>
      <c r="M18" s="67" t="n">
        <v>0</v>
      </c>
      <c r="N18" s="67" t="n">
        <v>0</v>
      </c>
      <c r="O18" s="67" t="n">
        <v>0</v>
      </c>
      <c r="P18" s="67" t="n">
        <v>0</v>
      </c>
      <c r="Q18" s="66" t="inlineStr">
        <is>
          <t>Conversion</t>
        </is>
      </c>
      <c r="Z18" s="66">
        <f>"SMALL|"&amp;A18</f>
        <v/>
      </c>
      <c r="AA18" s="66">
        <f>Q18&amp;"|"&amp;Z18</f>
        <v/>
      </c>
    </row>
    <row r="19" ht="15" customHeight="1" s="39">
      <c r="A19" s="67" t="inlineStr">
        <is>
          <t>PM Mobility</t>
        </is>
      </c>
      <c r="B19" s="67" t="n">
        <v>0</v>
      </c>
      <c r="C19" s="67" t="n">
        <v>0</v>
      </c>
      <c r="D19" s="67" t="n">
        <v>0</v>
      </c>
      <c r="E19" s="67" t="n">
        <v>0</v>
      </c>
      <c r="F19" s="67" t="n">
        <v>0</v>
      </c>
      <c r="G19" s="67" t="n">
        <v>0</v>
      </c>
      <c r="H19" s="67" t="n">
        <v>0</v>
      </c>
      <c r="I19" s="67" t="n">
        <v>0</v>
      </c>
      <c r="J19" s="67" t="n">
        <v>0</v>
      </c>
      <c r="K19" s="67" t="n">
        <v>0</v>
      </c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0</v>
      </c>
      <c r="Q19" s="66" t="inlineStr">
        <is>
          <t>Conversion</t>
        </is>
      </c>
      <c r="Z19" s="66">
        <f>"SMALL|"&amp;A19</f>
        <v/>
      </c>
      <c r="AA19" s="66">
        <f>Q19&amp;"|"&amp;Z19</f>
        <v/>
      </c>
    </row>
    <row r="20" ht="15" customHeight="1" s="39">
      <c r="A20" s="67" t="inlineStr">
        <is>
          <t>Basic EWM</t>
        </is>
      </c>
      <c r="B20" s="67" t="n">
        <v>24</v>
      </c>
      <c r="C20" s="67" t="n">
        <v>3</v>
      </c>
      <c r="D20" s="67" t="n">
        <v>2</v>
      </c>
      <c r="E20" s="67" t="n">
        <v>3</v>
      </c>
      <c r="F20" s="67" t="n">
        <v>2</v>
      </c>
      <c r="G20" s="67" t="n">
        <v>1</v>
      </c>
      <c r="H20" s="67" t="n">
        <v>1</v>
      </c>
      <c r="I20" s="67" t="n">
        <v>5</v>
      </c>
      <c r="J20" s="67" t="n">
        <v>5</v>
      </c>
      <c r="K20" s="67" t="n">
        <v>1</v>
      </c>
      <c r="L20" s="67" t="n">
        <v>1</v>
      </c>
      <c r="M20" s="67" t="n">
        <v>4</v>
      </c>
      <c r="N20" s="67" t="n">
        <v>4</v>
      </c>
      <c r="O20" s="67" t="n">
        <v>0</v>
      </c>
      <c r="P20" s="67" t="n">
        <v>0</v>
      </c>
      <c r="Q20" s="66" t="inlineStr">
        <is>
          <t>Conversion</t>
        </is>
      </c>
      <c r="Z20" s="66">
        <f>"SMALL|"&amp;A20</f>
        <v/>
      </c>
      <c r="AA20" s="66">
        <f>Q20&amp;"|"&amp;Z20</f>
        <v/>
      </c>
    </row>
    <row r="21" ht="15" customHeight="1" s="39">
      <c r="A21" s="67" t="inlineStr">
        <is>
          <t>Advanced EWM</t>
        </is>
      </c>
      <c r="B21" s="67" t="n">
        <v>0</v>
      </c>
      <c r="C21" s="67" t="n">
        <v>0</v>
      </c>
      <c r="D21" s="67" t="n">
        <v>0</v>
      </c>
      <c r="E21" s="67" t="n">
        <v>0</v>
      </c>
      <c r="F21" s="67" t="n">
        <v>0</v>
      </c>
      <c r="G21" s="67" t="n">
        <v>0</v>
      </c>
      <c r="H21" s="67" t="n">
        <v>0</v>
      </c>
      <c r="I21" s="67" t="n">
        <v>0</v>
      </c>
      <c r="J21" s="67" t="n">
        <v>0</v>
      </c>
      <c r="K21" s="67" t="n">
        <v>0</v>
      </c>
      <c r="L21" s="67" t="n">
        <v>0</v>
      </c>
      <c r="M21" s="67" t="n">
        <v>0</v>
      </c>
      <c r="N21" s="67" t="n">
        <v>0</v>
      </c>
      <c r="O21" s="67" t="n">
        <v>0</v>
      </c>
      <c r="P21" s="67" t="n">
        <v>0</v>
      </c>
      <c r="Q21" s="66" t="inlineStr">
        <is>
          <t>Conversion</t>
        </is>
      </c>
      <c r="Z21" s="66">
        <f>"SMALL|"&amp;A21</f>
        <v/>
      </c>
      <c r="AA21" s="66">
        <f>Q21&amp;"|"&amp;Z21</f>
        <v/>
      </c>
    </row>
    <row r="22" ht="15" customHeight="1" s="39">
      <c r="A22" s="67" t="inlineStr">
        <is>
          <t>TM</t>
        </is>
      </c>
      <c r="B22" s="67" t="n">
        <v>15</v>
      </c>
      <c r="C22" s="67" t="n">
        <v>3</v>
      </c>
      <c r="D22" s="67" t="n">
        <v>1</v>
      </c>
      <c r="E22" s="67" t="n">
        <v>2</v>
      </c>
      <c r="F22" s="67" t="n">
        <v>2</v>
      </c>
      <c r="G22" s="67" t="n">
        <v>0.5</v>
      </c>
      <c r="H22" s="67" t="n">
        <v>1</v>
      </c>
      <c r="I22" s="67" t="n">
        <v>4</v>
      </c>
      <c r="J22" s="67" t="n">
        <v>4</v>
      </c>
      <c r="K22" s="67" t="n">
        <v>1</v>
      </c>
      <c r="L22" s="67" t="n">
        <v>1</v>
      </c>
      <c r="M22" s="67" t="n">
        <v>4</v>
      </c>
      <c r="N22" s="67" t="n">
        <v>4</v>
      </c>
      <c r="O22" s="67" t="n">
        <v>0</v>
      </c>
      <c r="P22" s="67" t="n">
        <v>0</v>
      </c>
      <c r="Q22" s="66" t="inlineStr">
        <is>
          <t>Conversion</t>
        </is>
      </c>
      <c r="Z22" s="66">
        <f>"SMALL|"&amp;A22</f>
        <v/>
      </c>
      <c r="AA22" s="66">
        <f>Q22&amp;"|"&amp;Z22</f>
        <v/>
      </c>
    </row>
    <row r="23" ht="15" customHeight="1" s="39">
      <c r="A23" s="67" t="inlineStr">
        <is>
          <t>PPDS</t>
        </is>
      </c>
      <c r="B23" s="67" t="n">
        <v>16</v>
      </c>
      <c r="C23" s="67" t="n">
        <v>2</v>
      </c>
      <c r="D23" s="67" t="n">
        <v>2</v>
      </c>
      <c r="E23" s="67" t="n">
        <v>3</v>
      </c>
      <c r="F23" s="67" t="n">
        <v>3</v>
      </c>
      <c r="G23" s="67" t="n">
        <v>0.5</v>
      </c>
      <c r="H23" s="67" t="n">
        <v>0.5</v>
      </c>
      <c r="I23" s="67" t="n">
        <v>3</v>
      </c>
      <c r="J23" s="67" t="n">
        <v>3</v>
      </c>
      <c r="K23" s="67" t="n">
        <v>0.5</v>
      </c>
      <c r="L23" s="67" t="n">
        <v>0.5</v>
      </c>
      <c r="M23" s="67" t="n">
        <v>2</v>
      </c>
      <c r="N23" s="67" t="n">
        <v>2</v>
      </c>
      <c r="O23" s="67" t="n">
        <v>0</v>
      </c>
      <c r="P23" s="67" t="n">
        <v>0</v>
      </c>
      <c r="Q23" s="66" t="inlineStr">
        <is>
          <t>Conversion</t>
        </is>
      </c>
      <c r="Z23" s="66">
        <f>"SMALL|"&amp;A23</f>
        <v/>
      </c>
      <c r="AA23" s="66">
        <f>Q23&amp;"|"&amp;Z23</f>
        <v/>
      </c>
    </row>
    <row r="24" ht="15" customHeight="1" s="39">
      <c r="A24" s="67" t="inlineStr">
        <is>
          <t>ABAP</t>
        </is>
      </c>
      <c r="B24" s="67" t="n">
        <v>0</v>
      </c>
      <c r="C24" s="67" t="n">
        <v>0</v>
      </c>
      <c r="D24" s="67" t="n">
        <v>0</v>
      </c>
      <c r="E24" s="67" t="n">
        <v>0</v>
      </c>
      <c r="F24" s="67" t="n">
        <v>0</v>
      </c>
      <c r="G24" s="67" t="n">
        <v>0</v>
      </c>
      <c r="H24" s="67" t="n">
        <v>0</v>
      </c>
      <c r="I24" s="67" t="n">
        <v>0</v>
      </c>
      <c r="J24" s="67" t="n">
        <v>0</v>
      </c>
      <c r="K24" s="67" t="n">
        <v>0</v>
      </c>
      <c r="L24" s="67" t="n">
        <v>0</v>
      </c>
      <c r="M24" s="67" t="n">
        <v>0</v>
      </c>
      <c r="N24" s="67" t="n">
        <v>0</v>
      </c>
      <c r="O24" s="67" t="n">
        <v>0</v>
      </c>
      <c r="P24" s="67" t="n">
        <v>0</v>
      </c>
      <c r="Q24" s="66" t="inlineStr">
        <is>
          <t>Conversion</t>
        </is>
      </c>
      <c r="Z24" s="66">
        <f>"SMALL|"&amp;A24</f>
        <v/>
      </c>
      <c r="AA24" s="66">
        <f>Q24&amp;"|"&amp;Z24</f>
        <v/>
      </c>
    </row>
    <row r="25" ht="15" customHeight="1" s="39">
      <c r="A25" s="67" t="inlineStr">
        <is>
          <t>BASIS</t>
        </is>
      </c>
      <c r="B25" s="67" t="n">
        <v>0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67" t="n">
        <v>0</v>
      </c>
      <c r="I25" s="67" t="n">
        <v>0</v>
      </c>
      <c r="J25" s="67" t="n">
        <v>0</v>
      </c>
      <c r="K25" s="67" t="n">
        <v>0</v>
      </c>
      <c r="L25" s="67" t="n">
        <v>0</v>
      </c>
      <c r="M25" s="67" t="n">
        <v>0</v>
      </c>
      <c r="N25" s="67" t="n">
        <v>0</v>
      </c>
      <c r="O25" s="67" t="n">
        <v>0</v>
      </c>
      <c r="P25" s="67" t="n">
        <v>0</v>
      </c>
      <c r="Q25" s="66" t="inlineStr">
        <is>
          <t>Conversion</t>
        </is>
      </c>
      <c r="Z25" s="66">
        <f>"SMALL|"&amp;A25</f>
        <v/>
      </c>
      <c r="AA25" s="66">
        <f>Q25&amp;"|"&amp;Z25</f>
        <v/>
      </c>
    </row>
    <row r="26" ht="15" customHeight="1" s="39">
      <c r="A26" s="67" t="inlineStr">
        <is>
          <t>E-Fatura/Arşiv</t>
        </is>
      </c>
      <c r="B26" s="67" t="n">
        <v>3</v>
      </c>
      <c r="C26" s="67" t="n">
        <v>1</v>
      </c>
      <c r="D26" s="67" t="n">
        <v>0</v>
      </c>
      <c r="E26" s="67" t="n">
        <v>1</v>
      </c>
      <c r="F26" s="67" t="n">
        <v>2</v>
      </c>
      <c r="G26" s="67" t="n">
        <v>1</v>
      </c>
      <c r="H26" s="67" t="n">
        <v>1</v>
      </c>
      <c r="I26" s="67" t="n">
        <v>3</v>
      </c>
      <c r="J26" s="67" t="n">
        <v>3</v>
      </c>
      <c r="K26" s="67" t="n">
        <v>0</v>
      </c>
      <c r="L26" s="67" t="n">
        <v>1</v>
      </c>
      <c r="M26" s="67" t="n">
        <v>1</v>
      </c>
      <c r="N26" s="67" t="n">
        <v>0</v>
      </c>
      <c r="O26" s="67" t="n">
        <v>0</v>
      </c>
      <c r="P26" s="67" t="n">
        <v>0</v>
      </c>
      <c r="Q26" s="66" t="inlineStr">
        <is>
          <t>Conversion</t>
        </is>
      </c>
      <c r="Z26" s="66">
        <f>"SMALL|"&amp;A26</f>
        <v/>
      </c>
      <c r="AA26" s="66">
        <f>Q26&amp;"|"&amp;Z26</f>
        <v/>
      </c>
    </row>
    <row r="27" ht="15" customHeight="1" s="39">
      <c r="A27" s="67" t="inlineStr">
        <is>
          <t>E-İrsaliye</t>
        </is>
      </c>
      <c r="B27" s="67" t="n">
        <v>3</v>
      </c>
      <c r="C27" s="67" t="n">
        <v>1</v>
      </c>
      <c r="D27" s="67" t="n">
        <v>0</v>
      </c>
      <c r="E27" s="67" t="n">
        <v>1</v>
      </c>
      <c r="F27" s="67" t="n">
        <v>2</v>
      </c>
      <c r="G27" s="67" t="n">
        <v>1</v>
      </c>
      <c r="H27" s="67" t="n">
        <v>1</v>
      </c>
      <c r="I27" s="67" t="n">
        <v>3</v>
      </c>
      <c r="J27" s="67" t="n">
        <v>3</v>
      </c>
      <c r="K27" s="67" t="n">
        <v>0</v>
      </c>
      <c r="L27" s="67" t="n">
        <v>1</v>
      </c>
      <c r="M27" s="67" t="n">
        <v>1</v>
      </c>
      <c r="N27" s="67" t="n">
        <v>0</v>
      </c>
      <c r="O27" s="67" t="n">
        <v>0</v>
      </c>
      <c r="P27" s="67" t="n">
        <v>0</v>
      </c>
      <c r="Q27" s="66" t="inlineStr">
        <is>
          <t>Conversion</t>
        </is>
      </c>
      <c r="Z27" s="66">
        <f>"SMALL|"&amp;A27</f>
        <v/>
      </c>
      <c r="AA27" s="66">
        <f>Q27&amp;"|"&amp;Z27</f>
        <v/>
      </c>
    </row>
    <row r="28" ht="15" customHeight="1" s="39">
      <c r="A28" s="67" t="inlineStr">
        <is>
          <t>E-Defter</t>
        </is>
      </c>
      <c r="B28" s="67" t="n">
        <v>2</v>
      </c>
      <c r="C28" s="67" t="n">
        <v>1</v>
      </c>
      <c r="D28" s="67" t="n">
        <v>0</v>
      </c>
      <c r="E28" s="67" t="n">
        <v>1</v>
      </c>
      <c r="F28" s="67" t="n">
        <v>2</v>
      </c>
      <c r="G28" s="67" t="n">
        <v>1</v>
      </c>
      <c r="H28" s="67" t="n">
        <v>1</v>
      </c>
      <c r="I28" s="67" t="n">
        <v>0</v>
      </c>
      <c r="J28" s="67" t="n">
        <v>0</v>
      </c>
      <c r="K28" s="67" t="n">
        <v>0</v>
      </c>
      <c r="L28" s="67" t="n">
        <v>2</v>
      </c>
      <c r="M28" s="67" t="n">
        <v>1</v>
      </c>
      <c r="N28" s="67" t="n">
        <v>0</v>
      </c>
      <c r="O28" s="67" t="n">
        <v>0</v>
      </c>
      <c r="P28" s="67" t="n">
        <v>0</v>
      </c>
      <c r="Q28" s="66" t="inlineStr">
        <is>
          <t>Conversion</t>
        </is>
      </c>
      <c r="Z28" s="66">
        <f>"SMALL|"&amp;A28</f>
        <v/>
      </c>
      <c r="AA28" s="66">
        <f>Q28&amp;"|"&amp;Z28</f>
        <v/>
      </c>
    </row>
    <row r="29" ht="15" customHeight="1" s="39">
      <c r="A29" s="67" t="inlineStr">
        <is>
          <t>E-Hesap Özeti</t>
        </is>
      </c>
      <c r="B29" s="67" t="n">
        <v>4</v>
      </c>
      <c r="C29" s="67" t="n">
        <v>1</v>
      </c>
      <c r="D29" s="67" t="n">
        <v>0</v>
      </c>
      <c r="E29" s="67" t="n">
        <v>3</v>
      </c>
      <c r="F29" s="67" t="n">
        <v>3</v>
      </c>
      <c r="G29" s="67" t="n">
        <v>1</v>
      </c>
      <c r="H29" s="67" t="n">
        <v>0</v>
      </c>
      <c r="I29" s="67" t="n">
        <v>2</v>
      </c>
      <c r="J29" s="67" t="n">
        <v>2</v>
      </c>
      <c r="K29" s="67" t="n">
        <v>0</v>
      </c>
      <c r="L29" s="67" t="n">
        <v>1</v>
      </c>
      <c r="M29" s="67" t="n">
        <v>1</v>
      </c>
      <c r="N29" s="67" t="n">
        <v>0</v>
      </c>
      <c r="O29" s="67" t="n">
        <v>0</v>
      </c>
      <c r="P29" s="67" t="n">
        <v>0</v>
      </c>
      <c r="Q29" s="66" t="inlineStr">
        <is>
          <t>Conversion</t>
        </is>
      </c>
      <c r="Z29" s="66">
        <f>"SMALL|"&amp;A29</f>
        <v/>
      </c>
      <c r="AA29" s="66">
        <f>Q29&amp;"|"&amp;Z29</f>
        <v/>
      </c>
    </row>
    <row r="30" ht="15" customHeight="1" s="39">
      <c r="A30" s="67" t="inlineStr">
        <is>
          <t>E-Ödeme</t>
        </is>
      </c>
      <c r="B30" s="67" t="n">
        <v>4</v>
      </c>
      <c r="C30" s="67" t="n">
        <v>1</v>
      </c>
      <c r="D30" s="67" t="n">
        <v>0</v>
      </c>
      <c r="E30" s="67" t="n">
        <v>3</v>
      </c>
      <c r="F30" s="67" t="n">
        <v>3</v>
      </c>
      <c r="G30" s="67" t="n">
        <v>1</v>
      </c>
      <c r="H30" s="67" t="n">
        <v>0</v>
      </c>
      <c r="I30" s="67" t="n">
        <v>2</v>
      </c>
      <c r="J30" s="67" t="n">
        <v>2</v>
      </c>
      <c r="K30" s="67" t="n">
        <v>0</v>
      </c>
      <c r="L30" s="67" t="n">
        <v>1</v>
      </c>
      <c r="M30" s="67" t="n">
        <v>1</v>
      </c>
      <c r="N30" s="67" t="n">
        <v>0</v>
      </c>
      <c r="O30" s="67" t="n">
        <v>0</v>
      </c>
      <c r="P30" s="67" t="n">
        <v>0</v>
      </c>
      <c r="Q30" s="66" t="inlineStr">
        <is>
          <t>Conversion</t>
        </is>
      </c>
      <c r="Z30" s="66">
        <f>"SMALL|"&amp;A30</f>
        <v/>
      </c>
      <c r="AA30" s="66">
        <f>Q30&amp;"|"&amp;Z30</f>
        <v/>
      </c>
    </row>
    <row r="31" ht="15" customHeight="1" s="39">
      <c r="A31" s="67" t="inlineStr">
        <is>
          <t>E-Mutabakat</t>
        </is>
      </c>
      <c r="B31" s="67" t="n">
        <v>2</v>
      </c>
      <c r="C31" s="67" t="n">
        <v>1</v>
      </c>
      <c r="D31" s="67" t="n">
        <v>0</v>
      </c>
      <c r="E31" s="67" t="n">
        <v>3</v>
      </c>
      <c r="F31" s="67" t="n">
        <v>3</v>
      </c>
      <c r="G31" s="67" t="n">
        <v>1</v>
      </c>
      <c r="H31" s="67" t="n">
        <v>0</v>
      </c>
      <c r="I31" s="67" t="n">
        <v>2</v>
      </c>
      <c r="J31" s="67" t="n">
        <v>2</v>
      </c>
      <c r="K31" s="67" t="n">
        <v>0</v>
      </c>
      <c r="L31" s="67" t="n">
        <v>1</v>
      </c>
      <c r="M31" s="67" t="n">
        <v>1</v>
      </c>
      <c r="N31" s="67" t="n">
        <v>0</v>
      </c>
      <c r="O31" s="67" t="n">
        <v>0</v>
      </c>
      <c r="P31" s="67" t="n">
        <v>0</v>
      </c>
      <c r="Q31" s="66" t="inlineStr">
        <is>
          <t>Conversion</t>
        </is>
      </c>
      <c r="Z31" s="66">
        <f>"SMALL|"&amp;A31</f>
        <v/>
      </c>
      <c r="AA31" s="66">
        <f>Q31&amp;"|"&amp;Z31</f>
        <v/>
      </c>
    </row>
    <row r="32" ht="15" customHeight="1" s="39">
      <c r="A32" s="67" t="inlineStr">
        <is>
          <t>E-Beyanname</t>
        </is>
      </c>
      <c r="B32" s="67" t="n">
        <v>4</v>
      </c>
      <c r="C32" s="67" t="n">
        <v>2</v>
      </c>
      <c r="D32" s="67" t="n">
        <v>0</v>
      </c>
      <c r="E32" s="67" t="n">
        <v>4</v>
      </c>
      <c r="F32" s="67" t="n">
        <v>3</v>
      </c>
      <c r="G32" s="67" t="n">
        <v>1</v>
      </c>
      <c r="H32" s="67" t="n">
        <v>0</v>
      </c>
      <c r="I32" s="67" t="n">
        <v>0</v>
      </c>
      <c r="J32" s="67" t="n">
        <v>0</v>
      </c>
      <c r="K32" s="67" t="n">
        <v>0</v>
      </c>
      <c r="L32" s="67" t="n">
        <v>1</v>
      </c>
      <c r="M32" s="67" t="n">
        <v>1</v>
      </c>
      <c r="N32" s="67" t="n">
        <v>0</v>
      </c>
      <c r="O32" s="67" t="n">
        <v>0</v>
      </c>
      <c r="P32" s="67" t="n">
        <v>0</v>
      </c>
      <c r="Q32" s="66" t="inlineStr">
        <is>
          <t>Conversion</t>
        </is>
      </c>
      <c r="Z32" s="66">
        <f>"SMALL|"&amp;A32</f>
        <v/>
      </c>
      <c r="AA32" s="66">
        <f>Q32&amp;"|"&amp;Z32</f>
        <v/>
      </c>
    </row>
    <row r="33" ht="15" customHeight="1" s="39">
      <c r="A33" s="67" t="inlineStr">
        <is>
          <t>Gelen Fatura Otomasyon</t>
        </is>
      </c>
      <c r="B33" s="67" t="n">
        <v>4</v>
      </c>
      <c r="C33" s="67" t="n">
        <v>1</v>
      </c>
      <c r="D33" s="67" t="n">
        <v>0</v>
      </c>
      <c r="E33" s="67" t="n">
        <v>3</v>
      </c>
      <c r="F33" s="67" t="n">
        <v>3</v>
      </c>
      <c r="G33" s="67" t="n">
        <v>1</v>
      </c>
      <c r="H33" s="67" t="n">
        <v>0</v>
      </c>
      <c r="I33" s="67" t="n">
        <v>2</v>
      </c>
      <c r="J33" s="67" t="n">
        <v>2</v>
      </c>
      <c r="K33" s="67" t="n">
        <v>0</v>
      </c>
      <c r="L33" s="67" t="n">
        <v>1</v>
      </c>
      <c r="M33" s="67" t="n">
        <v>1</v>
      </c>
      <c r="N33" s="67" t="n">
        <v>0</v>
      </c>
      <c r="O33" s="67" t="n">
        <v>0</v>
      </c>
      <c r="P33" s="67" t="n">
        <v>0</v>
      </c>
      <c r="Q33" s="66" t="inlineStr">
        <is>
          <t>Conversion</t>
        </is>
      </c>
      <c r="Z33" s="66">
        <f>"SMALL|"&amp;A33</f>
        <v/>
      </c>
      <c r="AA33" s="66">
        <f>Q33&amp;"|"&amp;Z33</f>
        <v/>
      </c>
    </row>
    <row r="34" ht="15" customHeight="1" s="39">
      <c r="A34" s="67" t="inlineStr">
        <is>
          <t>GLASSWING</t>
        </is>
      </c>
      <c r="B34" s="67" t="n">
        <v>20</v>
      </c>
      <c r="C34" s="67" t="n">
        <v>2</v>
      </c>
      <c r="D34" s="67" t="n">
        <v>1</v>
      </c>
      <c r="E34" s="67" t="n">
        <v>5</v>
      </c>
      <c r="F34" s="67" t="n">
        <v>4</v>
      </c>
      <c r="G34" s="67" t="n">
        <v>1</v>
      </c>
      <c r="H34" s="67" t="n">
        <v>0</v>
      </c>
      <c r="I34" s="67" t="n">
        <v>8</v>
      </c>
      <c r="J34" s="67" t="n">
        <v>10</v>
      </c>
      <c r="K34" s="67" t="n">
        <v>4</v>
      </c>
      <c r="L34" s="67" t="n">
        <v>1</v>
      </c>
      <c r="M34" s="67" t="n">
        <v>1</v>
      </c>
      <c r="N34" s="67" t="n">
        <v>3</v>
      </c>
      <c r="O34" s="67" t="n">
        <v>0</v>
      </c>
      <c r="P34" s="67" t="n">
        <v>0</v>
      </c>
      <c r="Q34" s="66" t="inlineStr">
        <is>
          <t>Conversion</t>
        </is>
      </c>
      <c r="Z34" s="66">
        <f>"SMALL|"&amp;A34</f>
        <v/>
      </c>
      <c r="AA34" s="66">
        <f>Q34&amp;"|"&amp;Z34</f>
        <v/>
      </c>
    </row>
    <row r="35" ht="15" customHeight="1" s="39">
      <c r="A35" s="67" t="inlineStr">
        <is>
          <t>COMMODITY</t>
        </is>
      </c>
      <c r="B35" s="67" t="n">
        <v>42</v>
      </c>
      <c r="C35" s="67" t="n">
        <v>6</v>
      </c>
      <c r="D35" s="67" t="n">
        <v>2</v>
      </c>
      <c r="E35" s="67" t="n">
        <v>5</v>
      </c>
      <c r="F35" s="67" t="n">
        <v>6</v>
      </c>
      <c r="G35" s="67" t="n">
        <v>2</v>
      </c>
      <c r="H35" s="67" t="n">
        <v>1</v>
      </c>
      <c r="I35" s="67" t="n">
        <v>12</v>
      </c>
      <c r="J35" s="67" t="n">
        <v>12</v>
      </c>
      <c r="K35" s="67" t="n">
        <v>2</v>
      </c>
      <c r="L35" s="67" t="n">
        <v>2</v>
      </c>
      <c r="M35" s="67" t="n">
        <v>3</v>
      </c>
      <c r="N35" s="67" t="n">
        <v>5</v>
      </c>
      <c r="O35" s="67" t="n">
        <v>0</v>
      </c>
      <c r="P35" s="67" t="n">
        <v>0</v>
      </c>
      <c r="Q35" s="66" t="inlineStr">
        <is>
          <t>Conversion</t>
        </is>
      </c>
      <c r="Z35" s="66">
        <f>"SMALL|"&amp;A35</f>
        <v/>
      </c>
      <c r="AA35" s="66">
        <f>Q35&amp;"|"&amp;Z35</f>
        <v/>
      </c>
    </row>
    <row r="36" ht="15" customHeight="1" s="39">
      <c r="A36" s="67" t="inlineStr">
        <is>
          <t>Dış Ticaret Çözümü</t>
        </is>
      </c>
      <c r="B36" s="67" t="n">
        <v>0</v>
      </c>
      <c r="C36" s="67" t="n">
        <v>0</v>
      </c>
      <c r="D36" s="67" t="n">
        <v>0</v>
      </c>
      <c r="E36" s="67" t="n">
        <v>0</v>
      </c>
      <c r="F36" s="67" t="n">
        <v>0</v>
      </c>
      <c r="G36" s="67" t="n">
        <v>0</v>
      </c>
      <c r="H36" s="67" t="n">
        <v>0</v>
      </c>
      <c r="I36" s="67" t="n">
        <v>0</v>
      </c>
      <c r="J36" s="67" t="n">
        <v>0</v>
      </c>
      <c r="K36" s="67" t="n">
        <v>0</v>
      </c>
      <c r="L36" s="67" t="n">
        <v>0</v>
      </c>
      <c r="M36" s="67" t="n">
        <v>0</v>
      </c>
      <c r="N36" s="67" t="n">
        <v>0</v>
      </c>
      <c r="O36" s="67" t="n">
        <v>0</v>
      </c>
      <c r="P36" s="67" t="n">
        <v>0</v>
      </c>
      <c r="Q36" s="66" t="inlineStr">
        <is>
          <t>Conversion</t>
        </is>
      </c>
      <c r="Z36" s="66">
        <f>"SMALL|"&amp;A36</f>
        <v/>
      </c>
      <c r="AA36" s="66">
        <f>Q36&amp;"|"&amp;Z36</f>
        <v/>
      </c>
    </row>
    <row r="37" ht="15" customHeight="1" s="39">
      <c r="A37" s="67" t="inlineStr">
        <is>
          <t>Seyahat ve Masraf Yönetimi</t>
        </is>
      </c>
      <c r="B37" s="67" t="n">
        <v>0</v>
      </c>
      <c r="C37" s="67" t="n">
        <v>0</v>
      </c>
      <c r="D37" s="67" t="n">
        <v>0</v>
      </c>
      <c r="E37" s="67" t="n">
        <v>0</v>
      </c>
      <c r="F37" s="67" t="n">
        <v>0</v>
      </c>
      <c r="G37" s="67" t="n">
        <v>0</v>
      </c>
      <c r="H37" s="67" t="n">
        <v>0</v>
      </c>
      <c r="I37" s="67" t="n">
        <v>0</v>
      </c>
      <c r="J37" s="67" t="n">
        <v>0</v>
      </c>
      <c r="K37" s="67" t="n">
        <v>0</v>
      </c>
      <c r="L37" s="67" t="n">
        <v>0</v>
      </c>
      <c r="M37" s="67" t="n">
        <v>0</v>
      </c>
      <c r="N37" s="67" t="n">
        <v>0</v>
      </c>
      <c r="O37" s="67" t="n">
        <v>0</v>
      </c>
      <c r="P37" s="67" t="n">
        <v>0</v>
      </c>
      <c r="Q37" s="66" t="inlineStr">
        <is>
          <t>Conversion</t>
        </is>
      </c>
      <c r="Z37" s="66">
        <f>"SMALL|"&amp;A37</f>
        <v/>
      </c>
      <c r="AA37" s="66">
        <f>Q37&amp;"|"&amp;Z37</f>
        <v/>
      </c>
    </row>
    <row r="38" ht="15" customHeight="1" s="39">
      <c r="A38" s="67" t="inlineStr">
        <is>
          <t>NTT Data POS</t>
        </is>
      </c>
      <c r="B38" s="67" t="n">
        <v>0</v>
      </c>
      <c r="C38" s="67" t="n">
        <v>0</v>
      </c>
      <c r="D38" s="67" t="n">
        <v>0</v>
      </c>
      <c r="E38" s="67" t="n">
        <v>0</v>
      </c>
      <c r="F38" s="67" t="n">
        <v>0</v>
      </c>
      <c r="G38" s="67" t="n">
        <v>0</v>
      </c>
      <c r="H38" s="67" t="n">
        <v>0</v>
      </c>
      <c r="I38" s="67" t="n">
        <v>0</v>
      </c>
      <c r="J38" s="67" t="n">
        <v>0</v>
      </c>
      <c r="K38" s="67" t="n">
        <v>0</v>
      </c>
      <c r="L38" s="67" t="n">
        <v>0</v>
      </c>
      <c r="M38" s="67" t="n">
        <v>0</v>
      </c>
      <c r="N38" s="67" t="n">
        <v>0</v>
      </c>
      <c r="O38" s="67" t="n">
        <v>0</v>
      </c>
      <c r="P38" s="67" t="n">
        <v>0</v>
      </c>
      <c r="Q38" s="66" t="inlineStr">
        <is>
          <t>Conversion</t>
        </is>
      </c>
      <c r="Z38" s="66">
        <f>"SMALL|"&amp;A38</f>
        <v/>
      </c>
      <c r="AA38" s="66">
        <f>Q38&amp;"|"&amp;Z38</f>
        <v/>
      </c>
    </row>
    <row r="40" ht="15" customHeight="1" s="39">
      <c r="A40" s="68" t="inlineStr">
        <is>
          <t>MEDIUM</t>
        </is>
      </c>
      <c r="Q40" s="68" t="inlineStr">
        <is>
          <t>Conversion</t>
        </is>
      </c>
    </row>
    <row r="41" ht="15" customHeight="1" s="39">
      <c r="A41" s="67">
        <f>INDEX(Translations!$D:$ZZ, MATCH(74,Translations!$A:$A,0), MATCH('Project Information'!$C$4,Translations!$D$1:$ZZ$1,0))</f>
        <v/>
      </c>
      <c r="B41" s="67">
        <f>INDEX(Translations!$D:$ZZ, MATCH(75,Translations!$A:$A,0), MATCH('Project Information'!$C$4,Translations!$D$1:$ZZ$1,0))</f>
        <v/>
      </c>
      <c r="C41" s="67">
        <f>INDEX(Translations!$D:$ZZ, MATCH(76,Translations!$A:$A,0), MATCH('Project Information'!$C$4,Translations!$D$1:$ZZ$1,0))</f>
        <v/>
      </c>
      <c r="D41" s="67">
        <f>INDEX(Translations!$D:$ZZ, MATCH(77,Translations!$A:$A,0), MATCH('Project Information'!$C$4,Translations!$D$1:$ZZ$1,0))</f>
        <v/>
      </c>
      <c r="E41" s="67">
        <f>INDEX(Translations!$D:$ZZ, MATCH(78,Translations!$A:$A,0), MATCH('Project Information'!$C$4,Translations!$D$1:$ZZ$1,0))</f>
        <v/>
      </c>
      <c r="F41" s="67">
        <f>INDEX(Translations!$D:$ZZ, MATCH(79,Translations!$A:$A,0), MATCH('Project Information'!$C$4,Translations!$D$1:$ZZ$1,0))</f>
        <v/>
      </c>
      <c r="G41" s="67">
        <f>INDEX(Translations!$D:$ZZ, MATCH(80,Translations!$A:$A,0), MATCH('Project Information'!$C$4,Translations!$D$1:$ZZ$1,0))</f>
        <v/>
      </c>
      <c r="H41" s="67">
        <f>INDEX(Translations!$D:$ZZ, MATCH(81,Translations!$A:$A,0), MATCH('Project Information'!$C$4,Translations!$D$1:$ZZ$1,0))</f>
        <v/>
      </c>
      <c r="I41" s="67">
        <f>INDEX(Translations!$D:$ZZ, MATCH(82,Translations!$A:$A,0), MATCH('Project Information'!$C$4,Translations!$D$1:$ZZ$1,0))</f>
        <v/>
      </c>
      <c r="J41" s="67">
        <f>INDEX(Translations!$D:$ZZ, MATCH(83,Translations!$A:$A,0), MATCH('Project Information'!$C$4,Translations!$D$1:$ZZ$1,0))</f>
        <v/>
      </c>
      <c r="K41" s="67">
        <f>INDEX(Translations!$D:$ZZ, MATCH(84,Translations!$A:$A,0), MATCH('Project Information'!$C$4,Translations!$D$1:$ZZ$1,0))</f>
        <v/>
      </c>
      <c r="L41" s="67">
        <f>INDEX(Translations!$D:$ZZ, MATCH(85,Translations!$A:$A,0), MATCH('Project Information'!$C$4,Translations!$D$1:$ZZ$1,0))</f>
        <v/>
      </c>
      <c r="M41" s="67">
        <f>INDEX(Translations!$D:$ZZ, MATCH(86,Translations!$A:$A,0), MATCH('Project Information'!$C$4,Translations!$D$1:$ZZ$1,0))</f>
        <v/>
      </c>
      <c r="N41" s="67">
        <f>INDEX(Translations!$D:$ZZ, MATCH(87,Translations!$A:$A,0), MATCH('Project Information'!$C$4,Translations!$D$1:$ZZ$1,0))</f>
        <v/>
      </c>
      <c r="O41" s="67">
        <f>INDEX(Translations!$D:$ZZ, MATCH(88,Translations!$A:$A,0), MATCH('Project Information'!$C$4,Translations!$D$1:$ZZ$1,0))</f>
        <v/>
      </c>
      <c r="P41" s="67">
        <f>INDEX(Translations!$D:$ZZ, MATCH(89,Translations!$A:$A,0), MATCH('Project Information'!$C$4,Translations!$D$1:$ZZ$1,0))</f>
        <v/>
      </c>
      <c r="Q41" s="67" t="inlineStr">
        <is>
          <t>Implementation Type</t>
        </is>
      </c>
      <c r="Z41" s="67">
        <f>INDEX(Translations!$D:$ZZ, MATCH(93,Translations!$A:$A,0), MATCH('Project Information'!$C$4,Translations!$D$1:$ZZ$1,0))</f>
        <v/>
      </c>
      <c r="AA41" s="67" t="inlineStr">
        <is>
          <t>Implementation Key</t>
        </is>
      </c>
    </row>
    <row r="42" ht="15" customHeight="1" s="39">
      <c r="A42" s="67" t="inlineStr">
        <is>
          <t>FI</t>
        </is>
      </c>
      <c r="B42" s="67" t="n">
        <v>36</v>
      </c>
      <c r="C42" s="67" t="n">
        <v>3</v>
      </c>
      <c r="D42" s="67" t="n">
        <v>2</v>
      </c>
      <c r="E42" s="67" t="n">
        <v>3</v>
      </c>
      <c r="F42" s="67" t="n">
        <v>2</v>
      </c>
      <c r="G42" s="67" t="n">
        <v>1</v>
      </c>
      <c r="H42" s="67" t="n">
        <v>2</v>
      </c>
      <c r="I42" s="67" t="n">
        <v>18</v>
      </c>
      <c r="J42" s="67" t="n">
        <v>18</v>
      </c>
      <c r="K42" s="67" t="n">
        <v>1</v>
      </c>
      <c r="L42" s="67" t="n">
        <v>1</v>
      </c>
      <c r="M42" s="67" t="n">
        <v>8</v>
      </c>
      <c r="N42" s="67" t="n">
        <v>8</v>
      </c>
      <c r="O42" s="67" t="n">
        <v>0</v>
      </c>
      <c r="P42" s="67" t="n">
        <v>0</v>
      </c>
      <c r="Q42" s="66" t="inlineStr">
        <is>
          <t>Conversion</t>
        </is>
      </c>
      <c r="Z42" s="66">
        <f>"MEDIUM|"&amp;A42</f>
        <v/>
      </c>
      <c r="AA42" s="66">
        <f>Q42&amp;"|"&amp;Z42</f>
        <v/>
      </c>
    </row>
    <row r="43" ht="15" customHeight="1" s="39">
      <c r="A43" s="67" t="inlineStr">
        <is>
          <t>CO</t>
        </is>
      </c>
      <c r="B43" s="67" t="n">
        <v>32</v>
      </c>
      <c r="C43" s="67" t="n">
        <v>3</v>
      </c>
      <c r="D43" s="67" t="n">
        <v>2</v>
      </c>
      <c r="E43" s="67" t="n">
        <v>3</v>
      </c>
      <c r="F43" s="67" t="n">
        <v>2</v>
      </c>
      <c r="G43" s="67" t="n">
        <v>1</v>
      </c>
      <c r="H43" s="67" t="n">
        <v>1</v>
      </c>
      <c r="I43" s="67" t="n">
        <v>18</v>
      </c>
      <c r="J43" s="67" t="n">
        <v>18</v>
      </c>
      <c r="K43" s="67" t="n">
        <v>1</v>
      </c>
      <c r="L43" s="67" t="n">
        <v>1</v>
      </c>
      <c r="M43" s="67" t="n">
        <v>5</v>
      </c>
      <c r="N43" s="67" t="n">
        <v>5</v>
      </c>
      <c r="O43" s="67" t="n">
        <v>0</v>
      </c>
      <c r="P43" s="67" t="n">
        <v>0</v>
      </c>
      <c r="Q43" s="66" t="inlineStr">
        <is>
          <t>Conversion</t>
        </is>
      </c>
      <c r="Z43" s="66">
        <f>"MEDIUM|"&amp;A43</f>
        <v/>
      </c>
      <c r="AA43" s="66">
        <f>Q43&amp;"|"&amp;Z43</f>
        <v/>
      </c>
    </row>
    <row r="44" ht="15" customHeight="1" s="39">
      <c r="A44" s="67" t="inlineStr">
        <is>
          <t>TRM</t>
        </is>
      </c>
      <c r="B44" s="67" t="n">
        <v>12</v>
      </c>
      <c r="C44" s="67" t="n">
        <v>2</v>
      </c>
      <c r="D44" s="67" t="n">
        <v>1</v>
      </c>
      <c r="E44" s="67" t="n">
        <v>2</v>
      </c>
      <c r="F44" s="67" t="n">
        <v>1</v>
      </c>
      <c r="G44" s="67" t="n">
        <v>0.5</v>
      </c>
      <c r="H44" s="67" t="n">
        <v>0.5</v>
      </c>
      <c r="I44" s="67" t="n">
        <v>6</v>
      </c>
      <c r="J44" s="67" t="n">
        <v>6</v>
      </c>
      <c r="K44" s="67" t="n">
        <v>0.5</v>
      </c>
      <c r="L44" s="67" t="n">
        <v>0.5</v>
      </c>
      <c r="M44" s="67" t="n">
        <v>5</v>
      </c>
      <c r="N44" s="67" t="n">
        <v>5</v>
      </c>
      <c r="O44" s="67" t="n">
        <v>0</v>
      </c>
      <c r="P44" s="67" t="n">
        <v>0</v>
      </c>
      <c r="Q44" s="66" t="inlineStr">
        <is>
          <t>Conversion</t>
        </is>
      </c>
      <c r="Z44" s="66">
        <f>"MEDIUM|"&amp;A44</f>
        <v/>
      </c>
      <c r="AA44" s="66">
        <f>Q44&amp;"|"&amp;Z44</f>
        <v/>
      </c>
    </row>
    <row r="45" ht="15" customHeight="1" s="39">
      <c r="A45" s="67" t="inlineStr">
        <is>
          <t>CM</t>
        </is>
      </c>
      <c r="B45" s="67" t="n">
        <v>8</v>
      </c>
      <c r="C45" s="67" t="n">
        <v>1</v>
      </c>
      <c r="D45" s="67" t="n">
        <v>1</v>
      </c>
      <c r="E45" s="67" t="n">
        <v>1</v>
      </c>
      <c r="F45" s="67" t="n">
        <v>1</v>
      </c>
      <c r="G45" s="67" t="n">
        <v>0.5</v>
      </c>
      <c r="H45" s="67" t="n">
        <v>0.5</v>
      </c>
      <c r="I45" s="67" t="n">
        <v>2</v>
      </c>
      <c r="J45" s="67" t="n">
        <v>2</v>
      </c>
      <c r="K45" s="67" t="n">
        <v>0.5</v>
      </c>
      <c r="L45" s="67" t="n">
        <v>0.5</v>
      </c>
      <c r="M45" s="67" t="n">
        <v>2</v>
      </c>
      <c r="N45" s="67" t="n">
        <v>2</v>
      </c>
      <c r="O45" s="67" t="n">
        <v>0</v>
      </c>
      <c r="P45" s="67" t="n">
        <v>0</v>
      </c>
      <c r="Q45" s="66" t="inlineStr">
        <is>
          <t>Conversion</t>
        </is>
      </c>
      <c r="Z45" s="66">
        <f>"MEDIUM|"&amp;A45</f>
        <v/>
      </c>
      <c r="AA45" s="66">
        <f>Q45&amp;"|"&amp;Z45</f>
        <v/>
      </c>
    </row>
    <row r="46" ht="15" customHeight="1" s="39">
      <c r="A46" s="67" t="inlineStr">
        <is>
          <t>FM</t>
        </is>
      </c>
      <c r="B46" s="67" t="n">
        <v>8</v>
      </c>
      <c r="C46" s="67" t="n">
        <v>1</v>
      </c>
      <c r="D46" s="67" t="n">
        <v>1</v>
      </c>
      <c r="E46" s="67" t="n">
        <v>1</v>
      </c>
      <c r="F46" s="67" t="n">
        <v>1</v>
      </c>
      <c r="G46" s="67" t="n">
        <v>0.5</v>
      </c>
      <c r="H46" s="67" t="n">
        <v>0.5</v>
      </c>
      <c r="I46" s="67" t="n">
        <v>2</v>
      </c>
      <c r="J46" s="67" t="n">
        <v>2</v>
      </c>
      <c r="K46" s="67" t="n">
        <v>0.5</v>
      </c>
      <c r="L46" s="67" t="n">
        <v>0.5</v>
      </c>
      <c r="M46" s="67" t="n">
        <v>2</v>
      </c>
      <c r="N46" s="67" t="n">
        <v>2</v>
      </c>
      <c r="O46" s="67" t="n">
        <v>0</v>
      </c>
      <c r="P46" s="67" t="n">
        <v>0</v>
      </c>
      <c r="Q46" s="66" t="inlineStr">
        <is>
          <t>Conversion</t>
        </is>
      </c>
      <c r="Z46" s="66">
        <f>"MEDIUM|"&amp;A46</f>
        <v/>
      </c>
      <c r="AA46" s="66">
        <f>Q46&amp;"|"&amp;Z46</f>
        <v/>
      </c>
    </row>
    <row r="47" ht="15" customHeight="1" s="39">
      <c r="A47" s="67" t="inlineStr">
        <is>
          <t>RM</t>
        </is>
      </c>
      <c r="B47" s="67" t="n">
        <v>0</v>
      </c>
      <c r="C47" s="67" t="n">
        <v>0</v>
      </c>
      <c r="D47" s="67" t="n">
        <v>0</v>
      </c>
      <c r="E47" s="67" t="n">
        <v>0</v>
      </c>
      <c r="F47" s="67" t="n">
        <v>0</v>
      </c>
      <c r="G47" s="67" t="n">
        <v>0</v>
      </c>
      <c r="H47" s="67" t="n">
        <v>0</v>
      </c>
      <c r="I47" s="67" t="n">
        <v>0</v>
      </c>
      <c r="J47" s="67" t="n">
        <v>0</v>
      </c>
      <c r="K47" s="67" t="n">
        <v>0</v>
      </c>
      <c r="L47" s="67" t="n">
        <v>0</v>
      </c>
      <c r="M47" s="67" t="n">
        <v>0</v>
      </c>
      <c r="N47" s="67" t="n">
        <v>0</v>
      </c>
      <c r="O47" s="67" t="n">
        <v>0</v>
      </c>
      <c r="P47" s="67" t="n">
        <v>0</v>
      </c>
      <c r="Q47" s="66" t="inlineStr">
        <is>
          <t>Conversion</t>
        </is>
      </c>
      <c r="Z47" s="66">
        <f>"MEDIUM|"&amp;A47</f>
        <v/>
      </c>
      <c r="AA47" s="66">
        <f>Q47&amp;"|"&amp;Z47</f>
        <v/>
      </c>
    </row>
    <row r="48" ht="15" customHeight="1" s="39">
      <c r="A48" s="67" t="inlineStr">
        <is>
          <t>RE/FX</t>
        </is>
      </c>
      <c r="B48" s="67" t="n">
        <v>0</v>
      </c>
      <c r="C48" s="67" t="n">
        <v>0</v>
      </c>
      <c r="D48" s="67" t="n">
        <v>0</v>
      </c>
      <c r="E48" s="67" t="n">
        <v>0</v>
      </c>
      <c r="F48" s="67" t="n">
        <v>0</v>
      </c>
      <c r="G48" s="67" t="n">
        <v>0</v>
      </c>
      <c r="H48" s="67" t="n">
        <v>0</v>
      </c>
      <c r="I48" s="67" t="n">
        <v>0</v>
      </c>
      <c r="J48" s="67" t="n">
        <v>0</v>
      </c>
      <c r="K48" s="67" t="n">
        <v>0</v>
      </c>
      <c r="L48" s="67" t="n">
        <v>0</v>
      </c>
      <c r="M48" s="67" t="n">
        <v>0</v>
      </c>
      <c r="N48" s="67" t="n">
        <v>0</v>
      </c>
      <c r="O48" s="67" t="n">
        <v>0</v>
      </c>
      <c r="P48" s="67" t="n">
        <v>0</v>
      </c>
      <c r="Q48" s="66" t="inlineStr">
        <is>
          <t>Conversion</t>
        </is>
      </c>
      <c r="Z48" s="66">
        <f>"MEDIUM|"&amp;A48</f>
        <v/>
      </c>
      <c r="AA48" s="66">
        <f>Q48&amp;"|"&amp;Z48</f>
        <v/>
      </c>
    </row>
    <row r="49" ht="15" customHeight="1" s="39">
      <c r="A49" s="67" t="inlineStr">
        <is>
          <t>MM</t>
        </is>
      </c>
      <c r="B49" s="67" t="n">
        <v>42</v>
      </c>
      <c r="C49" s="67" t="n">
        <v>3</v>
      </c>
      <c r="D49" s="67" t="n">
        <v>2</v>
      </c>
      <c r="E49" s="67" t="n">
        <v>3</v>
      </c>
      <c r="F49" s="67" t="n">
        <v>2</v>
      </c>
      <c r="G49" s="67" t="n">
        <v>1</v>
      </c>
      <c r="H49" s="67" t="n">
        <v>3</v>
      </c>
      <c r="I49" s="67" t="n">
        <v>18</v>
      </c>
      <c r="J49" s="67" t="n">
        <v>18</v>
      </c>
      <c r="K49" s="67" t="n">
        <v>1</v>
      </c>
      <c r="L49" s="67" t="n">
        <v>1</v>
      </c>
      <c r="M49" s="67" t="n">
        <v>10</v>
      </c>
      <c r="N49" s="67" t="n">
        <v>10</v>
      </c>
      <c r="O49" s="67" t="n">
        <v>0</v>
      </c>
      <c r="P49" s="67" t="n">
        <v>0</v>
      </c>
      <c r="Q49" s="66" t="inlineStr">
        <is>
          <t>Conversion</t>
        </is>
      </c>
      <c r="Z49" s="66">
        <f>"MEDIUM|"&amp;A49</f>
        <v/>
      </c>
      <c r="AA49" s="66">
        <f>Q49&amp;"|"&amp;Z49</f>
        <v/>
      </c>
    </row>
    <row r="50" ht="15" customHeight="1" s="39">
      <c r="A50" s="67" t="inlineStr">
        <is>
          <t>PP</t>
        </is>
      </c>
      <c r="B50" s="67" t="n">
        <v>42</v>
      </c>
      <c r="C50" s="67" t="n">
        <v>3</v>
      </c>
      <c r="D50" s="67" t="n">
        <v>2</v>
      </c>
      <c r="E50" s="67" t="n">
        <v>3</v>
      </c>
      <c r="F50" s="67" t="n">
        <v>2</v>
      </c>
      <c r="G50" s="67" t="n">
        <v>1</v>
      </c>
      <c r="H50" s="67" t="n">
        <v>3</v>
      </c>
      <c r="I50" s="67" t="n">
        <v>18</v>
      </c>
      <c r="J50" s="67" t="n">
        <v>18</v>
      </c>
      <c r="K50" s="67" t="n">
        <v>1</v>
      </c>
      <c r="L50" s="67" t="n">
        <v>1</v>
      </c>
      <c r="M50" s="67" t="n">
        <v>10</v>
      </c>
      <c r="N50" s="67" t="n">
        <v>10</v>
      </c>
      <c r="O50" s="67" t="n">
        <v>0</v>
      </c>
      <c r="P50" s="67" t="n">
        <v>0</v>
      </c>
      <c r="Q50" s="66" t="inlineStr">
        <is>
          <t>Conversion</t>
        </is>
      </c>
      <c r="Z50" s="66">
        <f>"MEDIUM|"&amp;A50</f>
        <v/>
      </c>
      <c r="AA50" s="66">
        <f>Q50&amp;"|"&amp;Z50</f>
        <v/>
      </c>
    </row>
    <row r="51" ht="15" customHeight="1" s="39">
      <c r="A51" s="67" t="inlineStr">
        <is>
          <t>SD</t>
        </is>
      </c>
      <c r="B51" s="67" t="n">
        <v>42</v>
      </c>
      <c r="C51" s="67" t="n">
        <v>3</v>
      </c>
      <c r="D51" s="67" t="n">
        <v>2</v>
      </c>
      <c r="E51" s="67" t="n">
        <v>3</v>
      </c>
      <c r="F51" s="67" t="n">
        <v>2</v>
      </c>
      <c r="G51" s="67" t="n">
        <v>1</v>
      </c>
      <c r="H51" s="67" t="n">
        <v>2</v>
      </c>
      <c r="I51" s="67" t="n">
        <v>18</v>
      </c>
      <c r="J51" s="67" t="n">
        <v>18</v>
      </c>
      <c r="K51" s="67" t="n">
        <v>1</v>
      </c>
      <c r="L51" s="67" t="n">
        <v>1</v>
      </c>
      <c r="M51" s="67" t="n">
        <v>8</v>
      </c>
      <c r="N51" s="67" t="n">
        <v>8</v>
      </c>
      <c r="O51" s="67" t="n">
        <v>0</v>
      </c>
      <c r="P51" s="67" t="n">
        <v>0</v>
      </c>
      <c r="Q51" s="66" t="inlineStr">
        <is>
          <t>Conversion</t>
        </is>
      </c>
      <c r="Z51" s="66">
        <f>"MEDIUM|"&amp;A51</f>
        <v/>
      </c>
      <c r="AA51" s="66">
        <f>Q51&amp;"|"&amp;Z51</f>
        <v/>
      </c>
    </row>
    <row r="52" ht="15" customHeight="1" s="39">
      <c r="A52" s="67" t="inlineStr">
        <is>
          <t>QM</t>
        </is>
      </c>
      <c r="B52" s="67" t="n">
        <v>32</v>
      </c>
      <c r="C52" s="67" t="n">
        <v>2</v>
      </c>
      <c r="D52" s="67" t="n">
        <v>1</v>
      </c>
      <c r="E52" s="67" t="n">
        <v>2</v>
      </c>
      <c r="F52" s="67" t="n">
        <v>2</v>
      </c>
      <c r="G52" s="67" t="n">
        <v>0.5</v>
      </c>
      <c r="H52" s="67" t="n">
        <v>3</v>
      </c>
      <c r="I52" s="67" t="n">
        <v>18</v>
      </c>
      <c r="J52" s="67" t="n">
        <v>18</v>
      </c>
      <c r="K52" s="67" t="n">
        <v>1</v>
      </c>
      <c r="L52" s="67" t="n">
        <v>0.5</v>
      </c>
      <c r="M52" s="67" t="n">
        <v>8</v>
      </c>
      <c r="N52" s="67" t="n">
        <v>8</v>
      </c>
      <c r="O52" s="67" t="n">
        <v>0</v>
      </c>
      <c r="P52" s="67" t="n">
        <v>0</v>
      </c>
      <c r="Q52" s="66" t="inlineStr">
        <is>
          <t>Conversion</t>
        </is>
      </c>
      <c r="Z52" s="66">
        <f>"MEDIUM|"&amp;A52</f>
        <v/>
      </c>
      <c r="AA52" s="66">
        <f>Q52&amp;"|"&amp;Z52</f>
        <v/>
      </c>
    </row>
    <row r="53" ht="15" customHeight="1" s="39">
      <c r="A53" s="67" t="inlineStr">
        <is>
          <t>PM</t>
        </is>
      </c>
      <c r="B53" s="67" t="n">
        <v>24</v>
      </c>
      <c r="C53" s="67" t="n">
        <v>2</v>
      </c>
      <c r="D53" s="67" t="n">
        <v>1</v>
      </c>
      <c r="E53" s="67" t="n">
        <v>2</v>
      </c>
      <c r="F53" s="67" t="n">
        <v>2</v>
      </c>
      <c r="G53" s="67" t="n">
        <v>0.5</v>
      </c>
      <c r="H53" s="67" t="n">
        <v>2</v>
      </c>
      <c r="I53" s="67" t="n">
        <v>8</v>
      </c>
      <c r="J53" s="67" t="n">
        <v>8</v>
      </c>
      <c r="K53" s="67" t="n">
        <v>1</v>
      </c>
      <c r="L53" s="67" t="n">
        <v>0.5</v>
      </c>
      <c r="M53" s="67" t="n">
        <v>4</v>
      </c>
      <c r="N53" s="67" t="n">
        <v>4</v>
      </c>
      <c r="O53" s="67" t="n">
        <v>0</v>
      </c>
      <c r="P53" s="67" t="n">
        <v>0</v>
      </c>
      <c r="Q53" s="66" t="inlineStr">
        <is>
          <t>Conversion</t>
        </is>
      </c>
      <c r="Z53" s="66">
        <f>"MEDIUM|"&amp;A53</f>
        <v/>
      </c>
      <c r="AA53" s="66">
        <f>Q53&amp;"|"&amp;Z53</f>
        <v/>
      </c>
    </row>
    <row r="54" ht="15" customHeight="1" s="39">
      <c r="A54" s="67" t="inlineStr">
        <is>
          <t>PS</t>
        </is>
      </c>
      <c r="B54" s="67" t="n">
        <v>24</v>
      </c>
      <c r="C54" s="67" t="n">
        <v>2</v>
      </c>
      <c r="D54" s="67" t="n">
        <v>1</v>
      </c>
      <c r="E54" s="67" t="n">
        <v>2</v>
      </c>
      <c r="F54" s="67" t="n">
        <v>2</v>
      </c>
      <c r="G54" s="67" t="n">
        <v>0.5</v>
      </c>
      <c r="H54" s="67" t="n">
        <v>2</v>
      </c>
      <c r="I54" s="67" t="n">
        <v>6</v>
      </c>
      <c r="J54" s="67" t="n">
        <v>6</v>
      </c>
      <c r="K54" s="67" t="n">
        <v>1</v>
      </c>
      <c r="L54" s="67" t="n">
        <v>0.5</v>
      </c>
      <c r="M54" s="67" t="n">
        <v>4</v>
      </c>
      <c r="N54" s="67" t="n">
        <v>4</v>
      </c>
      <c r="O54" s="67" t="n">
        <v>0</v>
      </c>
      <c r="P54" s="67" t="n">
        <v>0</v>
      </c>
      <c r="Q54" s="66" t="inlineStr">
        <is>
          <t>Conversion</t>
        </is>
      </c>
      <c r="Z54" s="66">
        <f>"MEDIUM|"&amp;A54</f>
        <v/>
      </c>
      <c r="AA54" s="66">
        <f>Q54&amp;"|"&amp;Z54</f>
        <v/>
      </c>
    </row>
    <row r="55" ht="15" customHeight="1" s="39">
      <c r="A55" s="67" t="inlineStr">
        <is>
          <t>MII/DM</t>
        </is>
      </c>
      <c r="B55" s="67" t="n">
        <v>0</v>
      </c>
      <c r="C55" s="67" t="n">
        <v>0</v>
      </c>
      <c r="D55" s="67" t="n">
        <v>0</v>
      </c>
      <c r="E55" s="67" t="n">
        <v>0</v>
      </c>
      <c r="F55" s="67" t="n">
        <v>0</v>
      </c>
      <c r="G55" s="67" t="n">
        <v>0</v>
      </c>
      <c r="H55" s="67" t="n">
        <v>0</v>
      </c>
      <c r="I55" s="67" t="n">
        <v>0</v>
      </c>
      <c r="J55" s="67" t="n">
        <v>0</v>
      </c>
      <c r="K55" s="67" t="n">
        <v>0</v>
      </c>
      <c r="L55" s="67" t="n">
        <v>0</v>
      </c>
      <c r="M55" s="67" t="n">
        <v>0</v>
      </c>
      <c r="N55" s="67" t="n">
        <v>0</v>
      </c>
      <c r="O55" s="67" t="n">
        <v>0</v>
      </c>
      <c r="P55" s="67" t="n">
        <v>0</v>
      </c>
      <c r="Q55" s="66" t="inlineStr">
        <is>
          <t>Conversion</t>
        </is>
      </c>
      <c r="Z55" s="66">
        <f>"MEDIUM|"&amp;A55</f>
        <v/>
      </c>
      <c r="AA55" s="66">
        <f>Q55&amp;"|"&amp;Z55</f>
        <v/>
      </c>
    </row>
    <row r="56" ht="15" customHeight="1" s="39">
      <c r="A56" s="67" t="inlineStr">
        <is>
          <t>PM Mobility</t>
        </is>
      </c>
      <c r="B56" s="67" t="n">
        <v>0</v>
      </c>
      <c r="C56" s="67" t="n">
        <v>0</v>
      </c>
      <c r="D56" s="67" t="n">
        <v>0</v>
      </c>
      <c r="E56" s="67" t="n">
        <v>0</v>
      </c>
      <c r="F56" s="67" t="n">
        <v>0</v>
      </c>
      <c r="G56" s="67" t="n">
        <v>0</v>
      </c>
      <c r="H56" s="67" t="n">
        <v>0</v>
      </c>
      <c r="I56" s="67" t="n">
        <v>0</v>
      </c>
      <c r="J56" s="67" t="n">
        <v>0</v>
      </c>
      <c r="K56" s="67" t="n">
        <v>0</v>
      </c>
      <c r="L56" s="67" t="n">
        <v>0</v>
      </c>
      <c r="M56" s="67" t="n">
        <v>0</v>
      </c>
      <c r="N56" s="67" t="n">
        <v>0</v>
      </c>
      <c r="O56" s="67" t="n">
        <v>0</v>
      </c>
      <c r="P56" s="67" t="n">
        <v>0</v>
      </c>
      <c r="Q56" s="66" t="inlineStr">
        <is>
          <t>Conversion</t>
        </is>
      </c>
      <c r="Z56" s="66">
        <f>"MEDIUM|"&amp;A56</f>
        <v/>
      </c>
      <c r="AA56" s="66">
        <f>Q56&amp;"|"&amp;Z56</f>
        <v/>
      </c>
    </row>
    <row r="57" ht="15" customHeight="1" s="39">
      <c r="A57" s="67" t="inlineStr">
        <is>
          <t>Basic EWM</t>
        </is>
      </c>
      <c r="B57" s="67" t="n">
        <v>40</v>
      </c>
      <c r="C57" s="67" t="n">
        <v>3</v>
      </c>
      <c r="D57" s="67" t="n">
        <v>2</v>
      </c>
      <c r="E57" s="67" t="n">
        <v>3</v>
      </c>
      <c r="F57" s="67" t="n">
        <v>2</v>
      </c>
      <c r="G57" s="67" t="n">
        <v>1</v>
      </c>
      <c r="H57" s="67" t="n">
        <v>2</v>
      </c>
      <c r="I57" s="67" t="n">
        <v>18</v>
      </c>
      <c r="J57" s="67" t="n">
        <v>18</v>
      </c>
      <c r="K57" s="67" t="n">
        <v>1</v>
      </c>
      <c r="L57" s="67" t="n">
        <v>1</v>
      </c>
      <c r="M57" s="67" t="n">
        <v>8</v>
      </c>
      <c r="N57" s="67" t="n">
        <v>8</v>
      </c>
      <c r="O57" s="67" t="n">
        <v>0</v>
      </c>
      <c r="P57" s="67" t="n">
        <v>0</v>
      </c>
      <c r="Q57" s="66" t="inlineStr">
        <is>
          <t>Conversion</t>
        </is>
      </c>
      <c r="Z57" s="66">
        <f>"MEDIUM|"&amp;A57</f>
        <v/>
      </c>
      <c r="AA57" s="66">
        <f>Q57&amp;"|"&amp;Z57</f>
        <v/>
      </c>
    </row>
    <row r="58" ht="15" customHeight="1" s="39">
      <c r="A58" s="67" t="inlineStr">
        <is>
          <t>Advanced EWM</t>
        </is>
      </c>
      <c r="B58" s="67" t="n">
        <v>0</v>
      </c>
      <c r="C58" s="67" t="n">
        <v>0</v>
      </c>
      <c r="D58" s="67" t="n">
        <v>0</v>
      </c>
      <c r="E58" s="67" t="n">
        <v>0</v>
      </c>
      <c r="F58" s="67" t="n">
        <v>0</v>
      </c>
      <c r="G58" s="67" t="n">
        <v>0</v>
      </c>
      <c r="H58" s="67" t="n">
        <v>0</v>
      </c>
      <c r="I58" s="67" t="n">
        <v>0</v>
      </c>
      <c r="J58" s="67" t="n">
        <v>0</v>
      </c>
      <c r="K58" s="67" t="n">
        <v>0</v>
      </c>
      <c r="L58" s="67" t="n">
        <v>0</v>
      </c>
      <c r="M58" s="67" t="n">
        <v>0</v>
      </c>
      <c r="N58" s="67" t="n">
        <v>0</v>
      </c>
      <c r="O58" s="67" t="n">
        <v>0</v>
      </c>
      <c r="P58" s="67" t="n">
        <v>0</v>
      </c>
      <c r="Q58" s="66" t="inlineStr">
        <is>
          <t>Conversion</t>
        </is>
      </c>
      <c r="Z58" s="66">
        <f>"MEDIUM|"&amp;A58</f>
        <v/>
      </c>
      <c r="AA58" s="66">
        <f>Q58&amp;"|"&amp;Z58</f>
        <v/>
      </c>
    </row>
    <row r="59" ht="15" customHeight="1" s="39">
      <c r="A59" s="67" t="inlineStr">
        <is>
          <t>TM</t>
        </is>
      </c>
      <c r="B59" s="67" t="n">
        <v>24</v>
      </c>
      <c r="C59" s="67" t="n">
        <v>3</v>
      </c>
      <c r="D59" s="67" t="n">
        <v>2</v>
      </c>
      <c r="E59" s="67" t="n">
        <v>2</v>
      </c>
      <c r="F59" s="67" t="n">
        <v>2</v>
      </c>
      <c r="G59" s="67" t="n">
        <v>1</v>
      </c>
      <c r="H59" s="67" t="n">
        <v>2</v>
      </c>
      <c r="I59" s="67" t="n">
        <v>15</v>
      </c>
      <c r="J59" s="67" t="n">
        <v>15</v>
      </c>
      <c r="K59" s="67" t="n">
        <v>1</v>
      </c>
      <c r="L59" s="67" t="n">
        <v>1</v>
      </c>
      <c r="M59" s="67" t="n">
        <v>4</v>
      </c>
      <c r="N59" s="67" t="n">
        <v>6</v>
      </c>
      <c r="O59" s="67" t="n">
        <v>0</v>
      </c>
      <c r="P59" s="67" t="n">
        <v>0</v>
      </c>
      <c r="Q59" s="66" t="inlineStr">
        <is>
          <t>Conversion</t>
        </is>
      </c>
      <c r="Z59" s="66">
        <f>"MEDIUM|"&amp;A59</f>
        <v/>
      </c>
      <c r="AA59" s="66">
        <f>Q59&amp;"|"&amp;Z59</f>
        <v/>
      </c>
    </row>
    <row r="60" ht="15" customHeight="1" s="39">
      <c r="A60" s="67" t="inlineStr">
        <is>
          <t>PPDS</t>
        </is>
      </c>
      <c r="B60" s="67" t="n">
        <v>25</v>
      </c>
      <c r="C60" s="67" t="n">
        <v>2</v>
      </c>
      <c r="D60" s="67" t="n">
        <v>2</v>
      </c>
      <c r="E60" s="67" t="n">
        <v>3</v>
      </c>
      <c r="F60" s="67" t="n">
        <v>3</v>
      </c>
      <c r="G60" s="67" t="n">
        <v>0.5</v>
      </c>
      <c r="H60" s="67" t="n">
        <v>0.5</v>
      </c>
      <c r="I60" s="67" t="n">
        <v>7</v>
      </c>
      <c r="J60" s="67" t="n">
        <v>7</v>
      </c>
      <c r="K60" s="67" t="n">
        <v>0.5</v>
      </c>
      <c r="L60" s="67" t="n">
        <v>0.5</v>
      </c>
      <c r="M60" s="67" t="n">
        <v>2</v>
      </c>
      <c r="N60" s="67" t="n">
        <v>2</v>
      </c>
      <c r="O60" s="67" t="n">
        <v>0</v>
      </c>
      <c r="P60" s="67" t="n">
        <v>0</v>
      </c>
      <c r="Q60" s="66" t="inlineStr">
        <is>
          <t>Conversion</t>
        </is>
      </c>
      <c r="Z60" s="66">
        <f>"MEDIUM|"&amp;A60</f>
        <v/>
      </c>
      <c r="AA60" s="66">
        <f>Q60&amp;"|"&amp;Z60</f>
        <v/>
      </c>
    </row>
    <row r="61" ht="15" customHeight="1" s="39">
      <c r="A61" s="67" t="inlineStr">
        <is>
          <t>ABAP</t>
        </is>
      </c>
      <c r="B61" s="67" t="n">
        <v>0</v>
      </c>
      <c r="C61" s="67" t="n">
        <v>0</v>
      </c>
      <c r="D61" s="67" t="n">
        <v>0</v>
      </c>
      <c r="E61" s="67" t="n">
        <v>0</v>
      </c>
      <c r="F61" s="67" t="n">
        <v>0</v>
      </c>
      <c r="G61" s="67" t="n">
        <v>0</v>
      </c>
      <c r="H61" s="67" t="n">
        <v>0</v>
      </c>
      <c r="I61" s="67" t="n">
        <v>0</v>
      </c>
      <c r="J61" s="67" t="n">
        <v>0</v>
      </c>
      <c r="K61" s="67" t="n">
        <v>0</v>
      </c>
      <c r="L61" s="67" t="n">
        <v>0</v>
      </c>
      <c r="M61" s="67" t="n">
        <v>0</v>
      </c>
      <c r="N61" s="67" t="n">
        <v>0</v>
      </c>
      <c r="O61" s="67" t="n">
        <v>0</v>
      </c>
      <c r="P61" s="67" t="n">
        <v>0</v>
      </c>
      <c r="Q61" s="66" t="inlineStr">
        <is>
          <t>Conversion</t>
        </is>
      </c>
      <c r="Z61" s="66">
        <f>"MEDIUM|"&amp;A61</f>
        <v/>
      </c>
      <c r="AA61" s="66">
        <f>Q61&amp;"|"&amp;Z61</f>
        <v/>
      </c>
    </row>
    <row r="62" ht="15" customHeight="1" s="39">
      <c r="A62" s="67" t="inlineStr">
        <is>
          <t>BASIS</t>
        </is>
      </c>
      <c r="B62" s="67" t="n">
        <v>0</v>
      </c>
      <c r="C62" s="67" t="n">
        <v>0</v>
      </c>
      <c r="D62" s="67" t="n">
        <v>0</v>
      </c>
      <c r="E62" s="67" t="n">
        <v>0</v>
      </c>
      <c r="F62" s="67" t="n">
        <v>0</v>
      </c>
      <c r="G62" s="67" t="n">
        <v>0</v>
      </c>
      <c r="H62" s="67" t="n">
        <v>0</v>
      </c>
      <c r="I62" s="67" t="n">
        <v>0</v>
      </c>
      <c r="J62" s="67" t="n">
        <v>0</v>
      </c>
      <c r="K62" s="67" t="n">
        <v>0</v>
      </c>
      <c r="L62" s="67" t="n">
        <v>0</v>
      </c>
      <c r="M62" s="67" t="n">
        <v>0</v>
      </c>
      <c r="N62" s="67" t="n">
        <v>0</v>
      </c>
      <c r="O62" s="67" t="n">
        <v>0</v>
      </c>
      <c r="P62" s="67" t="n">
        <v>0</v>
      </c>
      <c r="Q62" s="66" t="inlineStr">
        <is>
          <t>Conversion</t>
        </is>
      </c>
      <c r="Z62" s="66">
        <f>"MEDIUM|"&amp;A62</f>
        <v/>
      </c>
      <c r="AA62" s="66">
        <f>Q62&amp;"|"&amp;Z62</f>
        <v/>
      </c>
    </row>
    <row r="63" ht="15" customHeight="1" s="39">
      <c r="A63" s="67" t="inlineStr">
        <is>
          <t>E-Fatura/Arşiv</t>
        </is>
      </c>
      <c r="B63" s="67" t="n">
        <v>4</v>
      </c>
      <c r="C63" s="67" t="n">
        <v>1</v>
      </c>
      <c r="D63" s="67" t="n">
        <v>0</v>
      </c>
      <c r="E63" s="67" t="n">
        <v>2</v>
      </c>
      <c r="F63" s="67" t="n">
        <v>2</v>
      </c>
      <c r="G63" s="67" t="n">
        <v>1</v>
      </c>
      <c r="H63" s="67" t="n">
        <v>1</v>
      </c>
      <c r="I63" s="67" t="n">
        <v>3</v>
      </c>
      <c r="J63" s="67" t="n">
        <v>3</v>
      </c>
      <c r="K63" s="67" t="n">
        <v>0</v>
      </c>
      <c r="L63" s="67" t="n">
        <v>1</v>
      </c>
      <c r="M63" s="67" t="n">
        <v>1</v>
      </c>
      <c r="N63" s="67" t="n">
        <v>0</v>
      </c>
      <c r="O63" s="67" t="n">
        <v>0</v>
      </c>
      <c r="P63" s="67" t="n">
        <v>0</v>
      </c>
      <c r="Q63" s="66" t="inlineStr">
        <is>
          <t>Conversion</t>
        </is>
      </c>
      <c r="Z63" s="66">
        <f>"MEDIUM|"&amp;A63</f>
        <v/>
      </c>
      <c r="AA63" s="66">
        <f>Q63&amp;"|"&amp;Z63</f>
        <v/>
      </c>
    </row>
    <row r="64" ht="15" customHeight="1" s="39">
      <c r="A64" s="67" t="inlineStr">
        <is>
          <t>E-İrsaliye</t>
        </is>
      </c>
      <c r="B64" s="67" t="n">
        <v>4</v>
      </c>
      <c r="C64" s="67" t="n">
        <v>1</v>
      </c>
      <c r="D64" s="67" t="n">
        <v>0</v>
      </c>
      <c r="E64" s="67" t="n">
        <v>2</v>
      </c>
      <c r="F64" s="67" t="n">
        <v>2</v>
      </c>
      <c r="G64" s="67" t="n">
        <v>1</v>
      </c>
      <c r="H64" s="67" t="n">
        <v>1</v>
      </c>
      <c r="I64" s="67" t="n">
        <v>3</v>
      </c>
      <c r="J64" s="67" t="n">
        <v>3</v>
      </c>
      <c r="K64" s="67" t="n">
        <v>0</v>
      </c>
      <c r="L64" s="67" t="n">
        <v>1</v>
      </c>
      <c r="M64" s="67" t="n">
        <v>1</v>
      </c>
      <c r="N64" s="67" t="n">
        <v>0</v>
      </c>
      <c r="O64" s="67" t="n">
        <v>0</v>
      </c>
      <c r="P64" s="67" t="n">
        <v>0</v>
      </c>
      <c r="Q64" s="66" t="inlineStr">
        <is>
          <t>Conversion</t>
        </is>
      </c>
      <c r="Z64" s="66">
        <f>"MEDIUM|"&amp;A64</f>
        <v/>
      </c>
      <c r="AA64" s="66">
        <f>Q64&amp;"|"&amp;Z64</f>
        <v/>
      </c>
    </row>
    <row r="65" ht="15" customHeight="1" s="39">
      <c r="A65" s="67" t="inlineStr">
        <is>
          <t>E-Defter</t>
        </is>
      </c>
      <c r="B65" s="67" t="n">
        <v>3</v>
      </c>
      <c r="C65" s="67" t="n">
        <v>1</v>
      </c>
      <c r="D65" s="67" t="n">
        <v>0</v>
      </c>
      <c r="E65" s="67" t="n">
        <v>2</v>
      </c>
      <c r="F65" s="67" t="n">
        <v>2</v>
      </c>
      <c r="G65" s="67" t="n">
        <v>1</v>
      </c>
      <c r="H65" s="67" t="n">
        <v>1</v>
      </c>
      <c r="I65" s="67" t="n">
        <v>0</v>
      </c>
      <c r="J65" s="67" t="n">
        <v>0</v>
      </c>
      <c r="K65" s="67" t="n">
        <v>0</v>
      </c>
      <c r="L65" s="67" t="n">
        <v>3</v>
      </c>
      <c r="M65" s="67" t="n">
        <v>1</v>
      </c>
      <c r="N65" s="67" t="n">
        <v>0</v>
      </c>
      <c r="O65" s="67" t="n">
        <v>0</v>
      </c>
      <c r="P65" s="67" t="n">
        <v>0</v>
      </c>
      <c r="Q65" s="66" t="inlineStr">
        <is>
          <t>Conversion</t>
        </is>
      </c>
      <c r="Z65" s="66">
        <f>"MEDIUM|"&amp;A65</f>
        <v/>
      </c>
      <c r="AA65" s="66">
        <f>Q65&amp;"|"&amp;Z65</f>
        <v/>
      </c>
    </row>
    <row r="66" ht="15" customHeight="1" s="39">
      <c r="A66" s="67" t="inlineStr">
        <is>
          <t>E-Hesap Özeti</t>
        </is>
      </c>
      <c r="B66" s="67" t="n">
        <v>5</v>
      </c>
      <c r="C66" s="67" t="n">
        <v>1</v>
      </c>
      <c r="D66" s="67" t="n">
        <v>0</v>
      </c>
      <c r="E66" s="67" t="n">
        <v>4</v>
      </c>
      <c r="F66" s="67" t="n">
        <v>3</v>
      </c>
      <c r="G66" s="67" t="n">
        <v>1</v>
      </c>
      <c r="H66" s="67" t="n">
        <v>0</v>
      </c>
      <c r="I66" s="67" t="n">
        <v>2</v>
      </c>
      <c r="J66" s="67" t="n">
        <v>2</v>
      </c>
      <c r="K66" s="67" t="n">
        <v>0</v>
      </c>
      <c r="L66" s="67" t="n">
        <v>2</v>
      </c>
      <c r="M66" s="67" t="n">
        <v>1</v>
      </c>
      <c r="N66" s="67" t="n">
        <v>0</v>
      </c>
      <c r="O66" s="67" t="n">
        <v>0</v>
      </c>
      <c r="P66" s="67" t="n">
        <v>0</v>
      </c>
      <c r="Q66" s="66" t="inlineStr">
        <is>
          <t>Conversion</t>
        </is>
      </c>
      <c r="Z66" s="66">
        <f>"MEDIUM|"&amp;A66</f>
        <v/>
      </c>
      <c r="AA66" s="66">
        <f>Q66&amp;"|"&amp;Z66</f>
        <v/>
      </c>
    </row>
    <row r="67" ht="15" customHeight="1" s="39">
      <c r="A67" s="67" t="inlineStr">
        <is>
          <t>E-Ödeme</t>
        </is>
      </c>
      <c r="B67" s="67" t="n">
        <v>5</v>
      </c>
      <c r="C67" s="67" t="n">
        <v>1</v>
      </c>
      <c r="D67" s="67" t="n">
        <v>0</v>
      </c>
      <c r="E67" s="67" t="n">
        <v>4</v>
      </c>
      <c r="F67" s="67" t="n">
        <v>3</v>
      </c>
      <c r="G67" s="67" t="n">
        <v>1</v>
      </c>
      <c r="H67" s="67" t="n">
        <v>0</v>
      </c>
      <c r="I67" s="67" t="n">
        <v>2</v>
      </c>
      <c r="J67" s="67" t="n">
        <v>2</v>
      </c>
      <c r="K67" s="67" t="n">
        <v>0</v>
      </c>
      <c r="L67" s="67" t="n">
        <v>2</v>
      </c>
      <c r="M67" s="67" t="n">
        <v>1</v>
      </c>
      <c r="N67" s="67" t="n">
        <v>0</v>
      </c>
      <c r="O67" s="67" t="n">
        <v>0</v>
      </c>
      <c r="P67" s="67" t="n">
        <v>0</v>
      </c>
      <c r="Q67" s="66" t="inlineStr">
        <is>
          <t>Conversion</t>
        </is>
      </c>
      <c r="Z67" s="66">
        <f>"MEDIUM|"&amp;A67</f>
        <v/>
      </c>
      <c r="AA67" s="66">
        <f>Q67&amp;"|"&amp;Z67</f>
        <v/>
      </c>
    </row>
    <row r="68" ht="15" customHeight="1" s="39">
      <c r="A68" s="67" t="inlineStr">
        <is>
          <t>E-Mutabakat</t>
        </is>
      </c>
      <c r="B68" s="67" t="n">
        <v>4</v>
      </c>
      <c r="C68" s="67" t="n">
        <v>1</v>
      </c>
      <c r="D68" s="67" t="n">
        <v>0</v>
      </c>
      <c r="E68" s="67" t="n">
        <v>3</v>
      </c>
      <c r="F68" s="67" t="n">
        <v>3</v>
      </c>
      <c r="G68" s="67" t="n">
        <v>1</v>
      </c>
      <c r="H68" s="67" t="n">
        <v>0</v>
      </c>
      <c r="I68" s="67" t="n">
        <v>2</v>
      </c>
      <c r="J68" s="67" t="n">
        <v>2</v>
      </c>
      <c r="K68" s="67" t="n">
        <v>0</v>
      </c>
      <c r="L68" s="67" t="n">
        <v>2</v>
      </c>
      <c r="M68" s="67" t="n">
        <v>1</v>
      </c>
      <c r="N68" s="67" t="n">
        <v>0</v>
      </c>
      <c r="O68" s="67" t="n">
        <v>0</v>
      </c>
      <c r="P68" s="67" t="n">
        <v>0</v>
      </c>
      <c r="Q68" s="66" t="inlineStr">
        <is>
          <t>Conversion</t>
        </is>
      </c>
      <c r="Z68" s="66">
        <f>"MEDIUM|"&amp;A68</f>
        <v/>
      </c>
      <c r="AA68" s="66">
        <f>Q68&amp;"|"&amp;Z68</f>
        <v/>
      </c>
    </row>
    <row r="69" ht="15" customHeight="1" s="39">
      <c r="A69" s="67" t="inlineStr">
        <is>
          <t>E-Beyanname</t>
        </is>
      </c>
      <c r="B69" s="67" t="n">
        <v>5</v>
      </c>
      <c r="C69" s="67" t="n">
        <v>2</v>
      </c>
      <c r="D69" s="67" t="n">
        <v>0</v>
      </c>
      <c r="E69" s="67" t="n">
        <v>5</v>
      </c>
      <c r="F69" s="67" t="n">
        <v>3</v>
      </c>
      <c r="G69" s="67" t="n">
        <v>1</v>
      </c>
      <c r="H69" s="67" t="n">
        <v>0</v>
      </c>
      <c r="I69" s="67" t="n">
        <v>0</v>
      </c>
      <c r="J69" s="67" t="n">
        <v>0</v>
      </c>
      <c r="K69" s="67" t="n">
        <v>0</v>
      </c>
      <c r="L69" s="67" t="n">
        <v>4</v>
      </c>
      <c r="M69" s="67" t="n">
        <v>1</v>
      </c>
      <c r="N69" s="67" t="n">
        <v>0</v>
      </c>
      <c r="O69" s="67" t="n">
        <v>0</v>
      </c>
      <c r="P69" s="67" t="n">
        <v>0</v>
      </c>
      <c r="Q69" s="66" t="inlineStr">
        <is>
          <t>Conversion</t>
        </is>
      </c>
      <c r="Z69" s="66">
        <f>"MEDIUM|"&amp;A69</f>
        <v/>
      </c>
      <c r="AA69" s="66">
        <f>Q69&amp;"|"&amp;Z69</f>
        <v/>
      </c>
    </row>
    <row r="70" ht="15" customHeight="1" s="39">
      <c r="A70" s="67" t="inlineStr">
        <is>
          <t>Gelen Fatura Otomasyon</t>
        </is>
      </c>
      <c r="B70" s="67" t="n">
        <v>5</v>
      </c>
      <c r="C70" s="67" t="n">
        <v>1</v>
      </c>
      <c r="D70" s="67" t="n">
        <v>0</v>
      </c>
      <c r="E70" s="67" t="n">
        <v>3</v>
      </c>
      <c r="F70" s="67" t="n">
        <v>3</v>
      </c>
      <c r="G70" s="67" t="n">
        <v>1</v>
      </c>
      <c r="H70" s="67" t="n">
        <v>0</v>
      </c>
      <c r="I70" s="67" t="n">
        <v>2</v>
      </c>
      <c r="J70" s="67" t="n">
        <v>2</v>
      </c>
      <c r="K70" s="67" t="n">
        <v>0</v>
      </c>
      <c r="L70" s="67" t="n">
        <v>2</v>
      </c>
      <c r="M70" s="67" t="n">
        <v>1</v>
      </c>
      <c r="N70" s="67" t="n">
        <v>0</v>
      </c>
      <c r="O70" s="67" t="n">
        <v>0</v>
      </c>
      <c r="P70" s="67" t="n">
        <v>0</v>
      </c>
      <c r="Q70" s="66" t="inlineStr">
        <is>
          <t>Conversion</t>
        </is>
      </c>
      <c r="Z70" s="66">
        <f>"MEDIUM|"&amp;A70</f>
        <v/>
      </c>
      <c r="AA70" s="66">
        <f>Q70&amp;"|"&amp;Z70</f>
        <v/>
      </c>
    </row>
    <row r="71" ht="15" customHeight="1" s="39">
      <c r="A71" s="67" t="inlineStr">
        <is>
          <t>GLASSWING</t>
        </is>
      </c>
      <c r="B71" s="67" t="n">
        <v>35</v>
      </c>
      <c r="C71" s="67" t="n">
        <v>3</v>
      </c>
      <c r="D71" s="67" t="n">
        <v>1</v>
      </c>
      <c r="E71" s="67" t="n">
        <v>8</v>
      </c>
      <c r="F71" s="67" t="n">
        <v>6</v>
      </c>
      <c r="G71" s="67" t="n">
        <v>1</v>
      </c>
      <c r="H71" s="67" t="n">
        <v>0</v>
      </c>
      <c r="I71" s="67" t="n">
        <v>15</v>
      </c>
      <c r="J71" s="67" t="n">
        <v>15</v>
      </c>
      <c r="K71" s="67" t="n">
        <v>8</v>
      </c>
      <c r="L71" s="67" t="n">
        <v>1</v>
      </c>
      <c r="M71" s="67" t="n">
        <v>2</v>
      </c>
      <c r="N71" s="67" t="n">
        <v>5</v>
      </c>
      <c r="O71" s="67" t="n">
        <v>0</v>
      </c>
      <c r="P71" s="67" t="n">
        <v>0</v>
      </c>
      <c r="Q71" s="66" t="inlineStr">
        <is>
          <t>Conversion</t>
        </is>
      </c>
      <c r="Z71" s="66">
        <f>"MEDIUM|"&amp;A71</f>
        <v/>
      </c>
      <c r="AA71" s="66">
        <f>Q71&amp;"|"&amp;Z71</f>
        <v/>
      </c>
    </row>
    <row r="72" ht="15" customHeight="1" s="39">
      <c r="A72" s="67" t="inlineStr">
        <is>
          <t>COMMODITY</t>
        </is>
      </c>
      <c r="B72" s="67" t="n">
        <v>65</v>
      </c>
      <c r="C72" s="67" t="n">
        <v>7</v>
      </c>
      <c r="D72" s="67" t="n">
        <v>2</v>
      </c>
      <c r="E72" s="67" t="n">
        <v>8</v>
      </c>
      <c r="F72" s="67" t="n">
        <v>7</v>
      </c>
      <c r="G72" s="67" t="n">
        <v>2</v>
      </c>
      <c r="H72" s="67" t="n">
        <v>1</v>
      </c>
      <c r="I72" s="67" t="n">
        <v>20</v>
      </c>
      <c r="J72" s="67" t="n">
        <v>20</v>
      </c>
      <c r="K72" s="67" t="n">
        <v>3</v>
      </c>
      <c r="L72" s="67" t="n">
        <v>2</v>
      </c>
      <c r="M72" s="67" t="n">
        <v>4</v>
      </c>
      <c r="N72" s="67" t="n">
        <v>9</v>
      </c>
      <c r="O72" s="67" t="n">
        <v>0</v>
      </c>
      <c r="P72" s="67" t="n">
        <v>0</v>
      </c>
      <c r="Q72" s="66" t="inlineStr">
        <is>
          <t>Conversion</t>
        </is>
      </c>
      <c r="Z72" s="66">
        <f>"MEDIUM|"&amp;A72</f>
        <v/>
      </c>
      <c r="AA72" s="66">
        <f>Q72&amp;"|"&amp;Z72</f>
        <v/>
      </c>
    </row>
    <row r="73" ht="15" customHeight="1" s="39">
      <c r="A73" s="67" t="inlineStr">
        <is>
          <t>Dış Ticaret Çözümü</t>
        </is>
      </c>
      <c r="B73" s="67" t="n">
        <v>0</v>
      </c>
      <c r="C73" s="67" t="n">
        <v>0</v>
      </c>
      <c r="D73" s="67" t="n">
        <v>0</v>
      </c>
      <c r="E73" s="67" t="n">
        <v>0</v>
      </c>
      <c r="F73" s="67" t="n">
        <v>0</v>
      </c>
      <c r="G73" s="67" t="n">
        <v>0</v>
      </c>
      <c r="H73" s="67" t="n">
        <v>0</v>
      </c>
      <c r="I73" s="67" t="n">
        <v>0</v>
      </c>
      <c r="J73" s="67" t="n">
        <v>0</v>
      </c>
      <c r="K73" s="67" t="n">
        <v>0</v>
      </c>
      <c r="L73" s="67" t="n">
        <v>0</v>
      </c>
      <c r="M73" s="67" t="n">
        <v>0</v>
      </c>
      <c r="N73" s="67" t="n">
        <v>0</v>
      </c>
      <c r="O73" s="67" t="n">
        <v>0</v>
      </c>
      <c r="P73" s="67" t="n">
        <v>0</v>
      </c>
      <c r="Q73" s="66" t="inlineStr">
        <is>
          <t>Conversion</t>
        </is>
      </c>
      <c r="Z73" s="66">
        <f>"MEDIUM|"&amp;A73</f>
        <v/>
      </c>
      <c r="AA73" s="66">
        <f>Q73&amp;"|"&amp;Z73</f>
        <v/>
      </c>
    </row>
    <row r="74" ht="15" customHeight="1" s="39">
      <c r="A74" s="67" t="inlineStr">
        <is>
          <t>Seyahat ve Masraf Yönetimi</t>
        </is>
      </c>
      <c r="B74" s="67" t="n">
        <v>0</v>
      </c>
      <c r="C74" s="67" t="n">
        <v>0</v>
      </c>
      <c r="D74" s="67" t="n">
        <v>0</v>
      </c>
      <c r="E74" s="67" t="n">
        <v>0</v>
      </c>
      <c r="F74" s="67" t="n">
        <v>0</v>
      </c>
      <c r="G74" s="67" t="n">
        <v>0</v>
      </c>
      <c r="H74" s="67" t="n">
        <v>0</v>
      </c>
      <c r="I74" s="67" t="n">
        <v>0</v>
      </c>
      <c r="J74" s="67" t="n">
        <v>0</v>
      </c>
      <c r="K74" s="67" t="n">
        <v>0</v>
      </c>
      <c r="L74" s="67" t="n">
        <v>0</v>
      </c>
      <c r="M74" s="67" t="n">
        <v>0</v>
      </c>
      <c r="N74" s="67" t="n">
        <v>0</v>
      </c>
      <c r="O74" s="67" t="n">
        <v>0</v>
      </c>
      <c r="P74" s="67" t="n">
        <v>0</v>
      </c>
      <c r="Q74" s="66" t="inlineStr">
        <is>
          <t>Conversion</t>
        </is>
      </c>
      <c r="Z74" s="66">
        <f>"MEDIUM|"&amp;A74</f>
        <v/>
      </c>
      <c r="AA74" s="66">
        <f>Q74&amp;"|"&amp;Z74</f>
        <v/>
      </c>
    </row>
    <row r="75" ht="15" customHeight="1" s="39">
      <c r="A75" s="67" t="inlineStr">
        <is>
          <t>NTT Data POS</t>
        </is>
      </c>
      <c r="B75" s="67" t="n">
        <v>0</v>
      </c>
      <c r="C75" s="67" t="n">
        <v>0</v>
      </c>
      <c r="D75" s="67" t="n">
        <v>0</v>
      </c>
      <c r="E75" s="67" t="n">
        <v>0</v>
      </c>
      <c r="F75" s="67" t="n">
        <v>0</v>
      </c>
      <c r="G75" s="67" t="n">
        <v>0</v>
      </c>
      <c r="H75" s="67" t="n">
        <v>0</v>
      </c>
      <c r="I75" s="67" t="n">
        <v>0</v>
      </c>
      <c r="J75" s="67" t="n">
        <v>0</v>
      </c>
      <c r="K75" s="67" t="n">
        <v>0</v>
      </c>
      <c r="L75" s="67" t="n">
        <v>0</v>
      </c>
      <c r="M75" s="67" t="n">
        <v>0</v>
      </c>
      <c r="N75" s="67" t="n">
        <v>0</v>
      </c>
      <c r="O75" s="67" t="n">
        <v>0</v>
      </c>
      <c r="P75" s="67" t="n">
        <v>0</v>
      </c>
      <c r="Q75" s="66" t="inlineStr">
        <is>
          <t>Conversion</t>
        </is>
      </c>
      <c r="Z75" s="66">
        <f>"MEDIUM|"&amp;A75</f>
        <v/>
      </c>
      <c r="AA75" s="66">
        <f>Q75&amp;"|"&amp;Z75</f>
        <v/>
      </c>
    </row>
    <row r="77" ht="15" customHeight="1" s="39">
      <c r="A77" s="68" t="inlineStr">
        <is>
          <t>LARGE</t>
        </is>
      </c>
      <c r="Q77" s="68" t="inlineStr">
        <is>
          <t>Conversion</t>
        </is>
      </c>
    </row>
    <row r="78" ht="15" customHeight="1" s="39">
      <c r="A78" s="67">
        <f>INDEX(Translations!$D:$ZZ, MATCH(74,Translations!$A:$A,0), MATCH('Project Information'!$C$4,Translations!$D$1:$ZZ$1,0))</f>
        <v/>
      </c>
      <c r="B78" s="67">
        <f>INDEX(Translations!$D:$ZZ, MATCH(75,Translations!$A:$A,0), MATCH('Project Information'!$C$4,Translations!$D$1:$ZZ$1,0))</f>
        <v/>
      </c>
      <c r="C78" s="67">
        <f>INDEX(Translations!$D:$ZZ, MATCH(76,Translations!$A:$A,0), MATCH('Project Information'!$C$4,Translations!$D$1:$ZZ$1,0))</f>
        <v/>
      </c>
      <c r="D78" s="67">
        <f>INDEX(Translations!$D:$ZZ, MATCH(77,Translations!$A:$A,0), MATCH('Project Information'!$C$4,Translations!$D$1:$ZZ$1,0))</f>
        <v/>
      </c>
      <c r="E78" s="67">
        <f>INDEX(Translations!$D:$ZZ, MATCH(78,Translations!$A:$A,0), MATCH('Project Information'!$C$4,Translations!$D$1:$ZZ$1,0))</f>
        <v/>
      </c>
      <c r="F78" s="67">
        <f>INDEX(Translations!$D:$ZZ, MATCH(79,Translations!$A:$A,0), MATCH('Project Information'!$C$4,Translations!$D$1:$ZZ$1,0))</f>
        <v/>
      </c>
      <c r="G78" s="67">
        <f>INDEX(Translations!$D:$ZZ, MATCH(80,Translations!$A:$A,0), MATCH('Project Information'!$C$4,Translations!$D$1:$ZZ$1,0))</f>
        <v/>
      </c>
      <c r="H78" s="67">
        <f>INDEX(Translations!$D:$ZZ, MATCH(81,Translations!$A:$A,0), MATCH('Project Information'!$C$4,Translations!$D$1:$ZZ$1,0))</f>
        <v/>
      </c>
      <c r="I78" s="67">
        <f>INDEX(Translations!$D:$ZZ, MATCH(82,Translations!$A:$A,0), MATCH('Project Information'!$C$4,Translations!$D$1:$ZZ$1,0))</f>
        <v/>
      </c>
      <c r="J78" s="67">
        <f>INDEX(Translations!$D:$ZZ, MATCH(83,Translations!$A:$A,0), MATCH('Project Information'!$C$4,Translations!$D$1:$ZZ$1,0))</f>
        <v/>
      </c>
      <c r="K78" s="67">
        <f>INDEX(Translations!$D:$ZZ, MATCH(84,Translations!$A:$A,0), MATCH('Project Information'!$C$4,Translations!$D$1:$ZZ$1,0))</f>
        <v/>
      </c>
      <c r="L78" s="67">
        <f>INDEX(Translations!$D:$ZZ, MATCH(85,Translations!$A:$A,0), MATCH('Project Information'!$C$4,Translations!$D$1:$ZZ$1,0))</f>
        <v/>
      </c>
      <c r="M78" s="67">
        <f>INDEX(Translations!$D:$ZZ, MATCH(86,Translations!$A:$A,0), MATCH('Project Information'!$C$4,Translations!$D$1:$ZZ$1,0))</f>
        <v/>
      </c>
      <c r="N78" s="67">
        <f>INDEX(Translations!$D:$ZZ, MATCH(87,Translations!$A:$A,0), MATCH('Project Information'!$C$4,Translations!$D$1:$ZZ$1,0))</f>
        <v/>
      </c>
      <c r="O78" s="67">
        <f>INDEX(Translations!$D:$ZZ, MATCH(88,Translations!$A:$A,0), MATCH('Project Information'!$C$4,Translations!$D$1:$ZZ$1,0))</f>
        <v/>
      </c>
      <c r="P78" s="67">
        <f>INDEX(Translations!$D:$ZZ, MATCH(89,Translations!$A:$A,0), MATCH('Project Information'!$C$4,Translations!$D$1:$ZZ$1,0))</f>
        <v/>
      </c>
      <c r="Q78" s="67" t="inlineStr">
        <is>
          <t>Implementation Type</t>
        </is>
      </c>
      <c r="Z78" s="67">
        <f>INDEX(Translations!$D:$ZZ, MATCH(93,Translations!$A:$A,0), MATCH('Project Information'!$C$4,Translations!$D$1:$ZZ$1,0))</f>
        <v/>
      </c>
      <c r="AA78" s="67" t="inlineStr">
        <is>
          <t>Implementation Key</t>
        </is>
      </c>
    </row>
    <row r="79" ht="15" customHeight="1" s="39">
      <c r="A79" s="67" t="inlineStr">
        <is>
          <t>FI</t>
        </is>
      </c>
      <c r="B79" s="67" t="n">
        <v>245</v>
      </c>
      <c r="C79" s="67" t="n">
        <v>10</v>
      </c>
      <c r="D79" s="67" t="n">
        <v>5</v>
      </c>
      <c r="E79" s="67" t="n">
        <v>5</v>
      </c>
      <c r="F79" s="67" t="n">
        <v>5</v>
      </c>
      <c r="G79" s="67" t="n">
        <v>2</v>
      </c>
      <c r="H79" s="67" t="n">
        <v>3</v>
      </c>
      <c r="I79" s="67" t="n">
        <v>28</v>
      </c>
      <c r="J79" s="67" t="n">
        <v>28</v>
      </c>
      <c r="K79" s="67" t="n">
        <v>3</v>
      </c>
      <c r="L79" s="67" t="n">
        <v>2</v>
      </c>
      <c r="M79" s="67" t="n">
        <v>15</v>
      </c>
      <c r="N79" s="67" t="n">
        <v>15</v>
      </c>
      <c r="O79" s="67" t="n">
        <v>0</v>
      </c>
      <c r="P79" s="67" t="n">
        <v>0</v>
      </c>
      <c r="Q79" s="66" t="inlineStr">
        <is>
          <t>Conversion</t>
        </is>
      </c>
      <c r="Z79" s="66">
        <f>"LARGE|"&amp;A79</f>
        <v/>
      </c>
      <c r="AA79" s="66">
        <f>Q79&amp;"|"&amp;Z79</f>
        <v/>
      </c>
    </row>
    <row r="80" ht="15" customHeight="1" s="39">
      <c r="A80" s="67" t="inlineStr">
        <is>
          <t>CO</t>
        </is>
      </c>
      <c r="B80" s="67" t="n">
        <v>245</v>
      </c>
      <c r="C80" s="67" t="n">
        <v>10</v>
      </c>
      <c r="D80" s="67" t="n">
        <v>5</v>
      </c>
      <c r="E80" s="67" t="n">
        <v>4</v>
      </c>
      <c r="F80" s="67" t="n">
        <v>5</v>
      </c>
      <c r="G80" s="67" t="n">
        <v>2</v>
      </c>
      <c r="H80" s="67" t="n">
        <v>2</v>
      </c>
      <c r="I80" s="67" t="n">
        <v>28</v>
      </c>
      <c r="J80" s="67" t="n">
        <v>28</v>
      </c>
      <c r="K80" s="67" t="n">
        <v>3</v>
      </c>
      <c r="L80" s="67" t="n">
        <v>2</v>
      </c>
      <c r="M80" s="67" t="n">
        <v>10</v>
      </c>
      <c r="N80" s="67" t="n">
        <v>10</v>
      </c>
      <c r="O80" s="67" t="n">
        <v>0</v>
      </c>
      <c r="P80" s="67" t="n">
        <v>0</v>
      </c>
      <c r="Q80" s="66" t="inlineStr">
        <is>
          <t>Conversion</t>
        </is>
      </c>
      <c r="Z80" s="66">
        <f>"LARGE|"&amp;A80</f>
        <v/>
      </c>
      <c r="AA80" s="66">
        <f>Q80&amp;"|"&amp;Z80</f>
        <v/>
      </c>
    </row>
    <row r="81" ht="15" customHeight="1" s="39">
      <c r="A81" s="67" t="inlineStr">
        <is>
          <t>TRM</t>
        </is>
      </c>
      <c r="B81" s="67" t="n">
        <v>100</v>
      </c>
      <c r="C81" s="67" t="n">
        <v>4</v>
      </c>
      <c r="D81" s="67" t="n">
        <v>2</v>
      </c>
      <c r="E81" s="67" t="n">
        <v>2</v>
      </c>
      <c r="F81" s="67" t="n">
        <v>3</v>
      </c>
      <c r="G81" s="67" t="n">
        <v>1</v>
      </c>
      <c r="H81" s="67" t="n">
        <v>1</v>
      </c>
      <c r="I81" s="67" t="n">
        <v>10</v>
      </c>
      <c r="J81" s="67" t="n">
        <v>10</v>
      </c>
      <c r="K81" s="67" t="n">
        <v>1</v>
      </c>
      <c r="L81" s="67" t="n">
        <v>1</v>
      </c>
      <c r="M81" s="67" t="n">
        <v>10</v>
      </c>
      <c r="N81" s="67" t="n">
        <v>10</v>
      </c>
      <c r="O81" s="67" t="n">
        <v>0</v>
      </c>
      <c r="P81" s="67" t="n">
        <v>0</v>
      </c>
      <c r="Q81" s="66" t="inlineStr">
        <is>
          <t>Conversion</t>
        </is>
      </c>
      <c r="Z81" s="66">
        <f>"LARGE|"&amp;A81</f>
        <v/>
      </c>
      <c r="AA81" s="66">
        <f>Q81&amp;"|"&amp;Z81</f>
        <v/>
      </c>
    </row>
    <row r="82" ht="15" customHeight="1" s="39">
      <c r="A82" s="67" t="inlineStr">
        <is>
          <t>CM</t>
        </is>
      </c>
      <c r="B82" s="67" t="n">
        <v>100</v>
      </c>
      <c r="C82" s="67" t="n">
        <v>3</v>
      </c>
      <c r="D82" s="67" t="n">
        <v>2</v>
      </c>
      <c r="E82" s="67" t="n">
        <v>2</v>
      </c>
      <c r="F82" s="67" t="n">
        <v>3</v>
      </c>
      <c r="G82" s="67" t="n">
        <v>1</v>
      </c>
      <c r="H82" s="67" t="n">
        <v>1</v>
      </c>
      <c r="I82" s="67" t="n">
        <v>10</v>
      </c>
      <c r="J82" s="67" t="n">
        <v>10</v>
      </c>
      <c r="K82" s="67" t="n">
        <v>1</v>
      </c>
      <c r="L82" s="67" t="n">
        <v>1</v>
      </c>
      <c r="M82" s="67" t="n">
        <v>5</v>
      </c>
      <c r="N82" s="67" t="n">
        <v>5</v>
      </c>
      <c r="O82" s="67" t="n">
        <v>0</v>
      </c>
      <c r="P82" s="67" t="n">
        <v>0</v>
      </c>
      <c r="Q82" s="66" t="inlineStr">
        <is>
          <t>Conversion</t>
        </is>
      </c>
      <c r="Z82" s="66">
        <f>"LARGE|"&amp;A82</f>
        <v/>
      </c>
      <c r="AA82" s="66">
        <f>Q82&amp;"|"&amp;Z82</f>
        <v/>
      </c>
    </row>
    <row r="83" ht="15" customHeight="1" s="39">
      <c r="A83" s="67" t="inlineStr">
        <is>
          <t>FM</t>
        </is>
      </c>
      <c r="B83" s="67" t="n">
        <v>100</v>
      </c>
      <c r="C83" s="67" t="n">
        <v>3</v>
      </c>
      <c r="D83" s="67" t="n">
        <v>2</v>
      </c>
      <c r="E83" s="67" t="n">
        <v>2</v>
      </c>
      <c r="F83" s="67" t="n">
        <v>3</v>
      </c>
      <c r="G83" s="67" t="n">
        <v>1</v>
      </c>
      <c r="H83" s="67" t="n">
        <v>1</v>
      </c>
      <c r="I83" s="67" t="n">
        <v>10</v>
      </c>
      <c r="J83" s="67" t="n">
        <v>10</v>
      </c>
      <c r="K83" s="67" t="n">
        <v>1</v>
      </c>
      <c r="L83" s="67" t="n">
        <v>1</v>
      </c>
      <c r="M83" s="67" t="n">
        <v>5</v>
      </c>
      <c r="N83" s="67" t="n">
        <v>5</v>
      </c>
      <c r="O83" s="67" t="n">
        <v>0</v>
      </c>
      <c r="P83" s="67" t="n">
        <v>0</v>
      </c>
      <c r="Q83" s="66" t="inlineStr">
        <is>
          <t>Conversion</t>
        </is>
      </c>
      <c r="Z83" s="66">
        <f>"LARGE|"&amp;A83</f>
        <v/>
      </c>
      <c r="AA83" s="66">
        <f>Q83&amp;"|"&amp;Z83</f>
        <v/>
      </c>
    </row>
    <row r="84" ht="15" customHeight="1" s="39">
      <c r="A84" s="67" t="inlineStr">
        <is>
          <t>RM</t>
        </is>
      </c>
      <c r="B84" s="67" t="n">
        <v>0</v>
      </c>
      <c r="C84" s="67" t="n">
        <v>0</v>
      </c>
      <c r="D84" s="67" t="n">
        <v>0</v>
      </c>
      <c r="E84" s="67" t="n">
        <v>0</v>
      </c>
      <c r="F84" s="67" t="n">
        <v>0</v>
      </c>
      <c r="G84" s="67" t="n">
        <v>0</v>
      </c>
      <c r="H84" s="67" t="n">
        <v>0</v>
      </c>
      <c r="I84" s="67" t="n">
        <v>0</v>
      </c>
      <c r="J84" s="67" t="n">
        <v>0</v>
      </c>
      <c r="K84" s="67" t="n">
        <v>0</v>
      </c>
      <c r="L84" s="67" t="n">
        <v>0</v>
      </c>
      <c r="M84" s="67" t="n">
        <v>0</v>
      </c>
      <c r="N84" s="67" t="n">
        <v>0</v>
      </c>
      <c r="O84" s="67" t="n">
        <v>0</v>
      </c>
      <c r="P84" s="67" t="n">
        <v>0</v>
      </c>
      <c r="Q84" s="66" t="inlineStr">
        <is>
          <t>Conversion</t>
        </is>
      </c>
      <c r="Z84" s="66">
        <f>"LARGE|"&amp;A84</f>
        <v/>
      </c>
      <c r="AA84" s="66">
        <f>Q84&amp;"|"&amp;Z84</f>
        <v/>
      </c>
    </row>
    <row r="85" ht="15" customHeight="1" s="39">
      <c r="A85" s="67" t="inlineStr">
        <is>
          <t>RE/FX</t>
        </is>
      </c>
      <c r="B85" s="67" t="n">
        <v>0</v>
      </c>
      <c r="C85" s="67" t="n">
        <v>0</v>
      </c>
      <c r="D85" s="67" t="n">
        <v>0</v>
      </c>
      <c r="E85" s="67" t="n">
        <v>0</v>
      </c>
      <c r="F85" s="67" t="n">
        <v>0</v>
      </c>
      <c r="G85" s="67" t="n">
        <v>0</v>
      </c>
      <c r="H85" s="67" t="n">
        <v>0</v>
      </c>
      <c r="I85" s="67" t="n">
        <v>0</v>
      </c>
      <c r="J85" s="67" t="n">
        <v>0</v>
      </c>
      <c r="K85" s="67" t="n">
        <v>0</v>
      </c>
      <c r="L85" s="67" t="n">
        <v>0</v>
      </c>
      <c r="M85" s="67" t="n">
        <v>0</v>
      </c>
      <c r="N85" s="67" t="n">
        <v>0</v>
      </c>
      <c r="O85" s="67" t="n">
        <v>0</v>
      </c>
      <c r="P85" s="67" t="n">
        <v>0</v>
      </c>
      <c r="Q85" s="66" t="inlineStr">
        <is>
          <t>Conversion</t>
        </is>
      </c>
      <c r="Z85" s="66">
        <f>"LARGE|"&amp;A85</f>
        <v/>
      </c>
      <c r="AA85" s="66">
        <f>Q85&amp;"|"&amp;Z85</f>
        <v/>
      </c>
    </row>
    <row r="86" ht="15" customHeight="1" s="39">
      <c r="A86" s="67" t="inlineStr">
        <is>
          <t>MM</t>
        </is>
      </c>
      <c r="B86" s="67" t="n">
        <v>245</v>
      </c>
      <c r="C86" s="67" t="n">
        <v>10</v>
      </c>
      <c r="D86" s="67" t="n">
        <v>5</v>
      </c>
      <c r="E86" s="67" t="n">
        <v>5</v>
      </c>
      <c r="F86" s="67" t="n">
        <v>5</v>
      </c>
      <c r="G86" s="67" t="n">
        <v>2</v>
      </c>
      <c r="H86" s="67" t="n">
        <v>7</v>
      </c>
      <c r="I86" s="67" t="n">
        <v>28</v>
      </c>
      <c r="J86" s="67" t="n">
        <v>28</v>
      </c>
      <c r="K86" s="67" t="n">
        <v>3</v>
      </c>
      <c r="L86" s="67" t="n">
        <v>2</v>
      </c>
      <c r="M86" s="67" t="n">
        <v>20</v>
      </c>
      <c r="N86" s="67" t="n">
        <v>20</v>
      </c>
      <c r="O86" s="67" t="n">
        <v>0</v>
      </c>
      <c r="P86" s="67" t="n">
        <v>0</v>
      </c>
      <c r="Q86" s="66" t="inlineStr">
        <is>
          <t>Conversion</t>
        </is>
      </c>
      <c r="Z86" s="66">
        <f>"LARGE|"&amp;A86</f>
        <v/>
      </c>
      <c r="AA86" s="66">
        <f>Q86&amp;"|"&amp;Z86</f>
        <v/>
      </c>
    </row>
    <row r="87" ht="15" customHeight="1" s="39">
      <c r="A87" s="67" t="inlineStr">
        <is>
          <t>PP</t>
        </is>
      </c>
      <c r="B87" s="67" t="n">
        <v>245</v>
      </c>
      <c r="C87" s="67" t="n">
        <v>10</v>
      </c>
      <c r="D87" s="67" t="n">
        <v>5</v>
      </c>
      <c r="E87" s="67" t="n">
        <v>5</v>
      </c>
      <c r="F87" s="67" t="n">
        <v>5</v>
      </c>
      <c r="G87" s="67" t="n">
        <v>2</v>
      </c>
      <c r="H87" s="67" t="n">
        <v>7</v>
      </c>
      <c r="I87" s="67" t="n">
        <v>28</v>
      </c>
      <c r="J87" s="67" t="n">
        <v>28</v>
      </c>
      <c r="K87" s="67" t="n">
        <v>3</v>
      </c>
      <c r="L87" s="67" t="n">
        <v>2</v>
      </c>
      <c r="M87" s="67" t="n">
        <v>20</v>
      </c>
      <c r="N87" s="67" t="n">
        <v>20</v>
      </c>
      <c r="O87" s="67" t="n">
        <v>0</v>
      </c>
      <c r="P87" s="67" t="n">
        <v>0</v>
      </c>
      <c r="Q87" s="66" t="inlineStr">
        <is>
          <t>Conversion</t>
        </is>
      </c>
      <c r="Z87" s="66">
        <f>"LARGE|"&amp;A87</f>
        <v/>
      </c>
      <c r="AA87" s="66">
        <f>Q87&amp;"|"&amp;Z87</f>
        <v/>
      </c>
    </row>
    <row r="88" ht="15" customHeight="1" s="39">
      <c r="A88" s="67" t="inlineStr">
        <is>
          <t>SD</t>
        </is>
      </c>
      <c r="B88" s="67" t="n">
        <v>245</v>
      </c>
      <c r="C88" s="67" t="n">
        <v>10</v>
      </c>
      <c r="D88" s="67" t="n">
        <v>5</v>
      </c>
      <c r="E88" s="67" t="n">
        <v>5</v>
      </c>
      <c r="F88" s="67" t="n">
        <v>5</v>
      </c>
      <c r="G88" s="67" t="n">
        <v>2</v>
      </c>
      <c r="H88" s="67" t="n">
        <v>5</v>
      </c>
      <c r="I88" s="67" t="n">
        <v>28</v>
      </c>
      <c r="J88" s="67" t="n">
        <v>28</v>
      </c>
      <c r="K88" s="67" t="n">
        <v>3</v>
      </c>
      <c r="L88" s="67" t="n">
        <v>2</v>
      </c>
      <c r="M88" s="67" t="n">
        <v>15</v>
      </c>
      <c r="N88" s="67" t="n">
        <v>15</v>
      </c>
      <c r="O88" s="67" t="n">
        <v>0</v>
      </c>
      <c r="P88" s="67" t="n">
        <v>0</v>
      </c>
      <c r="Q88" s="66" t="inlineStr">
        <is>
          <t>Conversion</t>
        </is>
      </c>
      <c r="Z88" s="66">
        <f>"LARGE|"&amp;A88</f>
        <v/>
      </c>
      <c r="AA88" s="66">
        <f>Q88&amp;"|"&amp;Z88</f>
        <v/>
      </c>
    </row>
    <row r="89" ht="15" customHeight="1" s="39">
      <c r="A89" s="67" t="inlineStr">
        <is>
          <t>QM</t>
        </is>
      </c>
      <c r="B89" s="67" t="n">
        <v>245</v>
      </c>
      <c r="C89" s="67" t="n">
        <v>8</v>
      </c>
      <c r="D89" s="67" t="n">
        <v>5</v>
      </c>
      <c r="E89" s="67" t="n">
        <v>4</v>
      </c>
      <c r="F89" s="67" t="n">
        <v>5</v>
      </c>
      <c r="G89" s="67" t="n">
        <v>1</v>
      </c>
      <c r="H89" s="67" t="n">
        <v>6</v>
      </c>
      <c r="I89" s="67" t="n">
        <v>26</v>
      </c>
      <c r="J89" s="67" t="n">
        <v>26</v>
      </c>
      <c r="K89" s="67" t="n">
        <v>2</v>
      </c>
      <c r="L89" s="67" t="n">
        <v>1</v>
      </c>
      <c r="M89" s="67" t="n">
        <v>15</v>
      </c>
      <c r="N89" s="67" t="n">
        <v>15</v>
      </c>
      <c r="O89" s="67" t="n">
        <v>0</v>
      </c>
      <c r="P89" s="67" t="n">
        <v>0</v>
      </c>
      <c r="Q89" s="66" t="inlineStr">
        <is>
          <t>Conversion</t>
        </is>
      </c>
      <c r="Z89" s="66">
        <f>"LARGE|"&amp;A89</f>
        <v/>
      </c>
      <c r="AA89" s="66">
        <f>Q89&amp;"|"&amp;Z89</f>
        <v/>
      </c>
    </row>
    <row r="90" ht="15" customHeight="1" s="39">
      <c r="A90" s="67" t="inlineStr">
        <is>
          <t>PM</t>
        </is>
      </c>
      <c r="B90" s="67" t="n">
        <v>196</v>
      </c>
      <c r="C90" s="67" t="n">
        <v>8</v>
      </c>
      <c r="D90" s="67" t="n">
        <v>3</v>
      </c>
      <c r="E90" s="67" t="n">
        <v>3</v>
      </c>
      <c r="F90" s="67" t="n">
        <v>5</v>
      </c>
      <c r="G90" s="67" t="n">
        <v>1</v>
      </c>
      <c r="H90" s="67" t="n">
        <v>4</v>
      </c>
      <c r="I90" s="67" t="n">
        <v>16</v>
      </c>
      <c r="J90" s="67" t="n">
        <v>16</v>
      </c>
      <c r="K90" s="67" t="n">
        <v>2</v>
      </c>
      <c r="L90" s="67" t="n">
        <v>1</v>
      </c>
      <c r="M90" s="67" t="n">
        <v>10</v>
      </c>
      <c r="N90" s="67" t="n">
        <v>10</v>
      </c>
      <c r="O90" s="67" t="n">
        <v>0</v>
      </c>
      <c r="P90" s="67" t="n">
        <v>0</v>
      </c>
      <c r="Q90" s="66" t="inlineStr">
        <is>
          <t>Conversion</t>
        </is>
      </c>
      <c r="Z90" s="66">
        <f>"LARGE|"&amp;A90</f>
        <v/>
      </c>
      <c r="AA90" s="66">
        <f>Q90&amp;"|"&amp;Z90</f>
        <v/>
      </c>
    </row>
    <row r="91" ht="15" customHeight="1" s="39">
      <c r="A91" s="67" t="inlineStr">
        <is>
          <t>PS</t>
        </is>
      </c>
      <c r="B91" s="67" t="n">
        <v>196</v>
      </c>
      <c r="C91" s="67" t="n">
        <v>8</v>
      </c>
      <c r="D91" s="67" t="n">
        <v>3</v>
      </c>
      <c r="E91" s="67" t="n">
        <v>3</v>
      </c>
      <c r="F91" s="67" t="n">
        <v>5</v>
      </c>
      <c r="G91" s="67" t="n">
        <v>1</v>
      </c>
      <c r="H91" s="67" t="n">
        <v>4</v>
      </c>
      <c r="I91" s="67" t="n">
        <v>16</v>
      </c>
      <c r="J91" s="67" t="n">
        <v>16</v>
      </c>
      <c r="K91" s="67" t="n">
        <v>2</v>
      </c>
      <c r="L91" s="67" t="n">
        <v>1</v>
      </c>
      <c r="M91" s="67" t="n">
        <v>10</v>
      </c>
      <c r="N91" s="67" t="n">
        <v>10</v>
      </c>
      <c r="O91" s="67" t="n">
        <v>0</v>
      </c>
      <c r="P91" s="67" t="n">
        <v>0</v>
      </c>
      <c r="Q91" s="66" t="inlineStr">
        <is>
          <t>Conversion</t>
        </is>
      </c>
      <c r="Z91" s="66">
        <f>"LARGE|"&amp;A91</f>
        <v/>
      </c>
      <c r="AA91" s="66">
        <f>Q91&amp;"|"&amp;Z91</f>
        <v/>
      </c>
    </row>
    <row r="92" ht="15" customHeight="1" s="39">
      <c r="A92" s="67" t="inlineStr">
        <is>
          <t>MII/DM</t>
        </is>
      </c>
      <c r="B92" s="67" t="n">
        <v>0</v>
      </c>
      <c r="C92" s="67" t="n">
        <v>0</v>
      </c>
      <c r="D92" s="67" t="n">
        <v>0</v>
      </c>
      <c r="E92" s="67" t="n">
        <v>0</v>
      </c>
      <c r="F92" s="67" t="n">
        <v>0</v>
      </c>
      <c r="G92" s="67" t="n">
        <v>0</v>
      </c>
      <c r="H92" s="67" t="n">
        <v>0</v>
      </c>
      <c r="I92" s="67" t="n">
        <v>0</v>
      </c>
      <c r="J92" s="67" t="n">
        <v>0</v>
      </c>
      <c r="K92" s="67" t="n">
        <v>0</v>
      </c>
      <c r="L92" s="67" t="n">
        <v>0</v>
      </c>
      <c r="M92" s="67" t="n">
        <v>0</v>
      </c>
      <c r="N92" s="67" t="n">
        <v>0</v>
      </c>
      <c r="O92" s="67" t="n">
        <v>0</v>
      </c>
      <c r="P92" s="67" t="n">
        <v>0</v>
      </c>
      <c r="Q92" s="66" t="inlineStr">
        <is>
          <t>Conversion</t>
        </is>
      </c>
      <c r="Z92" s="66">
        <f>"LARGE|"&amp;A92</f>
        <v/>
      </c>
      <c r="AA92" s="66">
        <f>Q92&amp;"|"&amp;Z92</f>
        <v/>
      </c>
    </row>
    <row r="93" ht="15" customHeight="1" s="39">
      <c r="A93" s="67" t="inlineStr">
        <is>
          <t>PM Mobility</t>
        </is>
      </c>
      <c r="B93" s="67" t="n">
        <v>0</v>
      </c>
      <c r="C93" s="67" t="n">
        <v>0</v>
      </c>
      <c r="D93" s="67" t="n">
        <v>0</v>
      </c>
      <c r="E93" s="67" t="n">
        <v>0</v>
      </c>
      <c r="F93" s="67" t="n">
        <v>0</v>
      </c>
      <c r="G93" s="67" t="n">
        <v>0</v>
      </c>
      <c r="H93" s="67" t="n">
        <v>0</v>
      </c>
      <c r="I93" s="67" t="n">
        <v>0</v>
      </c>
      <c r="J93" s="67" t="n">
        <v>0</v>
      </c>
      <c r="K93" s="67" t="n">
        <v>0</v>
      </c>
      <c r="L93" s="67" t="n">
        <v>0</v>
      </c>
      <c r="M93" s="67" t="n">
        <v>0</v>
      </c>
      <c r="N93" s="67" t="n">
        <v>0</v>
      </c>
      <c r="O93" s="67" t="n">
        <v>0</v>
      </c>
      <c r="P93" s="67" t="n">
        <v>0</v>
      </c>
      <c r="Q93" s="66" t="inlineStr">
        <is>
          <t>Conversion</t>
        </is>
      </c>
      <c r="Z93" s="66">
        <f>"LARGE|"&amp;A93</f>
        <v/>
      </c>
      <c r="AA93" s="66">
        <f>Q93&amp;"|"&amp;Z93</f>
        <v/>
      </c>
    </row>
    <row r="94" ht="15" customHeight="1" s="39">
      <c r="A94" s="67" t="inlineStr">
        <is>
          <t>Basic EWM</t>
        </is>
      </c>
      <c r="B94" s="67" t="n">
        <v>245</v>
      </c>
      <c r="C94" s="67" t="n">
        <v>10</v>
      </c>
      <c r="D94" s="67" t="n">
        <v>5</v>
      </c>
      <c r="E94" s="67" t="n">
        <v>5</v>
      </c>
      <c r="F94" s="67" t="n">
        <v>5</v>
      </c>
      <c r="G94" s="67" t="n">
        <v>2</v>
      </c>
      <c r="H94" s="67" t="n">
        <v>4</v>
      </c>
      <c r="I94" s="67" t="n">
        <v>28</v>
      </c>
      <c r="J94" s="67" t="n">
        <v>28</v>
      </c>
      <c r="K94" s="67" t="n">
        <v>2</v>
      </c>
      <c r="L94" s="67" t="n">
        <v>2</v>
      </c>
      <c r="M94" s="67" t="n">
        <v>10</v>
      </c>
      <c r="N94" s="67" t="n">
        <v>10</v>
      </c>
      <c r="O94" s="67" t="n">
        <v>0</v>
      </c>
      <c r="P94" s="67" t="n">
        <v>0</v>
      </c>
      <c r="Q94" s="66" t="inlineStr">
        <is>
          <t>Conversion</t>
        </is>
      </c>
      <c r="Z94" s="66">
        <f>"LARGE|"&amp;A94</f>
        <v/>
      </c>
      <c r="AA94" s="66">
        <f>Q94&amp;"|"&amp;Z94</f>
        <v/>
      </c>
    </row>
    <row r="95" ht="15" customHeight="1" s="39">
      <c r="A95" s="67" t="inlineStr">
        <is>
          <t>Advanced EWM</t>
        </is>
      </c>
      <c r="B95" s="67" t="n">
        <v>0</v>
      </c>
      <c r="C95" s="67" t="n">
        <v>0</v>
      </c>
      <c r="D95" s="67" t="n">
        <v>0</v>
      </c>
      <c r="E95" s="67" t="n">
        <v>0</v>
      </c>
      <c r="F95" s="67" t="n">
        <v>0</v>
      </c>
      <c r="G95" s="67" t="n">
        <v>0</v>
      </c>
      <c r="H95" s="67" t="n">
        <v>0</v>
      </c>
      <c r="I95" s="67" t="n">
        <v>0</v>
      </c>
      <c r="J95" s="67" t="n">
        <v>0</v>
      </c>
      <c r="K95" s="67" t="n">
        <v>0</v>
      </c>
      <c r="L95" s="67" t="n">
        <v>0</v>
      </c>
      <c r="M95" s="67" t="n">
        <v>0</v>
      </c>
      <c r="N95" s="67" t="n">
        <v>0</v>
      </c>
      <c r="O95" s="67" t="n">
        <v>0</v>
      </c>
      <c r="P95" s="67" t="n">
        <v>0</v>
      </c>
      <c r="Q95" s="66" t="inlineStr">
        <is>
          <t>Conversion</t>
        </is>
      </c>
      <c r="Z95" s="66">
        <f>"LARGE|"&amp;A95</f>
        <v/>
      </c>
      <c r="AA95" s="66">
        <f>Q95&amp;"|"&amp;Z95</f>
        <v/>
      </c>
    </row>
    <row r="96" ht="15" customHeight="1" s="39">
      <c r="A96" s="67" t="inlineStr">
        <is>
          <t>TM</t>
        </is>
      </c>
      <c r="B96" s="67" t="n">
        <v>147</v>
      </c>
      <c r="C96" s="67" t="n">
        <v>5</v>
      </c>
      <c r="D96" s="67" t="n">
        <v>4</v>
      </c>
      <c r="E96" s="67" t="n">
        <v>3</v>
      </c>
      <c r="F96" s="67" t="n">
        <v>6</v>
      </c>
      <c r="G96" s="67" t="n">
        <v>2</v>
      </c>
      <c r="H96" s="67" t="n">
        <v>4</v>
      </c>
      <c r="I96" s="67" t="n">
        <v>15</v>
      </c>
      <c r="J96" s="67" t="n">
        <v>15</v>
      </c>
      <c r="K96" s="67" t="n">
        <v>2</v>
      </c>
      <c r="L96" s="67" t="n">
        <v>2</v>
      </c>
      <c r="M96" s="67" t="n">
        <v>6</v>
      </c>
      <c r="N96" s="67" t="n">
        <v>8</v>
      </c>
      <c r="O96" s="67" t="n">
        <v>0</v>
      </c>
      <c r="P96" s="67" t="n">
        <v>0</v>
      </c>
      <c r="Q96" s="66" t="inlineStr">
        <is>
          <t>Conversion</t>
        </is>
      </c>
      <c r="Z96" s="66">
        <f>"LARGE|"&amp;A96</f>
        <v/>
      </c>
      <c r="AA96" s="66">
        <f>Q96&amp;"|"&amp;Z96</f>
        <v/>
      </c>
    </row>
    <row r="97" ht="15" customHeight="1" s="39">
      <c r="A97" s="67" t="inlineStr">
        <is>
          <t>PPDS</t>
        </is>
      </c>
      <c r="B97" s="67" t="n">
        <v>147</v>
      </c>
      <c r="C97" s="67" t="n">
        <v>4</v>
      </c>
      <c r="D97" s="67" t="n">
        <v>3</v>
      </c>
      <c r="E97" s="67" t="n">
        <v>5</v>
      </c>
      <c r="F97" s="67" t="n">
        <v>5</v>
      </c>
      <c r="G97" s="67" t="n">
        <v>1</v>
      </c>
      <c r="H97" s="67" t="n">
        <v>2</v>
      </c>
      <c r="I97" s="67" t="n">
        <v>15</v>
      </c>
      <c r="J97" s="67" t="n">
        <v>15</v>
      </c>
      <c r="K97" s="67" t="n">
        <v>1</v>
      </c>
      <c r="L97" s="67" t="n">
        <v>1</v>
      </c>
      <c r="M97" s="67" t="n">
        <v>3</v>
      </c>
      <c r="N97" s="67" t="n">
        <v>3</v>
      </c>
      <c r="O97" s="67" t="n">
        <v>0</v>
      </c>
      <c r="P97" s="67" t="n">
        <v>0</v>
      </c>
      <c r="Q97" s="66" t="inlineStr">
        <is>
          <t>Conversion</t>
        </is>
      </c>
      <c r="Z97" s="66">
        <f>"LARGE|"&amp;A97</f>
        <v/>
      </c>
      <c r="AA97" s="66">
        <f>Q97&amp;"|"&amp;Z97</f>
        <v/>
      </c>
    </row>
    <row r="98" ht="15" customHeight="1" s="39">
      <c r="A98" s="67" t="inlineStr">
        <is>
          <t>ABAP</t>
        </is>
      </c>
      <c r="B98" s="67" t="n">
        <v>0</v>
      </c>
      <c r="C98" s="67" t="n">
        <v>0</v>
      </c>
      <c r="D98" s="67" t="n">
        <v>0</v>
      </c>
      <c r="E98" s="67" t="n">
        <v>0</v>
      </c>
      <c r="F98" s="67" t="n">
        <v>0</v>
      </c>
      <c r="G98" s="67" t="n">
        <v>0</v>
      </c>
      <c r="H98" s="67" t="n">
        <v>0</v>
      </c>
      <c r="I98" s="67" t="n">
        <v>0</v>
      </c>
      <c r="J98" s="67" t="n">
        <v>0</v>
      </c>
      <c r="K98" s="67" t="n">
        <v>0</v>
      </c>
      <c r="L98" s="67" t="n">
        <v>0</v>
      </c>
      <c r="M98" s="67" t="n">
        <v>0</v>
      </c>
      <c r="N98" s="67" t="n">
        <v>0</v>
      </c>
      <c r="O98" s="67" t="n">
        <v>0</v>
      </c>
      <c r="P98" s="67" t="n">
        <v>0</v>
      </c>
      <c r="Q98" s="66" t="inlineStr">
        <is>
          <t>Conversion</t>
        </is>
      </c>
      <c r="Z98" s="66">
        <f>"LARGE|"&amp;A98</f>
        <v/>
      </c>
      <c r="AA98" s="66">
        <f>Q98&amp;"|"&amp;Z98</f>
        <v/>
      </c>
    </row>
    <row r="99" ht="15" customHeight="1" s="39">
      <c r="A99" s="67" t="inlineStr">
        <is>
          <t>BASIS</t>
        </is>
      </c>
      <c r="B99" s="67" t="n">
        <v>0</v>
      </c>
      <c r="C99" s="67" t="n">
        <v>0</v>
      </c>
      <c r="D99" s="67" t="n">
        <v>0</v>
      </c>
      <c r="E99" s="67" t="n">
        <v>0</v>
      </c>
      <c r="F99" s="67" t="n">
        <v>0</v>
      </c>
      <c r="G99" s="67" t="n">
        <v>0</v>
      </c>
      <c r="H99" s="67" t="n">
        <v>0</v>
      </c>
      <c r="I99" s="67" t="n">
        <v>0</v>
      </c>
      <c r="J99" s="67" t="n">
        <v>0</v>
      </c>
      <c r="K99" s="67" t="n">
        <v>0</v>
      </c>
      <c r="L99" s="67" t="n">
        <v>0</v>
      </c>
      <c r="M99" s="67" t="n">
        <v>0</v>
      </c>
      <c r="N99" s="67" t="n">
        <v>0</v>
      </c>
      <c r="O99" s="67" t="n">
        <v>0</v>
      </c>
      <c r="P99" s="67" t="n">
        <v>0</v>
      </c>
      <c r="Q99" s="66" t="inlineStr">
        <is>
          <t>Conversion</t>
        </is>
      </c>
      <c r="Z99" s="66">
        <f>"LARGE|"&amp;A99</f>
        <v/>
      </c>
      <c r="AA99" s="66">
        <f>Q99&amp;"|"&amp;Z99</f>
        <v/>
      </c>
    </row>
    <row r="100" ht="15" customHeight="1" s="39">
      <c r="A100" s="67" t="inlineStr">
        <is>
          <t>E-Fatura/Arşiv</t>
        </is>
      </c>
      <c r="B100" s="67" t="n">
        <v>5</v>
      </c>
      <c r="C100" s="67" t="n">
        <v>2</v>
      </c>
      <c r="D100" s="67" t="n">
        <v>0</v>
      </c>
      <c r="E100" s="67" t="n">
        <v>2</v>
      </c>
      <c r="F100" s="67" t="n">
        <v>2</v>
      </c>
      <c r="G100" s="67" t="n">
        <v>1</v>
      </c>
      <c r="H100" s="67" t="n">
        <v>1</v>
      </c>
      <c r="I100" s="67" t="n">
        <v>3</v>
      </c>
      <c r="J100" s="67" t="n">
        <v>3</v>
      </c>
      <c r="K100" s="67" t="n">
        <v>0</v>
      </c>
      <c r="L100" s="67" t="n">
        <v>1</v>
      </c>
      <c r="M100" s="67" t="n">
        <v>1</v>
      </c>
      <c r="N100" s="67" t="n">
        <v>0</v>
      </c>
      <c r="O100" s="67" t="n">
        <v>0</v>
      </c>
      <c r="P100" s="67" t="n">
        <v>0</v>
      </c>
      <c r="Q100" s="66" t="inlineStr">
        <is>
          <t>Conversion</t>
        </is>
      </c>
      <c r="Z100" s="66">
        <f>"LARGE|"&amp;A100</f>
        <v/>
      </c>
      <c r="AA100" s="66">
        <f>Q100&amp;"|"&amp;Z100</f>
        <v/>
      </c>
    </row>
    <row r="101" ht="15" customHeight="1" s="39">
      <c r="A101" s="67" t="inlineStr">
        <is>
          <t>E-İrsaliye</t>
        </is>
      </c>
      <c r="B101" s="67" t="n">
        <v>5</v>
      </c>
      <c r="C101" s="67" t="n">
        <v>2</v>
      </c>
      <c r="D101" s="67" t="n">
        <v>0</v>
      </c>
      <c r="E101" s="67" t="n">
        <v>2</v>
      </c>
      <c r="F101" s="67" t="n">
        <v>2</v>
      </c>
      <c r="G101" s="67" t="n">
        <v>1</v>
      </c>
      <c r="H101" s="67" t="n">
        <v>1</v>
      </c>
      <c r="I101" s="67" t="n">
        <v>3</v>
      </c>
      <c r="J101" s="67" t="n">
        <v>3</v>
      </c>
      <c r="K101" s="67" t="n">
        <v>0</v>
      </c>
      <c r="L101" s="67" t="n">
        <v>1</v>
      </c>
      <c r="M101" s="67" t="n">
        <v>1</v>
      </c>
      <c r="N101" s="67" t="n">
        <v>0</v>
      </c>
      <c r="O101" s="67" t="n">
        <v>0</v>
      </c>
      <c r="P101" s="67" t="n">
        <v>0</v>
      </c>
      <c r="Q101" s="66" t="inlineStr">
        <is>
          <t>Conversion</t>
        </is>
      </c>
      <c r="Z101" s="66">
        <f>"LARGE|"&amp;A101</f>
        <v/>
      </c>
      <c r="AA101" s="66">
        <f>Q101&amp;"|"&amp;Z101</f>
        <v/>
      </c>
    </row>
    <row r="102" ht="15" customHeight="1" s="39">
      <c r="A102" s="67" t="inlineStr">
        <is>
          <t>E-Defter</t>
        </is>
      </c>
      <c r="B102" s="67" t="n">
        <v>3</v>
      </c>
      <c r="C102" s="67" t="n">
        <v>2</v>
      </c>
      <c r="D102" s="67" t="n">
        <v>0</v>
      </c>
      <c r="E102" s="67" t="n">
        <v>3</v>
      </c>
      <c r="F102" s="67" t="n">
        <v>3</v>
      </c>
      <c r="G102" s="67" t="n">
        <v>1</v>
      </c>
      <c r="H102" s="67" t="n">
        <v>1</v>
      </c>
      <c r="I102" s="67" t="n">
        <v>0</v>
      </c>
      <c r="J102" s="67" t="n">
        <v>0</v>
      </c>
      <c r="K102" s="67" t="n">
        <v>0</v>
      </c>
      <c r="L102" s="67" t="n">
        <v>3</v>
      </c>
      <c r="M102" s="67" t="n">
        <v>1</v>
      </c>
      <c r="N102" s="67" t="n">
        <v>0</v>
      </c>
      <c r="O102" s="67" t="n">
        <v>0</v>
      </c>
      <c r="P102" s="67" t="n">
        <v>0</v>
      </c>
      <c r="Q102" s="66" t="inlineStr">
        <is>
          <t>Conversion</t>
        </is>
      </c>
      <c r="Z102" s="66">
        <f>"LARGE|"&amp;A102</f>
        <v/>
      </c>
      <c r="AA102" s="66">
        <f>Q102&amp;"|"&amp;Z102</f>
        <v/>
      </c>
    </row>
    <row r="103" ht="15" customHeight="1" s="39">
      <c r="A103" s="67" t="inlineStr">
        <is>
          <t>E-Hesap Özeti</t>
        </is>
      </c>
      <c r="B103" s="67" t="n">
        <v>5</v>
      </c>
      <c r="C103" s="67" t="n">
        <v>3</v>
      </c>
      <c r="D103" s="67" t="n">
        <v>0</v>
      </c>
      <c r="E103" s="67" t="n">
        <v>4</v>
      </c>
      <c r="F103" s="67" t="n">
        <v>3</v>
      </c>
      <c r="G103" s="67" t="n">
        <v>1</v>
      </c>
      <c r="H103" s="67" t="n">
        <v>0</v>
      </c>
      <c r="I103" s="67" t="n">
        <v>3</v>
      </c>
      <c r="J103" s="67" t="n">
        <v>3</v>
      </c>
      <c r="K103" s="67" t="n">
        <v>0</v>
      </c>
      <c r="L103" s="67" t="n">
        <v>2</v>
      </c>
      <c r="M103" s="67" t="n">
        <v>1</v>
      </c>
      <c r="N103" s="67" t="n">
        <v>0</v>
      </c>
      <c r="O103" s="67" t="n">
        <v>0</v>
      </c>
      <c r="P103" s="67" t="n">
        <v>0</v>
      </c>
      <c r="Q103" s="66" t="inlineStr">
        <is>
          <t>Conversion</t>
        </is>
      </c>
      <c r="Z103" s="66">
        <f>"LARGE|"&amp;A103</f>
        <v/>
      </c>
      <c r="AA103" s="66">
        <f>Q103&amp;"|"&amp;Z103</f>
        <v/>
      </c>
    </row>
    <row r="104" ht="15" customHeight="1" s="39">
      <c r="A104" s="67" t="inlineStr">
        <is>
          <t>E-Ödeme</t>
        </is>
      </c>
      <c r="B104" s="67" t="n">
        <v>5</v>
      </c>
      <c r="C104" s="67" t="n">
        <v>3</v>
      </c>
      <c r="D104" s="67" t="n">
        <v>0</v>
      </c>
      <c r="E104" s="67" t="n">
        <v>4</v>
      </c>
      <c r="F104" s="67" t="n">
        <v>3</v>
      </c>
      <c r="G104" s="67" t="n">
        <v>1</v>
      </c>
      <c r="H104" s="67" t="n">
        <v>0</v>
      </c>
      <c r="I104" s="67" t="n">
        <v>3</v>
      </c>
      <c r="J104" s="67" t="n">
        <v>3</v>
      </c>
      <c r="K104" s="67" t="n">
        <v>0</v>
      </c>
      <c r="L104" s="67" t="n">
        <v>2</v>
      </c>
      <c r="M104" s="67" t="n">
        <v>1</v>
      </c>
      <c r="N104" s="67" t="n">
        <v>0</v>
      </c>
      <c r="O104" s="67" t="n">
        <v>0</v>
      </c>
      <c r="P104" s="67" t="n">
        <v>0</v>
      </c>
      <c r="Q104" s="66" t="inlineStr">
        <is>
          <t>Conversion</t>
        </is>
      </c>
      <c r="Z104" s="66">
        <f>"LARGE|"&amp;A104</f>
        <v/>
      </c>
      <c r="AA104" s="66">
        <f>Q104&amp;"|"&amp;Z104</f>
        <v/>
      </c>
    </row>
    <row r="105" ht="15" customHeight="1" s="39">
      <c r="A105" s="67" t="inlineStr">
        <is>
          <t>E-Mutabakat</t>
        </is>
      </c>
      <c r="B105" s="67" t="n">
        <v>5</v>
      </c>
      <c r="C105" s="67" t="n">
        <v>3</v>
      </c>
      <c r="D105" s="67" t="n">
        <v>0</v>
      </c>
      <c r="E105" s="67" t="n">
        <v>3</v>
      </c>
      <c r="F105" s="67" t="n">
        <v>3</v>
      </c>
      <c r="G105" s="67" t="n">
        <v>1</v>
      </c>
      <c r="H105" s="67" t="n">
        <v>0</v>
      </c>
      <c r="I105" s="67" t="n">
        <v>3</v>
      </c>
      <c r="J105" s="67" t="n">
        <v>3</v>
      </c>
      <c r="K105" s="67" t="n">
        <v>0</v>
      </c>
      <c r="L105" s="67" t="n">
        <v>2</v>
      </c>
      <c r="M105" s="67" t="n">
        <v>1</v>
      </c>
      <c r="N105" s="67" t="n">
        <v>0</v>
      </c>
      <c r="O105" s="67" t="n">
        <v>0</v>
      </c>
      <c r="P105" s="67" t="n">
        <v>0</v>
      </c>
      <c r="Q105" s="66" t="inlineStr">
        <is>
          <t>Conversion</t>
        </is>
      </c>
      <c r="Z105" s="66">
        <f>"LARGE|"&amp;A105</f>
        <v/>
      </c>
      <c r="AA105" s="66">
        <f>Q105&amp;"|"&amp;Z105</f>
        <v/>
      </c>
    </row>
    <row r="106" ht="15" customHeight="1" s="39">
      <c r="A106" s="67" t="inlineStr">
        <is>
          <t>E-Beyanname</t>
        </is>
      </c>
      <c r="B106" s="67" t="n">
        <v>6</v>
      </c>
      <c r="C106" s="67" t="n">
        <v>3</v>
      </c>
      <c r="D106" s="67" t="n">
        <v>0</v>
      </c>
      <c r="E106" s="67" t="n">
        <v>6</v>
      </c>
      <c r="F106" s="67" t="n">
        <v>3</v>
      </c>
      <c r="G106" s="67" t="n">
        <v>2</v>
      </c>
      <c r="H106" s="67" t="n">
        <v>0</v>
      </c>
      <c r="I106" s="67" t="n">
        <v>0</v>
      </c>
      <c r="J106" s="67" t="n">
        <v>0</v>
      </c>
      <c r="K106" s="67" t="n">
        <v>0</v>
      </c>
      <c r="L106" s="67" t="n">
        <v>4</v>
      </c>
      <c r="M106" s="67" t="n">
        <v>2</v>
      </c>
      <c r="N106" s="67" t="n">
        <v>0</v>
      </c>
      <c r="O106" s="67" t="n">
        <v>0</v>
      </c>
      <c r="P106" s="67" t="n">
        <v>0</v>
      </c>
      <c r="Q106" s="66" t="inlineStr">
        <is>
          <t>Conversion</t>
        </is>
      </c>
      <c r="Z106" s="66">
        <f>"LARGE|"&amp;A106</f>
        <v/>
      </c>
      <c r="AA106" s="66">
        <f>Q106&amp;"|"&amp;Z106</f>
        <v/>
      </c>
    </row>
    <row r="107" ht="15" customHeight="1" s="39">
      <c r="A107" s="67" t="inlineStr">
        <is>
          <t>Gelen Fatura Otomasyon</t>
        </is>
      </c>
      <c r="B107" s="67" t="n">
        <v>5</v>
      </c>
      <c r="C107" s="67" t="n">
        <v>2</v>
      </c>
      <c r="D107" s="67" t="n">
        <v>0</v>
      </c>
      <c r="E107" s="67" t="n">
        <v>3</v>
      </c>
      <c r="F107" s="67" t="n">
        <v>4</v>
      </c>
      <c r="G107" s="67" t="n">
        <v>2</v>
      </c>
      <c r="H107" s="67" t="n">
        <v>0</v>
      </c>
      <c r="I107" s="67" t="n">
        <v>2</v>
      </c>
      <c r="J107" s="67" t="n">
        <v>2</v>
      </c>
      <c r="K107" s="67" t="n">
        <v>0</v>
      </c>
      <c r="L107" s="67" t="n">
        <v>4</v>
      </c>
      <c r="M107" s="67" t="n">
        <v>1</v>
      </c>
      <c r="N107" s="67" t="n">
        <v>0</v>
      </c>
      <c r="O107" s="67" t="n">
        <v>0</v>
      </c>
      <c r="P107" s="67" t="n">
        <v>0</v>
      </c>
      <c r="Q107" s="66" t="inlineStr">
        <is>
          <t>Conversion</t>
        </is>
      </c>
      <c r="Z107" s="66">
        <f>"LARGE|"&amp;A107</f>
        <v/>
      </c>
      <c r="AA107" s="66">
        <f>Q107&amp;"|"&amp;Z107</f>
        <v/>
      </c>
    </row>
    <row r="108" ht="15" customHeight="1" s="39">
      <c r="A108" s="67" t="inlineStr">
        <is>
          <t>GLASSWING</t>
        </is>
      </c>
      <c r="B108" s="67" t="n">
        <v>60</v>
      </c>
      <c r="C108" s="67" t="n">
        <v>6</v>
      </c>
      <c r="D108" s="67" t="n">
        <v>2</v>
      </c>
      <c r="E108" s="67" t="n">
        <v>15</v>
      </c>
      <c r="F108" s="67" t="n">
        <v>10</v>
      </c>
      <c r="G108" s="67" t="n">
        <v>2</v>
      </c>
      <c r="H108" s="67" t="n">
        <v>0</v>
      </c>
      <c r="I108" s="67" t="n">
        <v>25</v>
      </c>
      <c r="J108" s="67" t="n">
        <v>25</v>
      </c>
      <c r="K108" s="67" t="n">
        <v>13</v>
      </c>
      <c r="L108" s="67" t="n">
        <v>2</v>
      </c>
      <c r="M108" s="67" t="n">
        <v>5</v>
      </c>
      <c r="N108" s="67" t="n">
        <v>10</v>
      </c>
      <c r="O108" s="67" t="n">
        <v>0</v>
      </c>
      <c r="P108" s="67" t="n">
        <v>0</v>
      </c>
      <c r="Q108" s="66" t="inlineStr">
        <is>
          <t>Conversion</t>
        </is>
      </c>
      <c r="Z108" s="66">
        <f>"LARGE|"&amp;A108</f>
        <v/>
      </c>
      <c r="AA108" s="66">
        <f>Q108&amp;"|"&amp;Z108</f>
        <v/>
      </c>
    </row>
    <row r="109" ht="15" customHeight="1" s="39">
      <c r="A109" s="67" t="inlineStr">
        <is>
          <t>COMMODITY</t>
        </is>
      </c>
      <c r="B109" s="67" t="n">
        <v>100</v>
      </c>
      <c r="C109" s="67" t="n">
        <v>9</v>
      </c>
      <c r="D109" s="67" t="n">
        <v>3</v>
      </c>
      <c r="E109" s="67" t="n">
        <v>15</v>
      </c>
      <c r="F109" s="67" t="n">
        <v>15</v>
      </c>
      <c r="G109" s="67" t="n">
        <v>2</v>
      </c>
      <c r="H109" s="67" t="n">
        <v>1</v>
      </c>
      <c r="I109" s="67" t="n">
        <v>30</v>
      </c>
      <c r="J109" s="67" t="n">
        <v>30</v>
      </c>
      <c r="K109" s="67" t="n">
        <v>10</v>
      </c>
      <c r="L109" s="67" t="n">
        <v>2</v>
      </c>
      <c r="M109" s="67" t="n">
        <v>8</v>
      </c>
      <c r="N109" s="67" t="n">
        <v>15</v>
      </c>
      <c r="O109" s="67" t="n">
        <v>0</v>
      </c>
      <c r="P109" s="67" t="n">
        <v>0</v>
      </c>
      <c r="Q109" s="66" t="inlineStr">
        <is>
          <t>Conversion</t>
        </is>
      </c>
      <c r="Z109" s="66">
        <f>"LARGE|"&amp;A109</f>
        <v/>
      </c>
      <c r="AA109" s="66">
        <f>Q109&amp;"|"&amp;Z109</f>
        <v/>
      </c>
    </row>
    <row r="110" ht="15" customHeight="1" s="39">
      <c r="A110" s="67" t="inlineStr">
        <is>
          <t>Dış Ticaret Çözümü</t>
        </is>
      </c>
      <c r="B110" s="67" t="n">
        <v>0</v>
      </c>
      <c r="C110" s="67" t="n">
        <v>0</v>
      </c>
      <c r="D110" s="67" t="n">
        <v>0</v>
      </c>
      <c r="E110" s="67" t="n">
        <v>0</v>
      </c>
      <c r="F110" s="67" t="n">
        <v>0</v>
      </c>
      <c r="G110" s="67" t="n">
        <v>0</v>
      </c>
      <c r="H110" s="67" t="n">
        <v>0</v>
      </c>
      <c r="I110" s="67" t="n">
        <v>0</v>
      </c>
      <c r="J110" s="67" t="n">
        <v>0</v>
      </c>
      <c r="K110" s="67" t="n">
        <v>0</v>
      </c>
      <c r="L110" s="67" t="n">
        <v>0</v>
      </c>
      <c r="M110" s="67" t="n">
        <v>0</v>
      </c>
      <c r="N110" s="67" t="n">
        <v>0</v>
      </c>
      <c r="O110" s="67" t="n">
        <v>0</v>
      </c>
      <c r="P110" s="67" t="n">
        <v>0</v>
      </c>
      <c r="Q110" s="66" t="inlineStr">
        <is>
          <t>Conversion</t>
        </is>
      </c>
      <c r="Z110" s="66">
        <f>"LARGE|"&amp;A110</f>
        <v/>
      </c>
      <c r="AA110" s="66">
        <f>Q110&amp;"|"&amp;Z110</f>
        <v/>
      </c>
    </row>
    <row r="111" ht="15" customHeight="1" s="39">
      <c r="A111" s="67" t="inlineStr">
        <is>
          <t>Seyahat ve Masraf Yönetimi</t>
        </is>
      </c>
      <c r="B111" s="67" t="n">
        <v>0</v>
      </c>
      <c r="C111" s="67" t="n">
        <v>0</v>
      </c>
      <c r="D111" s="67" t="n">
        <v>0</v>
      </c>
      <c r="E111" s="67" t="n">
        <v>0</v>
      </c>
      <c r="F111" s="67" t="n">
        <v>0</v>
      </c>
      <c r="G111" s="67" t="n">
        <v>0</v>
      </c>
      <c r="H111" s="67" t="n">
        <v>0</v>
      </c>
      <c r="I111" s="67" t="n">
        <v>0</v>
      </c>
      <c r="J111" s="67" t="n">
        <v>0</v>
      </c>
      <c r="K111" s="67" t="n">
        <v>0</v>
      </c>
      <c r="L111" s="67" t="n">
        <v>0</v>
      </c>
      <c r="M111" s="67" t="n">
        <v>0</v>
      </c>
      <c r="N111" s="67" t="n">
        <v>0</v>
      </c>
      <c r="O111" s="67" t="n">
        <v>0</v>
      </c>
      <c r="P111" s="67" t="n">
        <v>0</v>
      </c>
      <c r="Q111" s="66" t="inlineStr">
        <is>
          <t>Conversion</t>
        </is>
      </c>
      <c r="Z111" s="66">
        <f>"LARGE|"&amp;A111</f>
        <v/>
      </c>
      <c r="AA111" s="66">
        <f>Q111&amp;"|"&amp;Z111</f>
        <v/>
      </c>
    </row>
    <row r="112" ht="15" customHeight="1" s="39">
      <c r="A112" s="67" t="inlineStr">
        <is>
          <t>NTT Data POS</t>
        </is>
      </c>
      <c r="B112" s="67" t="n">
        <v>0</v>
      </c>
      <c r="C112" s="67" t="n">
        <v>0</v>
      </c>
      <c r="D112" s="67" t="n">
        <v>0</v>
      </c>
      <c r="E112" s="67" t="n">
        <v>0</v>
      </c>
      <c r="F112" s="67" t="n">
        <v>0</v>
      </c>
      <c r="G112" s="67" t="n">
        <v>0</v>
      </c>
      <c r="H112" s="67" t="n">
        <v>0</v>
      </c>
      <c r="I112" s="67" t="n">
        <v>0</v>
      </c>
      <c r="J112" s="67" t="n">
        <v>0</v>
      </c>
      <c r="K112" s="67" t="n">
        <v>0</v>
      </c>
      <c r="L112" s="67" t="n">
        <v>0</v>
      </c>
      <c r="M112" s="67" t="n">
        <v>0</v>
      </c>
      <c r="N112" s="67" t="n">
        <v>0</v>
      </c>
      <c r="O112" s="67" t="n">
        <v>0</v>
      </c>
      <c r="P112" s="67" t="n">
        <v>0</v>
      </c>
      <c r="Q112" s="66" t="inlineStr">
        <is>
          <t>Conversion</t>
        </is>
      </c>
      <c r="Z112" s="66">
        <f>"LARGE|"&amp;A112</f>
        <v/>
      </c>
      <c r="AA112" s="66">
        <f>Q112&amp;"|"&amp;Z112</f>
        <v/>
      </c>
    </row>
    <row r="114" ht="15" customHeight="1" s="39">
      <c r="A114" s="68" t="inlineStr">
        <is>
          <t>X-LARGE</t>
        </is>
      </c>
      <c r="Q114" s="68" t="inlineStr">
        <is>
          <t>Conversion</t>
        </is>
      </c>
    </row>
    <row r="115" ht="15" customHeight="1" s="39">
      <c r="A115" s="67">
        <f>INDEX(Translations!$D:$ZZ, MATCH(74,Translations!$A:$A,0), MATCH('Project Information'!$C$4,Translations!$D$1:$ZZ$1,0))</f>
        <v/>
      </c>
      <c r="B115" s="67">
        <f>INDEX(Translations!$D:$ZZ, MATCH(75,Translations!$A:$A,0), MATCH('Project Information'!$C$4,Translations!$D$1:$ZZ$1,0))</f>
        <v/>
      </c>
      <c r="C115" s="67">
        <f>INDEX(Translations!$D:$ZZ, MATCH(76,Translations!$A:$A,0), MATCH('Project Information'!$C$4,Translations!$D$1:$ZZ$1,0))</f>
        <v/>
      </c>
      <c r="D115" s="67">
        <f>INDEX(Translations!$D:$ZZ, MATCH(77,Translations!$A:$A,0), MATCH('Project Information'!$C$4,Translations!$D$1:$ZZ$1,0))</f>
        <v/>
      </c>
      <c r="E115" s="67">
        <f>INDEX(Translations!$D:$ZZ, MATCH(78,Translations!$A:$A,0), MATCH('Project Information'!$C$4,Translations!$D$1:$ZZ$1,0))</f>
        <v/>
      </c>
      <c r="F115" s="67">
        <f>INDEX(Translations!$D:$ZZ, MATCH(79,Translations!$A:$A,0), MATCH('Project Information'!$C$4,Translations!$D$1:$ZZ$1,0))</f>
        <v/>
      </c>
      <c r="G115" s="67">
        <f>INDEX(Translations!$D:$ZZ, MATCH(80,Translations!$A:$A,0), MATCH('Project Information'!$C$4,Translations!$D$1:$ZZ$1,0))</f>
        <v/>
      </c>
      <c r="H115" s="67">
        <f>INDEX(Translations!$D:$ZZ, MATCH(81,Translations!$A:$A,0), MATCH('Project Information'!$C$4,Translations!$D$1:$ZZ$1,0))</f>
        <v/>
      </c>
      <c r="I115" s="67">
        <f>INDEX(Translations!$D:$ZZ, MATCH(82,Translations!$A:$A,0), MATCH('Project Information'!$C$4,Translations!$D$1:$ZZ$1,0))</f>
        <v/>
      </c>
      <c r="J115" s="67">
        <f>INDEX(Translations!$D:$ZZ, MATCH(83,Translations!$A:$A,0), MATCH('Project Information'!$C$4,Translations!$D$1:$ZZ$1,0))</f>
        <v/>
      </c>
      <c r="K115" s="67">
        <f>INDEX(Translations!$D:$ZZ, MATCH(84,Translations!$A:$A,0), MATCH('Project Information'!$C$4,Translations!$D$1:$ZZ$1,0))</f>
        <v/>
      </c>
      <c r="L115" s="67">
        <f>INDEX(Translations!$D:$ZZ, MATCH(85,Translations!$A:$A,0), MATCH('Project Information'!$C$4,Translations!$D$1:$ZZ$1,0))</f>
        <v/>
      </c>
      <c r="M115" s="67">
        <f>INDEX(Translations!$D:$ZZ, MATCH(86,Translations!$A:$A,0), MATCH('Project Information'!$C$4,Translations!$D$1:$ZZ$1,0))</f>
        <v/>
      </c>
      <c r="N115" s="67">
        <f>INDEX(Translations!$D:$ZZ, MATCH(87,Translations!$A:$A,0), MATCH('Project Information'!$C$4,Translations!$D$1:$ZZ$1,0))</f>
        <v/>
      </c>
      <c r="O115" s="67">
        <f>INDEX(Translations!$D:$ZZ, MATCH(88,Translations!$A:$A,0), MATCH('Project Information'!$C$4,Translations!$D$1:$ZZ$1,0))</f>
        <v/>
      </c>
      <c r="P115" s="67">
        <f>INDEX(Translations!$D:$ZZ, MATCH(89,Translations!$A:$A,0), MATCH('Project Information'!$C$4,Translations!$D$1:$ZZ$1,0))</f>
        <v/>
      </c>
      <c r="Q115" s="67" t="inlineStr">
        <is>
          <t>Implementation Type</t>
        </is>
      </c>
      <c r="Z115" s="67">
        <f>INDEX(Translations!$D:$ZZ, MATCH(93,Translations!$A:$A,0), MATCH('Project Information'!$C$4,Translations!$D$1:$ZZ$1,0))</f>
        <v/>
      </c>
      <c r="AA115" s="67" t="inlineStr">
        <is>
          <t>Implementation Key</t>
        </is>
      </c>
    </row>
    <row r="116" ht="15" customHeight="1" s="39">
      <c r="A116" s="67" t="inlineStr">
        <is>
          <t>FI</t>
        </is>
      </c>
      <c r="B116" s="67" t="n">
        <v>245</v>
      </c>
      <c r="C116" s="67" t="n">
        <v>10</v>
      </c>
      <c r="D116" s="67" t="n">
        <v>5</v>
      </c>
      <c r="E116" s="67" t="n">
        <v>5</v>
      </c>
      <c r="F116" s="67" t="n">
        <v>5</v>
      </c>
      <c r="G116" s="67" t="n">
        <v>2</v>
      </c>
      <c r="H116" s="67" t="n">
        <v>3</v>
      </c>
      <c r="I116" s="67" t="n">
        <v>28</v>
      </c>
      <c r="J116" s="67" t="n">
        <v>28</v>
      </c>
      <c r="K116" s="67" t="n">
        <v>3</v>
      </c>
      <c r="L116" s="67" t="n">
        <v>2</v>
      </c>
      <c r="M116" s="67" t="n">
        <v>15</v>
      </c>
      <c r="N116" s="67" t="n">
        <v>15</v>
      </c>
      <c r="O116" s="67" t="n">
        <v>0</v>
      </c>
      <c r="P116" s="67" t="n">
        <v>0</v>
      </c>
      <c r="Q116" s="66" t="inlineStr">
        <is>
          <t>Conversion</t>
        </is>
      </c>
      <c r="Z116" s="66">
        <f>"X-LARGE|"&amp;A116</f>
        <v/>
      </c>
      <c r="AA116" s="66">
        <f>Q116&amp;"|"&amp;Z116</f>
        <v/>
      </c>
    </row>
    <row r="117" ht="15" customHeight="1" s="39">
      <c r="A117" s="67" t="inlineStr">
        <is>
          <t>CO</t>
        </is>
      </c>
      <c r="B117" s="67" t="n">
        <v>245</v>
      </c>
      <c r="C117" s="67" t="n">
        <v>10</v>
      </c>
      <c r="D117" s="67" t="n">
        <v>5</v>
      </c>
      <c r="E117" s="67" t="n">
        <v>4</v>
      </c>
      <c r="F117" s="67" t="n">
        <v>5</v>
      </c>
      <c r="G117" s="67" t="n">
        <v>2</v>
      </c>
      <c r="H117" s="67" t="n">
        <v>2</v>
      </c>
      <c r="I117" s="67" t="n">
        <v>28</v>
      </c>
      <c r="J117" s="67" t="n">
        <v>28</v>
      </c>
      <c r="K117" s="67" t="n">
        <v>3</v>
      </c>
      <c r="L117" s="67" t="n">
        <v>2</v>
      </c>
      <c r="M117" s="67" t="n">
        <v>10</v>
      </c>
      <c r="N117" s="67" t="n">
        <v>10</v>
      </c>
      <c r="O117" s="67" t="n">
        <v>0</v>
      </c>
      <c r="P117" s="67" t="n">
        <v>0</v>
      </c>
      <c r="Q117" s="66" t="inlineStr">
        <is>
          <t>Conversion</t>
        </is>
      </c>
      <c r="Z117" s="66">
        <f>"X-LARGE|"&amp;A117</f>
        <v/>
      </c>
      <c r="AA117" s="66">
        <f>Q117&amp;"|"&amp;Z117</f>
        <v/>
      </c>
    </row>
    <row r="118" ht="15" customHeight="1" s="39">
      <c r="A118" s="67" t="inlineStr">
        <is>
          <t>TRM</t>
        </is>
      </c>
      <c r="B118" s="67" t="n">
        <v>100</v>
      </c>
      <c r="C118" s="67" t="n">
        <v>4</v>
      </c>
      <c r="D118" s="67" t="n">
        <v>2</v>
      </c>
      <c r="E118" s="67" t="n">
        <v>2</v>
      </c>
      <c r="F118" s="67" t="n">
        <v>3</v>
      </c>
      <c r="G118" s="67" t="n">
        <v>1</v>
      </c>
      <c r="H118" s="67" t="n">
        <v>1</v>
      </c>
      <c r="I118" s="67" t="n">
        <v>10</v>
      </c>
      <c r="J118" s="67" t="n">
        <v>10</v>
      </c>
      <c r="K118" s="67" t="n">
        <v>1</v>
      </c>
      <c r="L118" s="67" t="n">
        <v>1</v>
      </c>
      <c r="M118" s="67" t="n">
        <v>10</v>
      </c>
      <c r="N118" s="67" t="n">
        <v>10</v>
      </c>
      <c r="O118" s="67" t="n">
        <v>0</v>
      </c>
      <c r="P118" s="67" t="n">
        <v>0</v>
      </c>
      <c r="Q118" s="66" t="inlineStr">
        <is>
          <t>Conversion</t>
        </is>
      </c>
      <c r="Z118" s="66">
        <f>"X-LARGE|"&amp;A118</f>
        <v/>
      </c>
      <c r="AA118" s="66">
        <f>Q118&amp;"|"&amp;Z118</f>
        <v/>
      </c>
    </row>
    <row r="119" ht="15" customHeight="1" s="39">
      <c r="A119" s="67" t="inlineStr">
        <is>
          <t>CM</t>
        </is>
      </c>
      <c r="B119" s="67" t="n">
        <v>100</v>
      </c>
      <c r="C119" s="67" t="n">
        <v>3</v>
      </c>
      <c r="D119" s="67" t="n">
        <v>2</v>
      </c>
      <c r="E119" s="67" t="n">
        <v>2</v>
      </c>
      <c r="F119" s="67" t="n">
        <v>3</v>
      </c>
      <c r="G119" s="67" t="n">
        <v>1</v>
      </c>
      <c r="H119" s="67" t="n">
        <v>1</v>
      </c>
      <c r="I119" s="67" t="n">
        <v>10</v>
      </c>
      <c r="J119" s="67" t="n">
        <v>10</v>
      </c>
      <c r="K119" s="67" t="n">
        <v>1</v>
      </c>
      <c r="L119" s="67" t="n">
        <v>1</v>
      </c>
      <c r="M119" s="67" t="n">
        <v>5</v>
      </c>
      <c r="N119" s="67" t="n">
        <v>5</v>
      </c>
      <c r="O119" s="67" t="n">
        <v>0</v>
      </c>
      <c r="P119" s="67" t="n">
        <v>0</v>
      </c>
      <c r="Q119" s="66" t="inlineStr">
        <is>
          <t>Conversion</t>
        </is>
      </c>
      <c r="Z119" s="66">
        <f>"X-LARGE|"&amp;A119</f>
        <v/>
      </c>
      <c r="AA119" s="66">
        <f>Q119&amp;"|"&amp;Z119</f>
        <v/>
      </c>
    </row>
    <row r="120" ht="15" customHeight="1" s="39">
      <c r="A120" s="67" t="inlineStr">
        <is>
          <t>FM</t>
        </is>
      </c>
      <c r="B120" s="67" t="n">
        <v>100</v>
      </c>
      <c r="C120" s="67" t="n">
        <v>3</v>
      </c>
      <c r="D120" s="67" t="n">
        <v>2</v>
      </c>
      <c r="E120" s="67" t="n">
        <v>2</v>
      </c>
      <c r="F120" s="67" t="n">
        <v>3</v>
      </c>
      <c r="G120" s="67" t="n">
        <v>1</v>
      </c>
      <c r="H120" s="67" t="n">
        <v>1</v>
      </c>
      <c r="I120" s="67" t="n">
        <v>10</v>
      </c>
      <c r="J120" s="67" t="n">
        <v>10</v>
      </c>
      <c r="K120" s="67" t="n">
        <v>1</v>
      </c>
      <c r="L120" s="67" t="n">
        <v>1</v>
      </c>
      <c r="M120" s="67" t="n">
        <v>5</v>
      </c>
      <c r="N120" s="67" t="n">
        <v>5</v>
      </c>
      <c r="O120" s="67" t="n">
        <v>0</v>
      </c>
      <c r="P120" s="67" t="n">
        <v>0</v>
      </c>
      <c r="Q120" s="66" t="inlineStr">
        <is>
          <t>Conversion</t>
        </is>
      </c>
      <c r="Z120" s="66">
        <f>"X-LARGE|"&amp;A120</f>
        <v/>
      </c>
      <c r="AA120" s="66">
        <f>Q120&amp;"|"&amp;Z120</f>
        <v/>
      </c>
    </row>
    <row r="121" ht="15" customHeight="1" s="39">
      <c r="A121" s="67" t="inlineStr">
        <is>
          <t>RM</t>
        </is>
      </c>
      <c r="B121" s="67" t="n">
        <v>0</v>
      </c>
      <c r="C121" s="67" t="n">
        <v>0</v>
      </c>
      <c r="D121" s="67" t="n">
        <v>0</v>
      </c>
      <c r="E121" s="67" t="n">
        <v>0</v>
      </c>
      <c r="F121" s="67" t="n">
        <v>0</v>
      </c>
      <c r="G121" s="67" t="n">
        <v>0</v>
      </c>
      <c r="H121" s="67" t="n">
        <v>0</v>
      </c>
      <c r="I121" s="67" t="n">
        <v>0</v>
      </c>
      <c r="J121" s="67" t="n">
        <v>0</v>
      </c>
      <c r="K121" s="67" t="n">
        <v>0</v>
      </c>
      <c r="L121" s="67" t="n">
        <v>0</v>
      </c>
      <c r="M121" s="67" t="n">
        <v>0</v>
      </c>
      <c r="N121" s="67" t="n">
        <v>0</v>
      </c>
      <c r="O121" s="67" t="n">
        <v>0</v>
      </c>
      <c r="P121" s="67" t="n">
        <v>0</v>
      </c>
      <c r="Q121" s="66" t="inlineStr">
        <is>
          <t>Conversion</t>
        </is>
      </c>
      <c r="Z121" s="66">
        <f>"X-LARGE|"&amp;A121</f>
        <v/>
      </c>
      <c r="AA121" s="66">
        <f>Q121&amp;"|"&amp;Z121</f>
        <v/>
      </c>
    </row>
    <row r="122" ht="15" customHeight="1" s="39">
      <c r="A122" s="67" t="inlineStr">
        <is>
          <t>RE/FX</t>
        </is>
      </c>
      <c r="B122" s="67" t="n">
        <v>0</v>
      </c>
      <c r="C122" s="67" t="n">
        <v>0</v>
      </c>
      <c r="D122" s="67" t="n">
        <v>0</v>
      </c>
      <c r="E122" s="67" t="n">
        <v>0</v>
      </c>
      <c r="F122" s="67" t="n">
        <v>0</v>
      </c>
      <c r="G122" s="67" t="n">
        <v>0</v>
      </c>
      <c r="H122" s="67" t="n">
        <v>0</v>
      </c>
      <c r="I122" s="67" t="n">
        <v>0</v>
      </c>
      <c r="J122" s="67" t="n">
        <v>0</v>
      </c>
      <c r="K122" s="67" t="n">
        <v>0</v>
      </c>
      <c r="L122" s="67" t="n">
        <v>0</v>
      </c>
      <c r="M122" s="67" t="n">
        <v>0</v>
      </c>
      <c r="N122" s="67" t="n">
        <v>0</v>
      </c>
      <c r="O122" s="67" t="n">
        <v>0</v>
      </c>
      <c r="P122" s="67" t="n">
        <v>0</v>
      </c>
      <c r="Q122" s="66" t="inlineStr">
        <is>
          <t>Conversion</t>
        </is>
      </c>
      <c r="Z122" s="66">
        <f>"X-LARGE|"&amp;A122</f>
        <v/>
      </c>
      <c r="AA122" s="66">
        <f>Q122&amp;"|"&amp;Z122</f>
        <v/>
      </c>
    </row>
    <row r="123" ht="15" customHeight="1" s="39">
      <c r="A123" s="67" t="inlineStr">
        <is>
          <t>MM</t>
        </is>
      </c>
      <c r="B123" s="67" t="n">
        <v>245</v>
      </c>
      <c r="C123" s="67" t="n">
        <v>10</v>
      </c>
      <c r="D123" s="67" t="n">
        <v>5</v>
      </c>
      <c r="E123" s="67" t="n">
        <v>5</v>
      </c>
      <c r="F123" s="67" t="n">
        <v>5</v>
      </c>
      <c r="G123" s="67" t="n">
        <v>2</v>
      </c>
      <c r="H123" s="67" t="n">
        <v>7</v>
      </c>
      <c r="I123" s="67" t="n">
        <v>28</v>
      </c>
      <c r="J123" s="67" t="n">
        <v>28</v>
      </c>
      <c r="K123" s="67" t="n">
        <v>3</v>
      </c>
      <c r="L123" s="67" t="n">
        <v>2</v>
      </c>
      <c r="M123" s="67" t="n">
        <v>20</v>
      </c>
      <c r="N123" s="67" t="n">
        <v>20</v>
      </c>
      <c r="O123" s="67" t="n">
        <v>0</v>
      </c>
      <c r="P123" s="67" t="n">
        <v>0</v>
      </c>
      <c r="Q123" s="66" t="inlineStr">
        <is>
          <t>Conversion</t>
        </is>
      </c>
      <c r="Z123" s="66">
        <f>"X-LARGE|"&amp;A123</f>
        <v/>
      </c>
      <c r="AA123" s="66">
        <f>Q123&amp;"|"&amp;Z123</f>
        <v/>
      </c>
    </row>
    <row r="124" ht="15" customHeight="1" s="39">
      <c r="A124" s="67" t="inlineStr">
        <is>
          <t>PP</t>
        </is>
      </c>
      <c r="B124" s="67" t="n">
        <v>245</v>
      </c>
      <c r="C124" s="67" t="n">
        <v>10</v>
      </c>
      <c r="D124" s="67" t="n">
        <v>5</v>
      </c>
      <c r="E124" s="67" t="n">
        <v>5</v>
      </c>
      <c r="F124" s="67" t="n">
        <v>5</v>
      </c>
      <c r="G124" s="67" t="n">
        <v>2</v>
      </c>
      <c r="H124" s="67" t="n">
        <v>7</v>
      </c>
      <c r="I124" s="67" t="n">
        <v>28</v>
      </c>
      <c r="J124" s="67" t="n">
        <v>28</v>
      </c>
      <c r="K124" s="67" t="n">
        <v>3</v>
      </c>
      <c r="L124" s="67" t="n">
        <v>2</v>
      </c>
      <c r="M124" s="67" t="n">
        <v>20</v>
      </c>
      <c r="N124" s="67" t="n">
        <v>20</v>
      </c>
      <c r="O124" s="67" t="n">
        <v>0</v>
      </c>
      <c r="P124" s="67" t="n">
        <v>0</v>
      </c>
      <c r="Q124" s="66" t="inlineStr">
        <is>
          <t>Conversion</t>
        </is>
      </c>
      <c r="Z124" s="66">
        <f>"X-LARGE|"&amp;A124</f>
        <v/>
      </c>
      <c r="AA124" s="66">
        <f>Q124&amp;"|"&amp;Z124</f>
        <v/>
      </c>
    </row>
    <row r="125" ht="15" customHeight="1" s="39">
      <c r="A125" s="67" t="inlineStr">
        <is>
          <t>SD</t>
        </is>
      </c>
      <c r="B125" s="67" t="n">
        <v>245</v>
      </c>
      <c r="C125" s="67" t="n">
        <v>10</v>
      </c>
      <c r="D125" s="67" t="n">
        <v>5</v>
      </c>
      <c r="E125" s="67" t="n">
        <v>5</v>
      </c>
      <c r="F125" s="67" t="n">
        <v>5</v>
      </c>
      <c r="G125" s="67" t="n">
        <v>2</v>
      </c>
      <c r="H125" s="67" t="n">
        <v>5</v>
      </c>
      <c r="I125" s="67" t="n">
        <v>28</v>
      </c>
      <c r="J125" s="67" t="n">
        <v>28</v>
      </c>
      <c r="K125" s="67" t="n">
        <v>3</v>
      </c>
      <c r="L125" s="67" t="n">
        <v>2</v>
      </c>
      <c r="M125" s="67" t="n">
        <v>15</v>
      </c>
      <c r="N125" s="67" t="n">
        <v>15</v>
      </c>
      <c r="O125" s="67" t="n">
        <v>0</v>
      </c>
      <c r="P125" s="67" t="n">
        <v>0</v>
      </c>
      <c r="Q125" s="66" t="inlineStr">
        <is>
          <t>Conversion</t>
        </is>
      </c>
      <c r="Z125" s="66">
        <f>"X-LARGE|"&amp;A125</f>
        <v/>
      </c>
      <c r="AA125" s="66">
        <f>Q125&amp;"|"&amp;Z125</f>
        <v/>
      </c>
    </row>
    <row r="126" ht="15" customHeight="1" s="39">
      <c r="A126" s="67" t="inlineStr">
        <is>
          <t>QM</t>
        </is>
      </c>
      <c r="B126" s="67" t="n">
        <v>245</v>
      </c>
      <c r="C126" s="67" t="n">
        <v>8</v>
      </c>
      <c r="D126" s="67" t="n">
        <v>5</v>
      </c>
      <c r="E126" s="67" t="n">
        <v>4</v>
      </c>
      <c r="F126" s="67" t="n">
        <v>5</v>
      </c>
      <c r="G126" s="67" t="n">
        <v>1</v>
      </c>
      <c r="H126" s="67" t="n">
        <v>6</v>
      </c>
      <c r="I126" s="67" t="n">
        <v>26</v>
      </c>
      <c r="J126" s="67" t="n">
        <v>26</v>
      </c>
      <c r="K126" s="67" t="n">
        <v>2</v>
      </c>
      <c r="L126" s="67" t="n">
        <v>1</v>
      </c>
      <c r="M126" s="67" t="n">
        <v>15</v>
      </c>
      <c r="N126" s="67" t="n">
        <v>15</v>
      </c>
      <c r="O126" s="67" t="n">
        <v>0</v>
      </c>
      <c r="P126" s="67" t="n">
        <v>0</v>
      </c>
      <c r="Q126" s="66" t="inlineStr">
        <is>
          <t>Conversion</t>
        </is>
      </c>
      <c r="Z126" s="66">
        <f>"X-LARGE|"&amp;A126</f>
        <v/>
      </c>
      <c r="AA126" s="66">
        <f>Q126&amp;"|"&amp;Z126</f>
        <v/>
      </c>
    </row>
    <row r="127" ht="15" customHeight="1" s="39">
      <c r="A127" s="67" t="inlineStr">
        <is>
          <t>PM</t>
        </is>
      </c>
      <c r="B127" s="67" t="n">
        <v>196</v>
      </c>
      <c r="C127" s="67" t="n">
        <v>8</v>
      </c>
      <c r="D127" s="67" t="n">
        <v>3</v>
      </c>
      <c r="E127" s="67" t="n">
        <v>3</v>
      </c>
      <c r="F127" s="67" t="n">
        <v>5</v>
      </c>
      <c r="G127" s="67" t="n">
        <v>1</v>
      </c>
      <c r="H127" s="67" t="n">
        <v>4</v>
      </c>
      <c r="I127" s="67" t="n">
        <v>16</v>
      </c>
      <c r="J127" s="67" t="n">
        <v>16</v>
      </c>
      <c r="K127" s="67" t="n">
        <v>2</v>
      </c>
      <c r="L127" s="67" t="n">
        <v>1</v>
      </c>
      <c r="M127" s="67" t="n">
        <v>10</v>
      </c>
      <c r="N127" s="67" t="n">
        <v>10</v>
      </c>
      <c r="O127" s="67" t="n">
        <v>0</v>
      </c>
      <c r="P127" s="67" t="n">
        <v>0</v>
      </c>
      <c r="Q127" s="66" t="inlineStr">
        <is>
          <t>Conversion</t>
        </is>
      </c>
      <c r="Z127" s="66">
        <f>"X-LARGE|"&amp;A127</f>
        <v/>
      </c>
      <c r="AA127" s="66">
        <f>Q127&amp;"|"&amp;Z127</f>
        <v/>
      </c>
    </row>
    <row r="128" ht="15" customHeight="1" s="39">
      <c r="A128" s="67" t="inlineStr">
        <is>
          <t>PS</t>
        </is>
      </c>
      <c r="B128" s="67" t="n">
        <v>196</v>
      </c>
      <c r="C128" s="67" t="n">
        <v>8</v>
      </c>
      <c r="D128" s="67" t="n">
        <v>3</v>
      </c>
      <c r="E128" s="67" t="n">
        <v>3</v>
      </c>
      <c r="F128" s="67" t="n">
        <v>5</v>
      </c>
      <c r="G128" s="67" t="n">
        <v>1</v>
      </c>
      <c r="H128" s="67" t="n">
        <v>4</v>
      </c>
      <c r="I128" s="67" t="n">
        <v>16</v>
      </c>
      <c r="J128" s="67" t="n">
        <v>16</v>
      </c>
      <c r="K128" s="67" t="n">
        <v>2</v>
      </c>
      <c r="L128" s="67" t="n">
        <v>1</v>
      </c>
      <c r="M128" s="67" t="n">
        <v>10</v>
      </c>
      <c r="N128" s="67" t="n">
        <v>10</v>
      </c>
      <c r="O128" s="67" t="n">
        <v>0</v>
      </c>
      <c r="P128" s="67" t="n">
        <v>0</v>
      </c>
      <c r="Q128" s="66" t="inlineStr">
        <is>
          <t>Conversion</t>
        </is>
      </c>
      <c r="Z128" s="66">
        <f>"X-LARGE|"&amp;A128</f>
        <v/>
      </c>
      <c r="AA128" s="66">
        <f>Q128&amp;"|"&amp;Z128</f>
        <v/>
      </c>
    </row>
    <row r="129" ht="15" customHeight="1" s="39">
      <c r="A129" s="67" t="inlineStr">
        <is>
          <t>MII/DM</t>
        </is>
      </c>
      <c r="B129" s="67" t="n">
        <v>0</v>
      </c>
      <c r="C129" s="67" t="n">
        <v>0</v>
      </c>
      <c r="D129" s="67" t="n">
        <v>0</v>
      </c>
      <c r="E129" s="67" t="n">
        <v>0</v>
      </c>
      <c r="F129" s="67" t="n">
        <v>0</v>
      </c>
      <c r="G129" s="67" t="n">
        <v>0</v>
      </c>
      <c r="H129" s="67" t="n">
        <v>0</v>
      </c>
      <c r="I129" s="67" t="n">
        <v>0</v>
      </c>
      <c r="J129" s="67" t="n">
        <v>0</v>
      </c>
      <c r="K129" s="67" t="n">
        <v>0</v>
      </c>
      <c r="L129" s="67" t="n">
        <v>0</v>
      </c>
      <c r="M129" s="67" t="n">
        <v>0</v>
      </c>
      <c r="N129" s="67" t="n">
        <v>0</v>
      </c>
      <c r="O129" s="67" t="n">
        <v>0</v>
      </c>
      <c r="P129" s="67" t="n">
        <v>0</v>
      </c>
      <c r="Q129" s="66" t="inlineStr">
        <is>
          <t>Conversion</t>
        </is>
      </c>
      <c r="Z129" s="66">
        <f>"X-LARGE|"&amp;A129</f>
        <v/>
      </c>
      <c r="AA129" s="66">
        <f>Q129&amp;"|"&amp;Z129</f>
        <v/>
      </c>
    </row>
    <row r="130" ht="15" customHeight="1" s="39">
      <c r="A130" s="67" t="inlineStr">
        <is>
          <t>PM Mobility</t>
        </is>
      </c>
      <c r="B130" s="67" t="n">
        <v>0</v>
      </c>
      <c r="C130" s="67" t="n">
        <v>0</v>
      </c>
      <c r="D130" s="67" t="n">
        <v>0</v>
      </c>
      <c r="E130" s="67" t="n">
        <v>0</v>
      </c>
      <c r="F130" s="67" t="n">
        <v>0</v>
      </c>
      <c r="G130" s="67" t="n">
        <v>0</v>
      </c>
      <c r="H130" s="67" t="n">
        <v>0</v>
      </c>
      <c r="I130" s="67" t="n">
        <v>0</v>
      </c>
      <c r="J130" s="67" t="n">
        <v>0</v>
      </c>
      <c r="K130" s="67" t="n">
        <v>0</v>
      </c>
      <c r="L130" s="67" t="n">
        <v>0</v>
      </c>
      <c r="M130" s="67" t="n">
        <v>0</v>
      </c>
      <c r="N130" s="67" t="n">
        <v>0</v>
      </c>
      <c r="O130" s="67" t="n">
        <v>0</v>
      </c>
      <c r="P130" s="67" t="n">
        <v>0</v>
      </c>
      <c r="Q130" s="66" t="inlineStr">
        <is>
          <t>Conversion</t>
        </is>
      </c>
      <c r="Z130" s="66">
        <f>"X-LARGE|"&amp;A130</f>
        <v/>
      </c>
      <c r="AA130" s="66">
        <f>Q130&amp;"|"&amp;Z130</f>
        <v/>
      </c>
    </row>
    <row r="131" ht="15" customHeight="1" s="39">
      <c r="A131" s="67" t="inlineStr">
        <is>
          <t>Basic EWM</t>
        </is>
      </c>
      <c r="B131" s="67" t="n">
        <v>245</v>
      </c>
      <c r="C131" s="67" t="n">
        <v>10</v>
      </c>
      <c r="D131" s="67" t="n">
        <v>5</v>
      </c>
      <c r="E131" s="67" t="n">
        <v>5</v>
      </c>
      <c r="F131" s="67" t="n">
        <v>5</v>
      </c>
      <c r="G131" s="67" t="n">
        <v>2</v>
      </c>
      <c r="H131" s="67" t="n">
        <v>4</v>
      </c>
      <c r="I131" s="67" t="n">
        <v>28</v>
      </c>
      <c r="J131" s="67" t="n">
        <v>28</v>
      </c>
      <c r="K131" s="67" t="n">
        <v>2</v>
      </c>
      <c r="L131" s="67" t="n">
        <v>2</v>
      </c>
      <c r="M131" s="67" t="n">
        <v>10</v>
      </c>
      <c r="N131" s="67" t="n">
        <v>10</v>
      </c>
      <c r="O131" s="67" t="n">
        <v>0</v>
      </c>
      <c r="P131" s="67" t="n">
        <v>0</v>
      </c>
      <c r="Q131" s="66" t="inlineStr">
        <is>
          <t>Conversion</t>
        </is>
      </c>
      <c r="Z131" s="66">
        <f>"X-LARGE|"&amp;A131</f>
        <v/>
      </c>
      <c r="AA131" s="66">
        <f>Q131&amp;"|"&amp;Z131</f>
        <v/>
      </c>
    </row>
    <row r="132" ht="15" customHeight="1" s="39">
      <c r="A132" s="67" t="inlineStr">
        <is>
          <t>Advanced EWM</t>
        </is>
      </c>
      <c r="B132" s="67" t="n">
        <v>0</v>
      </c>
      <c r="C132" s="67" t="n">
        <v>0</v>
      </c>
      <c r="D132" s="67" t="n">
        <v>0</v>
      </c>
      <c r="E132" s="67" t="n">
        <v>0</v>
      </c>
      <c r="F132" s="67" t="n">
        <v>0</v>
      </c>
      <c r="G132" s="67" t="n">
        <v>0</v>
      </c>
      <c r="H132" s="67" t="n">
        <v>0</v>
      </c>
      <c r="I132" s="67" t="n">
        <v>0</v>
      </c>
      <c r="J132" s="67" t="n">
        <v>0</v>
      </c>
      <c r="K132" s="67" t="n">
        <v>0</v>
      </c>
      <c r="L132" s="67" t="n">
        <v>0</v>
      </c>
      <c r="M132" s="67" t="n">
        <v>0</v>
      </c>
      <c r="N132" s="67" t="n">
        <v>0</v>
      </c>
      <c r="O132" s="67" t="n">
        <v>0</v>
      </c>
      <c r="P132" s="67" t="n">
        <v>0</v>
      </c>
      <c r="Q132" s="66" t="inlineStr">
        <is>
          <t>Conversion</t>
        </is>
      </c>
      <c r="Z132" s="66">
        <f>"X-LARGE|"&amp;A132</f>
        <v/>
      </c>
      <c r="AA132" s="66">
        <f>Q132&amp;"|"&amp;Z132</f>
        <v/>
      </c>
    </row>
    <row r="133" ht="15" customHeight="1" s="39">
      <c r="A133" s="67" t="inlineStr">
        <is>
          <t>TM</t>
        </is>
      </c>
      <c r="B133" s="67" t="n">
        <v>147</v>
      </c>
      <c r="C133" s="67" t="n">
        <v>5</v>
      </c>
      <c r="D133" s="67" t="n">
        <v>4</v>
      </c>
      <c r="E133" s="67" t="n">
        <v>3</v>
      </c>
      <c r="F133" s="67" t="n">
        <v>6</v>
      </c>
      <c r="G133" s="67" t="n">
        <v>2</v>
      </c>
      <c r="H133" s="67" t="n">
        <v>4</v>
      </c>
      <c r="I133" s="67" t="n">
        <v>15</v>
      </c>
      <c r="J133" s="67" t="n">
        <v>15</v>
      </c>
      <c r="K133" s="67" t="n">
        <v>2</v>
      </c>
      <c r="L133" s="67" t="n">
        <v>2</v>
      </c>
      <c r="M133" s="67" t="n">
        <v>6</v>
      </c>
      <c r="N133" s="67" t="n">
        <v>8</v>
      </c>
      <c r="O133" s="67" t="n">
        <v>0</v>
      </c>
      <c r="P133" s="67" t="n">
        <v>0</v>
      </c>
      <c r="Q133" s="66" t="inlineStr">
        <is>
          <t>Conversion</t>
        </is>
      </c>
      <c r="Z133" s="66">
        <f>"X-LARGE|"&amp;A133</f>
        <v/>
      </c>
      <c r="AA133" s="66">
        <f>Q133&amp;"|"&amp;Z133</f>
        <v/>
      </c>
    </row>
    <row r="134" ht="15" customHeight="1" s="39">
      <c r="A134" s="67" t="inlineStr">
        <is>
          <t>PPDS</t>
        </is>
      </c>
      <c r="B134" s="67" t="n">
        <v>147</v>
      </c>
      <c r="C134" s="67" t="n">
        <v>4</v>
      </c>
      <c r="D134" s="67" t="n">
        <v>3</v>
      </c>
      <c r="E134" s="67" t="n">
        <v>5</v>
      </c>
      <c r="F134" s="67" t="n">
        <v>5</v>
      </c>
      <c r="G134" s="67" t="n">
        <v>1</v>
      </c>
      <c r="H134" s="67" t="n">
        <v>2</v>
      </c>
      <c r="I134" s="67" t="n">
        <v>15</v>
      </c>
      <c r="J134" s="67" t="n">
        <v>15</v>
      </c>
      <c r="K134" s="67" t="n">
        <v>1</v>
      </c>
      <c r="L134" s="67" t="n">
        <v>1</v>
      </c>
      <c r="M134" s="67" t="n">
        <v>3</v>
      </c>
      <c r="N134" s="67" t="n">
        <v>3</v>
      </c>
      <c r="O134" s="67" t="n">
        <v>0</v>
      </c>
      <c r="P134" s="67" t="n">
        <v>0</v>
      </c>
      <c r="Q134" s="66" t="inlineStr">
        <is>
          <t>Conversion</t>
        </is>
      </c>
      <c r="Z134" s="66">
        <f>"X-LARGE|"&amp;A134</f>
        <v/>
      </c>
      <c r="AA134" s="66">
        <f>Q134&amp;"|"&amp;Z134</f>
        <v/>
      </c>
    </row>
    <row r="135" ht="15" customHeight="1" s="39">
      <c r="A135" s="67" t="inlineStr">
        <is>
          <t>ABAP</t>
        </is>
      </c>
      <c r="B135" s="67" t="n">
        <v>0</v>
      </c>
      <c r="C135" s="67" t="n">
        <v>0</v>
      </c>
      <c r="D135" s="67" t="n">
        <v>0</v>
      </c>
      <c r="E135" s="67" t="n">
        <v>0</v>
      </c>
      <c r="F135" s="67" t="n">
        <v>0</v>
      </c>
      <c r="G135" s="67" t="n">
        <v>0</v>
      </c>
      <c r="H135" s="67" t="n">
        <v>0</v>
      </c>
      <c r="I135" s="67" t="n">
        <v>0</v>
      </c>
      <c r="J135" s="67" t="n">
        <v>0</v>
      </c>
      <c r="K135" s="67" t="n">
        <v>0</v>
      </c>
      <c r="L135" s="67" t="n">
        <v>0</v>
      </c>
      <c r="M135" s="67" t="n">
        <v>0</v>
      </c>
      <c r="N135" s="67" t="n">
        <v>0</v>
      </c>
      <c r="O135" s="67" t="n">
        <v>0</v>
      </c>
      <c r="P135" s="67" t="n">
        <v>0</v>
      </c>
      <c r="Q135" s="66" t="inlineStr">
        <is>
          <t>Conversion</t>
        </is>
      </c>
      <c r="Z135" s="66">
        <f>"X-LARGE|"&amp;A135</f>
        <v/>
      </c>
      <c r="AA135" s="66">
        <f>Q135&amp;"|"&amp;Z135</f>
        <v/>
      </c>
    </row>
    <row r="136" ht="15" customHeight="1" s="39">
      <c r="A136" s="67" t="inlineStr">
        <is>
          <t>BASIS</t>
        </is>
      </c>
      <c r="B136" s="67" t="n">
        <v>0</v>
      </c>
      <c r="C136" s="67" t="n">
        <v>0</v>
      </c>
      <c r="D136" s="67" t="n">
        <v>0</v>
      </c>
      <c r="E136" s="67" t="n">
        <v>0</v>
      </c>
      <c r="F136" s="67" t="n">
        <v>0</v>
      </c>
      <c r="G136" s="67" t="n">
        <v>0</v>
      </c>
      <c r="H136" s="67" t="n">
        <v>0</v>
      </c>
      <c r="I136" s="67" t="n">
        <v>0</v>
      </c>
      <c r="J136" s="67" t="n">
        <v>0</v>
      </c>
      <c r="K136" s="67" t="n">
        <v>0</v>
      </c>
      <c r="L136" s="67" t="n">
        <v>0</v>
      </c>
      <c r="M136" s="67" t="n">
        <v>0</v>
      </c>
      <c r="N136" s="67" t="n">
        <v>0</v>
      </c>
      <c r="O136" s="67" t="n">
        <v>0</v>
      </c>
      <c r="P136" s="67" t="n">
        <v>0</v>
      </c>
      <c r="Q136" s="66" t="inlineStr">
        <is>
          <t>Conversion</t>
        </is>
      </c>
      <c r="Z136" s="66">
        <f>"X-LARGE|"&amp;A136</f>
        <v/>
      </c>
      <c r="AA136" s="66">
        <f>Q136&amp;"|"&amp;Z136</f>
        <v/>
      </c>
    </row>
    <row r="137" ht="15" customHeight="1" s="39">
      <c r="A137" s="67" t="inlineStr">
        <is>
          <t>E-Fatura/Arşiv</t>
        </is>
      </c>
      <c r="B137" s="67" t="n">
        <v>5</v>
      </c>
      <c r="C137" s="67" t="n">
        <v>2</v>
      </c>
      <c r="D137" s="67" t="n">
        <v>0</v>
      </c>
      <c r="E137" s="67" t="n">
        <v>2</v>
      </c>
      <c r="F137" s="67" t="n">
        <v>2</v>
      </c>
      <c r="G137" s="67" t="n">
        <v>1</v>
      </c>
      <c r="H137" s="67" t="n">
        <v>1</v>
      </c>
      <c r="I137" s="67" t="n">
        <v>3</v>
      </c>
      <c r="J137" s="67" t="n">
        <v>3</v>
      </c>
      <c r="K137" s="67" t="n">
        <v>0</v>
      </c>
      <c r="L137" s="67" t="n">
        <v>1</v>
      </c>
      <c r="M137" s="67" t="n">
        <v>1</v>
      </c>
      <c r="N137" s="67" t="n">
        <v>0</v>
      </c>
      <c r="O137" s="67" t="n">
        <v>0</v>
      </c>
      <c r="P137" s="67" t="n">
        <v>0</v>
      </c>
      <c r="Q137" s="66" t="inlineStr">
        <is>
          <t>Conversion</t>
        </is>
      </c>
      <c r="Z137" s="66">
        <f>"X-LARGE|"&amp;A137</f>
        <v/>
      </c>
      <c r="AA137" s="66">
        <f>Q137&amp;"|"&amp;Z137</f>
        <v/>
      </c>
    </row>
    <row r="138" ht="15" customHeight="1" s="39">
      <c r="A138" s="67" t="inlineStr">
        <is>
          <t>E-İrsaliye</t>
        </is>
      </c>
      <c r="B138" s="67" t="n">
        <v>5</v>
      </c>
      <c r="C138" s="67" t="n">
        <v>2</v>
      </c>
      <c r="D138" s="67" t="n">
        <v>0</v>
      </c>
      <c r="E138" s="67" t="n">
        <v>2</v>
      </c>
      <c r="F138" s="67" t="n">
        <v>2</v>
      </c>
      <c r="G138" s="67" t="n">
        <v>1</v>
      </c>
      <c r="H138" s="67" t="n">
        <v>1</v>
      </c>
      <c r="I138" s="67" t="n">
        <v>3</v>
      </c>
      <c r="J138" s="67" t="n">
        <v>3</v>
      </c>
      <c r="K138" s="67" t="n">
        <v>0</v>
      </c>
      <c r="L138" s="67" t="n">
        <v>1</v>
      </c>
      <c r="M138" s="67" t="n">
        <v>1</v>
      </c>
      <c r="N138" s="67" t="n">
        <v>0</v>
      </c>
      <c r="O138" s="67" t="n">
        <v>0</v>
      </c>
      <c r="P138" s="67" t="n">
        <v>0</v>
      </c>
      <c r="Q138" s="66" t="inlineStr">
        <is>
          <t>Conversion</t>
        </is>
      </c>
      <c r="Z138" s="66">
        <f>"X-LARGE|"&amp;A138</f>
        <v/>
      </c>
      <c r="AA138" s="66">
        <f>Q138&amp;"|"&amp;Z138</f>
        <v/>
      </c>
    </row>
    <row r="139" ht="15" customHeight="1" s="39">
      <c r="A139" s="67" t="inlineStr">
        <is>
          <t>E-Defter</t>
        </is>
      </c>
      <c r="B139" s="67" t="n">
        <v>3</v>
      </c>
      <c r="C139" s="67" t="n">
        <v>2</v>
      </c>
      <c r="D139" s="67" t="n">
        <v>0</v>
      </c>
      <c r="E139" s="67" t="n">
        <v>3</v>
      </c>
      <c r="F139" s="67" t="n">
        <v>3</v>
      </c>
      <c r="G139" s="67" t="n">
        <v>1</v>
      </c>
      <c r="H139" s="67" t="n">
        <v>1</v>
      </c>
      <c r="I139" s="67" t="n">
        <v>0</v>
      </c>
      <c r="J139" s="67" t="n">
        <v>0</v>
      </c>
      <c r="K139" s="67" t="n">
        <v>0</v>
      </c>
      <c r="L139" s="67" t="n">
        <v>3</v>
      </c>
      <c r="M139" s="67" t="n">
        <v>1</v>
      </c>
      <c r="N139" s="67" t="n">
        <v>0</v>
      </c>
      <c r="O139" s="67" t="n">
        <v>0</v>
      </c>
      <c r="P139" s="67" t="n">
        <v>0</v>
      </c>
      <c r="Q139" s="66" t="inlineStr">
        <is>
          <t>Conversion</t>
        </is>
      </c>
      <c r="Z139" s="66">
        <f>"X-LARGE|"&amp;A139</f>
        <v/>
      </c>
      <c r="AA139" s="66">
        <f>Q139&amp;"|"&amp;Z139</f>
        <v/>
      </c>
    </row>
    <row r="140" ht="15" customHeight="1" s="39">
      <c r="A140" s="67" t="inlineStr">
        <is>
          <t>E-Hesap Özeti</t>
        </is>
      </c>
      <c r="B140" s="67" t="n">
        <v>5</v>
      </c>
      <c r="C140" s="67" t="n">
        <v>3</v>
      </c>
      <c r="D140" s="67" t="n">
        <v>0</v>
      </c>
      <c r="E140" s="67" t="n">
        <v>4</v>
      </c>
      <c r="F140" s="67" t="n">
        <v>3</v>
      </c>
      <c r="G140" s="67" t="n">
        <v>1</v>
      </c>
      <c r="H140" s="67" t="n">
        <v>0</v>
      </c>
      <c r="I140" s="67" t="n">
        <v>3</v>
      </c>
      <c r="J140" s="67" t="n">
        <v>3</v>
      </c>
      <c r="K140" s="67" t="n">
        <v>0</v>
      </c>
      <c r="L140" s="67" t="n">
        <v>2</v>
      </c>
      <c r="M140" s="67" t="n">
        <v>1</v>
      </c>
      <c r="N140" s="67" t="n">
        <v>0</v>
      </c>
      <c r="O140" s="67" t="n">
        <v>0</v>
      </c>
      <c r="P140" s="67" t="n">
        <v>0</v>
      </c>
      <c r="Q140" s="66" t="inlineStr">
        <is>
          <t>Conversion</t>
        </is>
      </c>
      <c r="Z140" s="66">
        <f>"X-LARGE|"&amp;A140</f>
        <v/>
      </c>
      <c r="AA140" s="66">
        <f>Q140&amp;"|"&amp;Z140</f>
        <v/>
      </c>
    </row>
    <row r="141" ht="15" customHeight="1" s="39">
      <c r="A141" s="67" t="inlineStr">
        <is>
          <t>E-Ödeme</t>
        </is>
      </c>
      <c r="B141" s="67" t="n">
        <v>5</v>
      </c>
      <c r="C141" s="67" t="n">
        <v>3</v>
      </c>
      <c r="D141" s="67" t="n">
        <v>0</v>
      </c>
      <c r="E141" s="67" t="n">
        <v>4</v>
      </c>
      <c r="F141" s="67" t="n">
        <v>3</v>
      </c>
      <c r="G141" s="67" t="n">
        <v>1</v>
      </c>
      <c r="H141" s="67" t="n">
        <v>0</v>
      </c>
      <c r="I141" s="67" t="n">
        <v>3</v>
      </c>
      <c r="J141" s="67" t="n">
        <v>3</v>
      </c>
      <c r="K141" s="67" t="n">
        <v>0</v>
      </c>
      <c r="L141" s="67" t="n">
        <v>2</v>
      </c>
      <c r="M141" s="67" t="n">
        <v>1</v>
      </c>
      <c r="N141" s="67" t="n">
        <v>0</v>
      </c>
      <c r="O141" s="67" t="n">
        <v>0</v>
      </c>
      <c r="P141" s="67" t="n">
        <v>0</v>
      </c>
      <c r="Q141" s="66" t="inlineStr">
        <is>
          <t>Conversion</t>
        </is>
      </c>
      <c r="Z141" s="66">
        <f>"X-LARGE|"&amp;A141</f>
        <v/>
      </c>
      <c r="AA141" s="66">
        <f>Q141&amp;"|"&amp;Z141</f>
        <v/>
      </c>
    </row>
    <row r="142" ht="15" customHeight="1" s="39">
      <c r="A142" s="67" t="inlineStr">
        <is>
          <t>E-Mutabakat</t>
        </is>
      </c>
      <c r="B142" s="67" t="n">
        <v>5</v>
      </c>
      <c r="C142" s="67" t="n">
        <v>3</v>
      </c>
      <c r="D142" s="67" t="n">
        <v>0</v>
      </c>
      <c r="E142" s="67" t="n">
        <v>3</v>
      </c>
      <c r="F142" s="67" t="n">
        <v>3</v>
      </c>
      <c r="G142" s="67" t="n">
        <v>1</v>
      </c>
      <c r="H142" s="67" t="n">
        <v>0</v>
      </c>
      <c r="I142" s="67" t="n">
        <v>3</v>
      </c>
      <c r="J142" s="67" t="n">
        <v>3</v>
      </c>
      <c r="K142" s="67" t="n">
        <v>0</v>
      </c>
      <c r="L142" s="67" t="n">
        <v>2</v>
      </c>
      <c r="M142" s="67" t="n">
        <v>1</v>
      </c>
      <c r="N142" s="67" t="n">
        <v>0</v>
      </c>
      <c r="O142" s="67" t="n">
        <v>0</v>
      </c>
      <c r="P142" s="67" t="n">
        <v>0</v>
      </c>
      <c r="Q142" s="66" t="inlineStr">
        <is>
          <t>Conversion</t>
        </is>
      </c>
      <c r="Z142" s="66">
        <f>"X-LARGE|"&amp;A142</f>
        <v/>
      </c>
      <c r="AA142" s="66">
        <f>Q142&amp;"|"&amp;Z142</f>
        <v/>
      </c>
    </row>
    <row r="143" ht="15" customHeight="1" s="39">
      <c r="A143" s="67" t="inlineStr">
        <is>
          <t>E-Beyanname</t>
        </is>
      </c>
      <c r="B143" s="67" t="n">
        <v>6</v>
      </c>
      <c r="C143" s="67" t="n">
        <v>3</v>
      </c>
      <c r="D143" s="67" t="n">
        <v>0</v>
      </c>
      <c r="E143" s="67" t="n">
        <v>6</v>
      </c>
      <c r="F143" s="67" t="n">
        <v>3</v>
      </c>
      <c r="G143" s="67" t="n">
        <v>2</v>
      </c>
      <c r="H143" s="67" t="n">
        <v>0</v>
      </c>
      <c r="I143" s="67" t="n">
        <v>0</v>
      </c>
      <c r="J143" s="67" t="n">
        <v>0</v>
      </c>
      <c r="K143" s="67" t="n">
        <v>0</v>
      </c>
      <c r="L143" s="67" t="n">
        <v>4</v>
      </c>
      <c r="M143" s="67" t="n">
        <v>2</v>
      </c>
      <c r="N143" s="67" t="n">
        <v>0</v>
      </c>
      <c r="O143" s="67" t="n">
        <v>0</v>
      </c>
      <c r="P143" s="67" t="n">
        <v>0</v>
      </c>
      <c r="Q143" s="66" t="inlineStr">
        <is>
          <t>Conversion</t>
        </is>
      </c>
      <c r="Z143" s="66">
        <f>"X-LARGE|"&amp;A143</f>
        <v/>
      </c>
      <c r="AA143" s="66">
        <f>Q143&amp;"|"&amp;Z143</f>
        <v/>
      </c>
    </row>
    <row r="144" ht="15" customHeight="1" s="39">
      <c r="A144" s="67" t="inlineStr">
        <is>
          <t>Gelen Fatura Otomasyon</t>
        </is>
      </c>
      <c r="B144" s="67" t="n">
        <v>5</v>
      </c>
      <c r="C144" s="67" t="n">
        <v>2</v>
      </c>
      <c r="D144" s="67" t="n">
        <v>0</v>
      </c>
      <c r="E144" s="67" t="n">
        <v>3</v>
      </c>
      <c r="F144" s="67" t="n">
        <v>4</v>
      </c>
      <c r="G144" s="67" t="n">
        <v>2</v>
      </c>
      <c r="H144" s="67" t="n">
        <v>0</v>
      </c>
      <c r="I144" s="67" t="n">
        <v>2</v>
      </c>
      <c r="J144" s="67" t="n">
        <v>2</v>
      </c>
      <c r="K144" s="67" t="n">
        <v>0</v>
      </c>
      <c r="L144" s="67" t="n">
        <v>4</v>
      </c>
      <c r="M144" s="67" t="n">
        <v>1</v>
      </c>
      <c r="N144" s="67" t="n">
        <v>0</v>
      </c>
      <c r="O144" s="67" t="n">
        <v>0</v>
      </c>
      <c r="P144" s="67" t="n">
        <v>0</v>
      </c>
      <c r="Q144" s="66" t="inlineStr">
        <is>
          <t>Conversion</t>
        </is>
      </c>
      <c r="Z144" s="66">
        <f>"X-LARGE|"&amp;A144</f>
        <v/>
      </c>
      <c r="AA144" s="66">
        <f>Q144&amp;"|"&amp;Z144</f>
        <v/>
      </c>
    </row>
    <row r="145" ht="15" customHeight="1" s="39">
      <c r="A145" s="67" t="inlineStr">
        <is>
          <t>GLASSWING</t>
        </is>
      </c>
      <c r="B145" s="67" t="n">
        <v>60</v>
      </c>
      <c r="C145" s="67" t="n">
        <v>6</v>
      </c>
      <c r="D145" s="67" t="n">
        <v>2</v>
      </c>
      <c r="E145" s="67" t="n">
        <v>15</v>
      </c>
      <c r="F145" s="67" t="n">
        <v>10</v>
      </c>
      <c r="G145" s="67" t="n">
        <v>2</v>
      </c>
      <c r="H145" s="67" t="n">
        <v>0</v>
      </c>
      <c r="I145" s="67" t="n">
        <v>25</v>
      </c>
      <c r="J145" s="67" t="n">
        <v>25</v>
      </c>
      <c r="K145" s="67" t="n">
        <v>13</v>
      </c>
      <c r="L145" s="67" t="n">
        <v>2</v>
      </c>
      <c r="M145" s="67" t="n">
        <v>5</v>
      </c>
      <c r="N145" s="67" t="n">
        <v>10</v>
      </c>
      <c r="O145" s="67" t="n">
        <v>0</v>
      </c>
      <c r="P145" s="67" t="n">
        <v>0</v>
      </c>
      <c r="Q145" s="66" t="inlineStr">
        <is>
          <t>Conversion</t>
        </is>
      </c>
      <c r="Z145" s="66">
        <f>"X-LARGE|"&amp;A145</f>
        <v/>
      </c>
      <c r="AA145" s="66">
        <f>Q145&amp;"|"&amp;Z145</f>
        <v/>
      </c>
    </row>
    <row r="146" ht="15" customHeight="1" s="39">
      <c r="A146" s="67" t="inlineStr">
        <is>
          <t>COMMODITY</t>
        </is>
      </c>
      <c r="B146" s="67" t="n">
        <v>100</v>
      </c>
      <c r="C146" s="67" t="n">
        <v>9</v>
      </c>
      <c r="D146" s="67" t="n">
        <v>3</v>
      </c>
      <c r="E146" s="67" t="n">
        <v>15</v>
      </c>
      <c r="F146" s="67" t="n">
        <v>15</v>
      </c>
      <c r="G146" s="67" t="n">
        <v>2</v>
      </c>
      <c r="H146" s="67" t="n">
        <v>1</v>
      </c>
      <c r="I146" s="67" t="n">
        <v>30</v>
      </c>
      <c r="J146" s="67" t="n">
        <v>30</v>
      </c>
      <c r="K146" s="67" t="n">
        <v>10</v>
      </c>
      <c r="L146" s="67" t="n">
        <v>2</v>
      </c>
      <c r="M146" s="67" t="n">
        <v>8</v>
      </c>
      <c r="N146" s="67" t="n">
        <v>15</v>
      </c>
      <c r="O146" s="67" t="n">
        <v>0</v>
      </c>
      <c r="P146" s="67" t="n">
        <v>0</v>
      </c>
      <c r="Q146" s="66" t="inlineStr">
        <is>
          <t>Conversion</t>
        </is>
      </c>
      <c r="Z146" s="66">
        <f>"X-LARGE|"&amp;A146</f>
        <v/>
      </c>
      <c r="AA146" s="66">
        <f>Q146&amp;"|"&amp;Z146</f>
        <v/>
      </c>
    </row>
    <row r="147" ht="15" customHeight="1" s="39">
      <c r="A147" s="67" t="inlineStr">
        <is>
          <t>Dış Ticaret Çözümü</t>
        </is>
      </c>
      <c r="B147" s="67" t="n">
        <v>0</v>
      </c>
      <c r="C147" s="67" t="n">
        <v>0</v>
      </c>
      <c r="D147" s="67" t="n">
        <v>0</v>
      </c>
      <c r="E147" s="67" t="n">
        <v>0</v>
      </c>
      <c r="F147" s="67" t="n">
        <v>0</v>
      </c>
      <c r="G147" s="67" t="n">
        <v>0</v>
      </c>
      <c r="H147" s="67" t="n">
        <v>0</v>
      </c>
      <c r="I147" s="67" t="n">
        <v>0</v>
      </c>
      <c r="J147" s="67" t="n">
        <v>0</v>
      </c>
      <c r="K147" s="67" t="n">
        <v>0</v>
      </c>
      <c r="L147" s="67" t="n">
        <v>0</v>
      </c>
      <c r="M147" s="67" t="n">
        <v>0</v>
      </c>
      <c r="N147" s="67" t="n">
        <v>0</v>
      </c>
      <c r="O147" s="67" t="n">
        <v>0</v>
      </c>
      <c r="P147" s="67" t="n">
        <v>0</v>
      </c>
      <c r="Q147" s="66" t="inlineStr">
        <is>
          <t>Conversion</t>
        </is>
      </c>
      <c r="Z147" s="66">
        <f>"X-LARGE|"&amp;A147</f>
        <v/>
      </c>
      <c r="AA147" s="66">
        <f>Q147&amp;"|"&amp;Z147</f>
        <v/>
      </c>
    </row>
    <row r="148" ht="15" customHeight="1" s="39">
      <c r="A148" s="67" t="inlineStr">
        <is>
          <t>Seyahat ve Masraf Yönetimi</t>
        </is>
      </c>
      <c r="B148" s="67" t="n">
        <v>0</v>
      </c>
      <c r="C148" s="67" t="n">
        <v>0</v>
      </c>
      <c r="D148" s="67" t="n">
        <v>0</v>
      </c>
      <c r="E148" s="67" t="n">
        <v>0</v>
      </c>
      <c r="F148" s="67" t="n">
        <v>0</v>
      </c>
      <c r="G148" s="67" t="n">
        <v>0</v>
      </c>
      <c r="H148" s="67" t="n">
        <v>0</v>
      </c>
      <c r="I148" s="67" t="n">
        <v>0</v>
      </c>
      <c r="J148" s="67" t="n">
        <v>0</v>
      </c>
      <c r="K148" s="67" t="n">
        <v>0</v>
      </c>
      <c r="L148" s="67" t="n">
        <v>0</v>
      </c>
      <c r="M148" s="67" t="n">
        <v>0</v>
      </c>
      <c r="N148" s="67" t="n">
        <v>0</v>
      </c>
      <c r="O148" s="67" t="n">
        <v>0</v>
      </c>
      <c r="P148" s="67" t="n">
        <v>0</v>
      </c>
      <c r="Q148" s="66" t="inlineStr">
        <is>
          <t>Conversion</t>
        </is>
      </c>
      <c r="Z148" s="66">
        <f>"X-LARGE|"&amp;A148</f>
        <v/>
      </c>
      <c r="AA148" s="66">
        <f>Q148&amp;"|"&amp;Z148</f>
        <v/>
      </c>
    </row>
    <row r="149" ht="15" customHeight="1" s="39">
      <c r="A149" s="67" t="inlineStr">
        <is>
          <t>NTT Data POS</t>
        </is>
      </c>
      <c r="B149" s="67" t="n">
        <v>0</v>
      </c>
      <c r="C149" s="67" t="n">
        <v>0</v>
      </c>
      <c r="D149" s="67" t="n">
        <v>0</v>
      </c>
      <c r="E149" s="67" t="n">
        <v>0</v>
      </c>
      <c r="F149" s="67" t="n">
        <v>0</v>
      </c>
      <c r="G149" s="67" t="n">
        <v>0</v>
      </c>
      <c r="H149" s="67" t="n">
        <v>0</v>
      </c>
      <c r="I149" s="67" t="n">
        <v>0</v>
      </c>
      <c r="J149" s="67" t="n">
        <v>0</v>
      </c>
      <c r="K149" s="67" t="n">
        <v>0</v>
      </c>
      <c r="L149" s="67" t="n">
        <v>0</v>
      </c>
      <c r="M149" s="67" t="n">
        <v>0</v>
      </c>
      <c r="N149" s="67" t="n">
        <v>0</v>
      </c>
      <c r="O149" s="67" t="n">
        <v>0</v>
      </c>
      <c r="P149" s="67" t="n">
        <v>0</v>
      </c>
      <c r="Q149" s="66" t="inlineStr">
        <is>
          <t>Conversion</t>
        </is>
      </c>
      <c r="Z149" s="66">
        <f>"X-LARGE|"&amp;A149</f>
        <v/>
      </c>
      <c r="AA149" s="66">
        <f>Q149&amp;"|"&amp;Z149</f>
        <v/>
      </c>
    </row>
    <row r="152" ht="15" customHeight="1" s="39">
      <c r="A152" s="68" t="inlineStr">
        <is>
          <t>Implementation Type: Greenfield</t>
        </is>
      </c>
      <c r="Q152" s="68" t="inlineStr">
        <is>
          <t>Greenfield</t>
        </is>
      </c>
    </row>
    <row r="153" ht="15" customHeight="1" s="39">
      <c r="A153" s="68" t="inlineStr">
        <is>
          <t>SMALL</t>
        </is>
      </c>
      <c r="Q153" s="68" t="inlineStr">
        <is>
          <t>Greenfield</t>
        </is>
      </c>
    </row>
    <row r="154" ht="15" customHeight="1" s="39">
      <c r="A154" s="67">
        <f>INDEX(Translations!$D:$ZZ, MATCH(74,Translations!$A:$A,0), MATCH('Project Information'!$C$4,Translations!$D$1:$ZZ$1,0))</f>
        <v/>
      </c>
      <c r="B154" s="67">
        <f>INDEX(Translations!$D:$ZZ, MATCH(75,Translations!$A:$A,0), MATCH('Project Information'!$C$4,Translations!$D$1:$ZZ$1,0))</f>
        <v/>
      </c>
      <c r="C154" s="67">
        <f>INDEX(Translations!$D:$ZZ, MATCH(76,Translations!$A:$A,0), MATCH('Project Information'!$C$4,Translations!$D$1:$ZZ$1,0))</f>
        <v/>
      </c>
      <c r="D154" s="67">
        <f>INDEX(Translations!$D:$ZZ, MATCH(77,Translations!$A:$A,0), MATCH('Project Information'!$C$4,Translations!$D$1:$ZZ$1,0))</f>
        <v/>
      </c>
      <c r="E154" s="67">
        <f>INDEX(Translations!$D:$ZZ, MATCH(78,Translations!$A:$A,0), MATCH('Project Information'!$C$4,Translations!$D$1:$ZZ$1,0))</f>
        <v/>
      </c>
      <c r="F154" s="67">
        <f>INDEX(Translations!$D:$ZZ, MATCH(79,Translations!$A:$A,0), MATCH('Project Information'!$C$4,Translations!$D$1:$ZZ$1,0))</f>
        <v/>
      </c>
      <c r="G154" s="67">
        <f>INDEX(Translations!$D:$ZZ, MATCH(80,Translations!$A:$A,0), MATCH('Project Information'!$C$4,Translations!$D$1:$ZZ$1,0))</f>
        <v/>
      </c>
      <c r="H154" s="67">
        <f>INDEX(Translations!$D:$ZZ, MATCH(81,Translations!$A:$A,0), MATCH('Project Information'!$C$4,Translations!$D$1:$ZZ$1,0))</f>
        <v/>
      </c>
      <c r="I154" s="67">
        <f>INDEX(Translations!$D:$ZZ, MATCH(82,Translations!$A:$A,0), MATCH('Project Information'!$C$4,Translations!$D$1:$ZZ$1,0))</f>
        <v/>
      </c>
      <c r="J154" s="67">
        <f>INDEX(Translations!$D:$ZZ, MATCH(83,Translations!$A:$A,0), MATCH('Project Information'!$C$4,Translations!$D$1:$ZZ$1,0))</f>
        <v/>
      </c>
      <c r="K154" s="67">
        <f>INDEX(Translations!$D:$ZZ, MATCH(84,Translations!$A:$A,0), MATCH('Project Information'!$C$4,Translations!$D$1:$ZZ$1,0))</f>
        <v/>
      </c>
      <c r="L154" s="67">
        <f>INDEX(Translations!$D:$ZZ, MATCH(85,Translations!$A:$A,0), MATCH('Project Information'!$C$4,Translations!$D$1:$ZZ$1,0))</f>
        <v/>
      </c>
      <c r="M154" s="67">
        <f>INDEX(Translations!$D:$ZZ, MATCH(86,Translations!$A:$A,0), MATCH('Project Information'!$C$4,Translations!$D$1:$ZZ$1,0))</f>
        <v/>
      </c>
      <c r="N154" s="67">
        <f>INDEX(Translations!$D:$ZZ, MATCH(87,Translations!$A:$A,0), MATCH('Project Information'!$C$4,Translations!$D$1:$ZZ$1,0))</f>
        <v/>
      </c>
      <c r="O154" s="67">
        <f>INDEX(Translations!$D:$ZZ, MATCH(88,Translations!$A:$A,0), MATCH('Project Information'!$C$4,Translations!$D$1:$ZZ$1,0))</f>
        <v/>
      </c>
      <c r="P154" s="67">
        <f>INDEX(Translations!$D:$ZZ, MATCH(89,Translations!$A:$A,0), MATCH('Project Information'!$C$4,Translations!$D$1:$ZZ$1,0))</f>
        <v/>
      </c>
      <c r="Q154" s="67" t="inlineStr">
        <is>
          <t>Implementation Type</t>
        </is>
      </c>
      <c r="Z154" s="67">
        <f>INDEX(Translations!$D:$ZZ, MATCH(93,Translations!$A:$A,0), MATCH('Project Information'!$C$4,Translations!$D$1:$ZZ$1,0))</f>
        <v/>
      </c>
      <c r="AA154" s="67" t="inlineStr">
        <is>
          <t>Implementation Key</t>
        </is>
      </c>
    </row>
    <row r="155" ht="15" customHeight="1" s="39">
      <c r="A155" s="67" t="inlineStr">
        <is>
          <t>FI</t>
        </is>
      </c>
      <c r="B155" s="67" t="n">
        <v>20</v>
      </c>
      <c r="C155" s="67" t="n">
        <v>3</v>
      </c>
      <c r="D155" s="67" t="n">
        <v>2</v>
      </c>
      <c r="E155" s="67" t="n">
        <v>3</v>
      </c>
      <c r="F155" s="67" t="n">
        <v>2</v>
      </c>
      <c r="G155" s="67" t="n">
        <v>1</v>
      </c>
      <c r="H155" s="67" t="n">
        <v>1</v>
      </c>
      <c r="I155" s="67" t="n">
        <v>5</v>
      </c>
      <c r="J155" s="67" t="n">
        <v>5</v>
      </c>
      <c r="K155" s="67" t="n">
        <v>1</v>
      </c>
      <c r="L155" s="67" t="n">
        <v>1</v>
      </c>
      <c r="M155" s="67" t="n">
        <v>4</v>
      </c>
      <c r="N155" s="67" t="n">
        <v>4</v>
      </c>
      <c r="O155" s="67" t="n">
        <v>0</v>
      </c>
      <c r="P155" s="67" t="n">
        <v>0</v>
      </c>
      <c r="Q155" s="66" t="inlineStr">
        <is>
          <t>Greenfield</t>
        </is>
      </c>
      <c r="Z155" s="66">
        <f>"SMALL|"&amp;A155</f>
        <v/>
      </c>
      <c r="AA155" s="66">
        <f>Q155&amp;"|"&amp;Z155</f>
        <v/>
      </c>
    </row>
    <row r="156" ht="15" customHeight="1" s="39">
      <c r="A156" s="67" t="inlineStr">
        <is>
          <t>CO</t>
        </is>
      </c>
      <c r="B156" s="67" t="n">
        <v>20</v>
      </c>
      <c r="C156" s="67" t="n">
        <v>3</v>
      </c>
      <c r="D156" s="67" t="n">
        <v>2</v>
      </c>
      <c r="E156" s="67" t="n">
        <v>3</v>
      </c>
      <c r="F156" s="67" t="n">
        <v>2</v>
      </c>
      <c r="G156" s="67" t="n">
        <v>1</v>
      </c>
      <c r="H156" s="67" t="n">
        <v>1</v>
      </c>
      <c r="I156" s="67" t="n">
        <v>5</v>
      </c>
      <c r="J156" s="67" t="n">
        <v>5</v>
      </c>
      <c r="K156" s="67" t="n">
        <v>1</v>
      </c>
      <c r="L156" s="67" t="n">
        <v>1</v>
      </c>
      <c r="M156" s="67" t="n">
        <v>4</v>
      </c>
      <c r="N156" s="67" t="n">
        <v>4</v>
      </c>
      <c r="O156" s="67" t="n">
        <v>0</v>
      </c>
      <c r="P156" s="67" t="n">
        <v>0</v>
      </c>
      <c r="Q156" s="66" t="inlineStr">
        <is>
          <t>Greenfield</t>
        </is>
      </c>
      <c r="Z156" s="66">
        <f>"SMALL|"&amp;A156</f>
        <v/>
      </c>
      <c r="AA156" s="66">
        <f>Q156&amp;"|"&amp;Z156</f>
        <v/>
      </c>
    </row>
    <row r="157" ht="15" customHeight="1" s="39">
      <c r="A157" s="67" t="inlineStr">
        <is>
          <t>TRM</t>
        </is>
      </c>
      <c r="B157" s="67" t="n">
        <v>10</v>
      </c>
      <c r="C157" s="67" t="n">
        <v>2</v>
      </c>
      <c r="D157" s="67" t="n">
        <v>1</v>
      </c>
      <c r="E157" s="67" t="n">
        <v>2</v>
      </c>
      <c r="F157" s="67" t="n">
        <v>1</v>
      </c>
      <c r="G157" s="67" t="n">
        <v>0.5</v>
      </c>
      <c r="H157" s="67" t="n">
        <v>0.5</v>
      </c>
      <c r="I157" s="67" t="n">
        <v>3</v>
      </c>
      <c r="J157" s="67" t="n">
        <v>3</v>
      </c>
      <c r="K157" s="67" t="n">
        <v>0.5</v>
      </c>
      <c r="L157" s="67" t="n">
        <v>0.5</v>
      </c>
      <c r="M157" s="67" t="n">
        <v>3</v>
      </c>
      <c r="N157" s="67" t="n">
        <v>3</v>
      </c>
      <c r="O157" s="67" t="n">
        <v>0</v>
      </c>
      <c r="P157" s="67" t="n">
        <v>0</v>
      </c>
      <c r="Q157" s="66" t="inlineStr">
        <is>
          <t>Greenfield</t>
        </is>
      </c>
      <c r="Z157" s="66">
        <f>"SMALL|"&amp;A157</f>
        <v/>
      </c>
      <c r="AA157" s="66">
        <f>Q157&amp;"|"&amp;Z157</f>
        <v/>
      </c>
    </row>
    <row r="158" ht="15" customHeight="1" s="39">
      <c r="A158" s="67" t="inlineStr">
        <is>
          <t>CM</t>
        </is>
      </c>
      <c r="B158" s="67" t="n">
        <v>5</v>
      </c>
      <c r="C158" s="67" t="n">
        <v>1</v>
      </c>
      <c r="D158" s="67" t="n">
        <v>1</v>
      </c>
      <c r="E158" s="67" t="n">
        <v>1</v>
      </c>
      <c r="F158" s="67" t="n">
        <v>1</v>
      </c>
      <c r="G158" s="67" t="n">
        <v>0.5</v>
      </c>
      <c r="H158" s="67" t="n">
        <v>0.5</v>
      </c>
      <c r="I158" s="67" t="n">
        <v>1</v>
      </c>
      <c r="J158" s="67" t="n">
        <v>1</v>
      </c>
      <c r="K158" s="67" t="n">
        <v>0.5</v>
      </c>
      <c r="L158" s="67" t="n">
        <v>0.5</v>
      </c>
      <c r="M158" s="67" t="n">
        <v>2</v>
      </c>
      <c r="N158" s="67" t="n">
        <v>2</v>
      </c>
      <c r="O158" s="67" t="n">
        <v>0</v>
      </c>
      <c r="P158" s="67" t="n">
        <v>0</v>
      </c>
      <c r="Q158" s="66" t="inlineStr">
        <is>
          <t>Greenfield</t>
        </is>
      </c>
      <c r="Z158" s="66">
        <f>"SMALL|"&amp;A158</f>
        <v/>
      </c>
      <c r="AA158" s="66">
        <f>Q158&amp;"|"&amp;Z158</f>
        <v/>
      </c>
    </row>
    <row r="159" ht="15" customHeight="1" s="39">
      <c r="A159" s="67" t="inlineStr">
        <is>
          <t>FM</t>
        </is>
      </c>
      <c r="B159" s="67" t="n">
        <v>5</v>
      </c>
      <c r="C159" s="67" t="n">
        <v>1</v>
      </c>
      <c r="D159" s="67" t="n">
        <v>1</v>
      </c>
      <c r="E159" s="67" t="n">
        <v>1</v>
      </c>
      <c r="F159" s="67" t="n">
        <v>1</v>
      </c>
      <c r="G159" s="67" t="n">
        <v>0.5</v>
      </c>
      <c r="H159" s="67" t="n">
        <v>0.5</v>
      </c>
      <c r="I159" s="67" t="n">
        <v>1</v>
      </c>
      <c r="J159" s="67" t="n">
        <v>1</v>
      </c>
      <c r="K159" s="67" t="n">
        <v>0.5</v>
      </c>
      <c r="L159" s="67" t="n">
        <v>0.5</v>
      </c>
      <c r="M159" s="67" t="n">
        <v>2</v>
      </c>
      <c r="N159" s="67" t="n">
        <v>2</v>
      </c>
      <c r="O159" s="67" t="n">
        <v>0</v>
      </c>
      <c r="P159" s="67" t="n">
        <v>0</v>
      </c>
      <c r="Q159" s="66" t="inlineStr">
        <is>
          <t>Greenfield</t>
        </is>
      </c>
      <c r="Z159" s="66">
        <f>"SMALL|"&amp;A159</f>
        <v/>
      </c>
      <c r="AA159" s="66">
        <f>Q159&amp;"|"&amp;Z159</f>
        <v/>
      </c>
    </row>
    <row r="160" ht="15" customHeight="1" s="39">
      <c r="A160" s="67" t="inlineStr">
        <is>
          <t>RM</t>
        </is>
      </c>
      <c r="B160" s="67" t="n">
        <v>0</v>
      </c>
      <c r="C160" s="67" t="n">
        <v>0</v>
      </c>
      <c r="D160" s="67" t="n">
        <v>0</v>
      </c>
      <c r="E160" s="67" t="n">
        <v>0</v>
      </c>
      <c r="F160" s="67" t="n">
        <v>0</v>
      </c>
      <c r="G160" s="67" t="n">
        <v>0</v>
      </c>
      <c r="H160" s="67" t="n">
        <v>0</v>
      </c>
      <c r="I160" s="67" t="n">
        <v>0</v>
      </c>
      <c r="J160" s="67" t="n">
        <v>0</v>
      </c>
      <c r="K160" s="67" t="n">
        <v>0</v>
      </c>
      <c r="L160" s="67" t="n">
        <v>0</v>
      </c>
      <c r="M160" s="67" t="n">
        <v>0</v>
      </c>
      <c r="N160" s="67" t="n">
        <v>0</v>
      </c>
      <c r="O160" s="67" t="n">
        <v>0</v>
      </c>
      <c r="P160" s="67" t="n">
        <v>0</v>
      </c>
      <c r="Q160" s="66" t="inlineStr">
        <is>
          <t>Greenfield</t>
        </is>
      </c>
      <c r="Z160" s="66">
        <f>"SMALL|"&amp;A160</f>
        <v/>
      </c>
      <c r="AA160" s="66">
        <f>Q160&amp;"|"&amp;Z160</f>
        <v/>
      </c>
    </row>
    <row r="161" ht="15" customHeight="1" s="39">
      <c r="A161" s="67" t="inlineStr">
        <is>
          <t>RE/FX</t>
        </is>
      </c>
      <c r="B161" s="67" t="n">
        <v>0</v>
      </c>
      <c r="C161" s="67" t="n">
        <v>0</v>
      </c>
      <c r="D161" s="67" t="n">
        <v>0</v>
      </c>
      <c r="E161" s="67" t="n">
        <v>0</v>
      </c>
      <c r="F161" s="67" t="n">
        <v>0</v>
      </c>
      <c r="G161" s="67" t="n">
        <v>0</v>
      </c>
      <c r="H161" s="67" t="n">
        <v>0</v>
      </c>
      <c r="I161" s="67" t="n">
        <v>0</v>
      </c>
      <c r="J161" s="67" t="n">
        <v>0</v>
      </c>
      <c r="K161" s="67" t="n">
        <v>0</v>
      </c>
      <c r="L161" s="67" t="n">
        <v>0</v>
      </c>
      <c r="M161" s="67" t="n">
        <v>0</v>
      </c>
      <c r="N161" s="67" t="n">
        <v>0</v>
      </c>
      <c r="O161" s="67" t="n">
        <v>0</v>
      </c>
      <c r="P161" s="67" t="n">
        <v>0</v>
      </c>
      <c r="Q161" s="66" t="inlineStr">
        <is>
          <t>Greenfield</t>
        </is>
      </c>
      <c r="Z161" s="66">
        <f>"SMALL|"&amp;A161</f>
        <v/>
      </c>
      <c r="AA161" s="66">
        <f>Q161&amp;"|"&amp;Z161</f>
        <v/>
      </c>
    </row>
    <row r="162" ht="15" customHeight="1" s="39">
      <c r="A162" s="67" t="inlineStr">
        <is>
          <t>MM</t>
        </is>
      </c>
      <c r="B162" s="67" t="n">
        <v>24</v>
      </c>
      <c r="C162" s="67" t="n">
        <v>3</v>
      </c>
      <c r="D162" s="67" t="n">
        <v>2</v>
      </c>
      <c r="E162" s="67" t="n">
        <v>3</v>
      </c>
      <c r="F162" s="67" t="n">
        <v>2</v>
      </c>
      <c r="G162" s="67" t="n">
        <v>1</v>
      </c>
      <c r="H162" s="67" t="n">
        <v>1</v>
      </c>
      <c r="I162" s="67" t="n">
        <v>5</v>
      </c>
      <c r="J162" s="67" t="n">
        <v>5</v>
      </c>
      <c r="K162" s="67" t="n">
        <v>1</v>
      </c>
      <c r="L162" s="67" t="n">
        <v>1</v>
      </c>
      <c r="M162" s="67" t="n">
        <v>4</v>
      </c>
      <c r="N162" s="67" t="n">
        <v>4</v>
      </c>
      <c r="O162" s="67" t="n">
        <v>0</v>
      </c>
      <c r="P162" s="67" t="n">
        <v>0</v>
      </c>
      <c r="Q162" s="66" t="inlineStr">
        <is>
          <t>Greenfield</t>
        </is>
      </c>
      <c r="Z162" s="66">
        <f>"SMALL|"&amp;A162</f>
        <v/>
      </c>
      <c r="AA162" s="66">
        <f>Q162&amp;"|"&amp;Z162</f>
        <v/>
      </c>
    </row>
    <row r="163" ht="15" customHeight="1" s="39">
      <c r="A163" s="67" t="inlineStr">
        <is>
          <t>PP</t>
        </is>
      </c>
      <c r="B163" s="67" t="n">
        <v>24</v>
      </c>
      <c r="C163" s="67" t="n">
        <v>3</v>
      </c>
      <c r="D163" s="67" t="n">
        <v>2</v>
      </c>
      <c r="E163" s="67" t="n">
        <v>3</v>
      </c>
      <c r="F163" s="67" t="n">
        <v>2</v>
      </c>
      <c r="G163" s="67" t="n">
        <v>1</v>
      </c>
      <c r="H163" s="67" t="n">
        <v>1</v>
      </c>
      <c r="I163" s="67" t="n">
        <v>5</v>
      </c>
      <c r="J163" s="67" t="n">
        <v>5</v>
      </c>
      <c r="K163" s="67" t="n">
        <v>1</v>
      </c>
      <c r="L163" s="67" t="n">
        <v>1</v>
      </c>
      <c r="M163" s="67" t="n">
        <v>4</v>
      </c>
      <c r="N163" s="67" t="n">
        <v>4</v>
      </c>
      <c r="O163" s="67" t="n">
        <v>0</v>
      </c>
      <c r="P163" s="67" t="n">
        <v>0</v>
      </c>
      <c r="Q163" s="66" t="inlineStr">
        <is>
          <t>Greenfield</t>
        </is>
      </c>
      <c r="Z163" s="66">
        <f>"SMALL|"&amp;A163</f>
        <v/>
      </c>
      <c r="AA163" s="66">
        <f>Q163&amp;"|"&amp;Z163</f>
        <v/>
      </c>
    </row>
    <row r="164" ht="15" customHeight="1" s="39">
      <c r="A164" s="67" t="inlineStr">
        <is>
          <t>SD</t>
        </is>
      </c>
      <c r="B164" s="67" t="n">
        <v>24</v>
      </c>
      <c r="C164" s="67" t="n">
        <v>3</v>
      </c>
      <c r="D164" s="67" t="n">
        <v>2</v>
      </c>
      <c r="E164" s="67" t="n">
        <v>3</v>
      </c>
      <c r="F164" s="67" t="n">
        <v>2</v>
      </c>
      <c r="G164" s="67" t="n">
        <v>1</v>
      </c>
      <c r="H164" s="67" t="n">
        <v>1</v>
      </c>
      <c r="I164" s="67" t="n">
        <v>5</v>
      </c>
      <c r="J164" s="67" t="n">
        <v>5</v>
      </c>
      <c r="K164" s="67" t="n">
        <v>1</v>
      </c>
      <c r="L164" s="67" t="n">
        <v>1</v>
      </c>
      <c r="M164" s="67" t="n">
        <v>4</v>
      </c>
      <c r="N164" s="67" t="n">
        <v>4</v>
      </c>
      <c r="O164" s="67" t="n">
        <v>0</v>
      </c>
      <c r="P164" s="67" t="n">
        <v>0</v>
      </c>
      <c r="Q164" s="66" t="inlineStr">
        <is>
          <t>Greenfield</t>
        </is>
      </c>
      <c r="Z164" s="66">
        <f>"SMALL|"&amp;A164</f>
        <v/>
      </c>
      <c r="AA164" s="66">
        <f>Q164&amp;"|"&amp;Z164</f>
        <v/>
      </c>
    </row>
    <row r="165" ht="15" customHeight="1" s="39">
      <c r="A165" s="67" t="inlineStr">
        <is>
          <t>QM</t>
        </is>
      </c>
      <c r="B165" s="67" t="n">
        <v>15</v>
      </c>
      <c r="C165" s="67" t="n">
        <v>2</v>
      </c>
      <c r="D165" s="67" t="n">
        <v>1</v>
      </c>
      <c r="E165" s="67" t="n">
        <v>2</v>
      </c>
      <c r="F165" s="67" t="n">
        <v>2</v>
      </c>
      <c r="G165" s="67" t="n">
        <v>0.5</v>
      </c>
      <c r="H165" s="67" t="n">
        <v>1</v>
      </c>
      <c r="I165" s="67" t="n">
        <v>3</v>
      </c>
      <c r="J165" s="67" t="n">
        <v>3</v>
      </c>
      <c r="K165" s="67" t="n">
        <v>1</v>
      </c>
      <c r="L165" s="67" t="n">
        <v>0.5</v>
      </c>
      <c r="M165" s="67" t="n">
        <v>4</v>
      </c>
      <c r="N165" s="67" t="n">
        <v>4</v>
      </c>
      <c r="O165" s="67" t="n">
        <v>0</v>
      </c>
      <c r="P165" s="67" t="n">
        <v>0</v>
      </c>
      <c r="Q165" s="66" t="inlineStr">
        <is>
          <t>Greenfield</t>
        </is>
      </c>
      <c r="Z165" s="66">
        <f>"SMALL|"&amp;A165</f>
        <v/>
      </c>
      <c r="AA165" s="66">
        <f>Q165&amp;"|"&amp;Z165</f>
        <v/>
      </c>
    </row>
    <row r="166" ht="15" customHeight="1" s="39">
      <c r="A166" s="67" t="inlineStr">
        <is>
          <t>PM</t>
        </is>
      </c>
      <c r="B166" s="67" t="n">
        <v>12</v>
      </c>
      <c r="C166" s="67" t="n">
        <v>2</v>
      </c>
      <c r="D166" s="67" t="n">
        <v>1</v>
      </c>
      <c r="E166" s="67" t="n">
        <v>2</v>
      </c>
      <c r="F166" s="67" t="n">
        <v>2</v>
      </c>
      <c r="G166" s="67" t="n">
        <v>0.5</v>
      </c>
      <c r="H166" s="67" t="n">
        <v>1</v>
      </c>
      <c r="I166" s="67" t="n">
        <v>3</v>
      </c>
      <c r="J166" s="67" t="n">
        <v>3</v>
      </c>
      <c r="K166" s="67" t="n">
        <v>1</v>
      </c>
      <c r="L166" s="67" t="n">
        <v>0.5</v>
      </c>
      <c r="M166" s="67" t="n">
        <v>4</v>
      </c>
      <c r="N166" s="67" t="n">
        <v>4</v>
      </c>
      <c r="O166" s="67" t="n">
        <v>0</v>
      </c>
      <c r="P166" s="67" t="n">
        <v>0</v>
      </c>
      <c r="Q166" s="66" t="inlineStr">
        <is>
          <t>Greenfield</t>
        </is>
      </c>
      <c r="Z166" s="66">
        <f>"SMALL|"&amp;A166</f>
        <v/>
      </c>
      <c r="AA166" s="66">
        <f>Q166&amp;"|"&amp;Z166</f>
        <v/>
      </c>
    </row>
    <row r="167" ht="15" customHeight="1" s="39">
      <c r="A167" s="67" t="inlineStr">
        <is>
          <t>PS</t>
        </is>
      </c>
      <c r="B167" s="67" t="n">
        <v>12</v>
      </c>
      <c r="C167" s="67" t="n">
        <v>2</v>
      </c>
      <c r="D167" s="67" t="n">
        <v>1</v>
      </c>
      <c r="E167" s="67" t="n">
        <v>2</v>
      </c>
      <c r="F167" s="67" t="n">
        <v>2</v>
      </c>
      <c r="G167" s="67" t="n">
        <v>0.5</v>
      </c>
      <c r="H167" s="67" t="n">
        <v>1</v>
      </c>
      <c r="I167" s="67" t="n">
        <v>3</v>
      </c>
      <c r="J167" s="67" t="n">
        <v>3</v>
      </c>
      <c r="K167" s="67" t="n">
        <v>1</v>
      </c>
      <c r="L167" s="67" t="n">
        <v>0.5</v>
      </c>
      <c r="M167" s="67" t="n">
        <v>4</v>
      </c>
      <c r="N167" s="67" t="n">
        <v>4</v>
      </c>
      <c r="O167" s="67" t="n">
        <v>0</v>
      </c>
      <c r="P167" s="67" t="n">
        <v>0</v>
      </c>
      <c r="Q167" s="66" t="inlineStr">
        <is>
          <t>Greenfield</t>
        </is>
      </c>
      <c r="Z167" s="66">
        <f>"SMALL|"&amp;A167</f>
        <v/>
      </c>
      <c r="AA167" s="66">
        <f>Q167&amp;"|"&amp;Z167</f>
        <v/>
      </c>
    </row>
    <row r="168" ht="15" customHeight="1" s="39">
      <c r="A168" s="67" t="inlineStr">
        <is>
          <t>MII/DM</t>
        </is>
      </c>
      <c r="B168" s="67" t="n">
        <v>0</v>
      </c>
      <c r="C168" s="67" t="n">
        <v>0</v>
      </c>
      <c r="D168" s="67" t="n">
        <v>0</v>
      </c>
      <c r="E168" s="67" t="n">
        <v>0</v>
      </c>
      <c r="F168" s="67" t="n">
        <v>0</v>
      </c>
      <c r="G168" s="67" t="n">
        <v>0</v>
      </c>
      <c r="H168" s="67" t="n">
        <v>0</v>
      </c>
      <c r="I168" s="67" t="n">
        <v>0</v>
      </c>
      <c r="J168" s="67" t="n">
        <v>0</v>
      </c>
      <c r="K168" s="67" t="n">
        <v>0</v>
      </c>
      <c r="L168" s="67" t="n">
        <v>0</v>
      </c>
      <c r="M168" s="67" t="n">
        <v>0</v>
      </c>
      <c r="N168" s="67" t="n">
        <v>0</v>
      </c>
      <c r="O168" s="67" t="n">
        <v>0</v>
      </c>
      <c r="P168" s="67" t="n">
        <v>0</v>
      </c>
      <c r="Q168" s="66" t="inlineStr">
        <is>
          <t>Greenfield</t>
        </is>
      </c>
      <c r="Z168" s="66">
        <f>"SMALL|"&amp;A168</f>
        <v/>
      </c>
      <c r="AA168" s="66">
        <f>Q168&amp;"|"&amp;Z168</f>
        <v/>
      </c>
    </row>
    <row r="169" ht="15" customHeight="1" s="39">
      <c r="A169" s="67" t="inlineStr">
        <is>
          <t>PM Mobility</t>
        </is>
      </c>
      <c r="B169" s="67" t="n">
        <v>0</v>
      </c>
      <c r="C169" s="67" t="n">
        <v>0</v>
      </c>
      <c r="D169" s="67" t="n">
        <v>0</v>
      </c>
      <c r="E169" s="67" t="n">
        <v>0</v>
      </c>
      <c r="F169" s="67" t="n">
        <v>0</v>
      </c>
      <c r="G169" s="67" t="n">
        <v>0</v>
      </c>
      <c r="H169" s="67" t="n">
        <v>0</v>
      </c>
      <c r="I169" s="67" t="n">
        <v>0</v>
      </c>
      <c r="J169" s="67" t="n">
        <v>0</v>
      </c>
      <c r="K169" s="67" t="n">
        <v>0</v>
      </c>
      <c r="L169" s="67" t="n">
        <v>0</v>
      </c>
      <c r="M169" s="67" t="n">
        <v>0</v>
      </c>
      <c r="N169" s="67" t="n">
        <v>0</v>
      </c>
      <c r="O169" s="67" t="n">
        <v>0</v>
      </c>
      <c r="P169" s="67" t="n">
        <v>0</v>
      </c>
      <c r="Q169" s="66" t="inlineStr">
        <is>
          <t>Greenfield</t>
        </is>
      </c>
      <c r="Z169" s="66">
        <f>"SMALL|"&amp;A169</f>
        <v/>
      </c>
      <c r="AA169" s="66">
        <f>Q169&amp;"|"&amp;Z169</f>
        <v/>
      </c>
    </row>
    <row r="170" ht="15" customHeight="1" s="39">
      <c r="A170" s="67" t="inlineStr">
        <is>
          <t>Basic EWM</t>
        </is>
      </c>
      <c r="B170" s="67" t="n">
        <v>24</v>
      </c>
      <c r="C170" s="67" t="n">
        <v>3</v>
      </c>
      <c r="D170" s="67" t="n">
        <v>2</v>
      </c>
      <c r="E170" s="67" t="n">
        <v>3</v>
      </c>
      <c r="F170" s="67" t="n">
        <v>2</v>
      </c>
      <c r="G170" s="67" t="n">
        <v>1</v>
      </c>
      <c r="H170" s="67" t="n">
        <v>1</v>
      </c>
      <c r="I170" s="67" t="n">
        <v>5</v>
      </c>
      <c r="J170" s="67" t="n">
        <v>5</v>
      </c>
      <c r="K170" s="67" t="n">
        <v>1</v>
      </c>
      <c r="L170" s="67" t="n">
        <v>1</v>
      </c>
      <c r="M170" s="67" t="n">
        <v>4</v>
      </c>
      <c r="N170" s="67" t="n">
        <v>4</v>
      </c>
      <c r="O170" s="67" t="n">
        <v>0</v>
      </c>
      <c r="P170" s="67" t="n">
        <v>0</v>
      </c>
      <c r="Q170" s="66" t="inlineStr">
        <is>
          <t>Greenfield</t>
        </is>
      </c>
      <c r="Z170" s="66">
        <f>"SMALL|"&amp;A170</f>
        <v/>
      </c>
      <c r="AA170" s="66">
        <f>Q170&amp;"|"&amp;Z170</f>
        <v/>
      </c>
    </row>
    <row r="171" ht="15" customHeight="1" s="39">
      <c r="A171" s="67" t="inlineStr">
        <is>
          <t>Advanced EWM</t>
        </is>
      </c>
      <c r="B171" s="67" t="n">
        <v>0</v>
      </c>
      <c r="C171" s="67" t="n">
        <v>0</v>
      </c>
      <c r="D171" s="67" t="n">
        <v>0</v>
      </c>
      <c r="E171" s="67" t="n">
        <v>0</v>
      </c>
      <c r="F171" s="67" t="n">
        <v>0</v>
      </c>
      <c r="G171" s="67" t="n">
        <v>0</v>
      </c>
      <c r="H171" s="67" t="n">
        <v>0</v>
      </c>
      <c r="I171" s="67" t="n">
        <v>0</v>
      </c>
      <c r="J171" s="67" t="n">
        <v>0</v>
      </c>
      <c r="K171" s="67" t="n">
        <v>0</v>
      </c>
      <c r="L171" s="67" t="n">
        <v>0</v>
      </c>
      <c r="M171" s="67" t="n">
        <v>0</v>
      </c>
      <c r="N171" s="67" t="n">
        <v>0</v>
      </c>
      <c r="O171" s="67" t="n">
        <v>0</v>
      </c>
      <c r="P171" s="67" t="n">
        <v>0</v>
      </c>
      <c r="Q171" s="66" t="inlineStr">
        <is>
          <t>Greenfield</t>
        </is>
      </c>
      <c r="Z171" s="66">
        <f>"SMALL|"&amp;A171</f>
        <v/>
      </c>
      <c r="AA171" s="66">
        <f>Q171&amp;"|"&amp;Z171</f>
        <v/>
      </c>
    </row>
    <row r="172" ht="15" customHeight="1" s="39">
      <c r="A172" s="67" t="inlineStr">
        <is>
          <t>TM</t>
        </is>
      </c>
      <c r="B172" s="67" t="n">
        <v>15</v>
      </c>
      <c r="C172" s="67" t="n">
        <v>3</v>
      </c>
      <c r="D172" s="67" t="n">
        <v>1</v>
      </c>
      <c r="E172" s="67" t="n">
        <v>2</v>
      </c>
      <c r="F172" s="67" t="n">
        <v>2</v>
      </c>
      <c r="G172" s="67" t="n">
        <v>0.5</v>
      </c>
      <c r="H172" s="67" t="n">
        <v>1</v>
      </c>
      <c r="I172" s="67" t="n">
        <v>4</v>
      </c>
      <c r="J172" s="67" t="n">
        <v>4</v>
      </c>
      <c r="K172" s="67" t="n">
        <v>1</v>
      </c>
      <c r="L172" s="67" t="n">
        <v>1</v>
      </c>
      <c r="M172" s="67" t="n">
        <v>4</v>
      </c>
      <c r="N172" s="67" t="n">
        <v>4</v>
      </c>
      <c r="O172" s="67" t="n">
        <v>0</v>
      </c>
      <c r="P172" s="67" t="n">
        <v>0</v>
      </c>
      <c r="Q172" s="66" t="inlineStr">
        <is>
          <t>Greenfield</t>
        </is>
      </c>
      <c r="Z172" s="66">
        <f>"SMALL|"&amp;A172</f>
        <v/>
      </c>
      <c r="AA172" s="66">
        <f>Q172&amp;"|"&amp;Z172</f>
        <v/>
      </c>
    </row>
    <row r="173" ht="15" customHeight="1" s="39">
      <c r="A173" s="67" t="inlineStr">
        <is>
          <t>PPDS</t>
        </is>
      </c>
      <c r="B173" s="67" t="n">
        <v>16</v>
      </c>
      <c r="C173" s="67" t="n">
        <v>2</v>
      </c>
      <c r="D173" s="67" t="n">
        <v>2</v>
      </c>
      <c r="E173" s="67" t="n">
        <v>3</v>
      </c>
      <c r="F173" s="67" t="n">
        <v>3</v>
      </c>
      <c r="G173" s="67" t="n">
        <v>0.5</v>
      </c>
      <c r="H173" s="67" t="n">
        <v>0.5</v>
      </c>
      <c r="I173" s="67" t="n">
        <v>3</v>
      </c>
      <c r="J173" s="67" t="n">
        <v>3</v>
      </c>
      <c r="K173" s="67" t="n">
        <v>0.5</v>
      </c>
      <c r="L173" s="67" t="n">
        <v>0.5</v>
      </c>
      <c r="M173" s="67" t="n">
        <v>2</v>
      </c>
      <c r="N173" s="67" t="n">
        <v>2</v>
      </c>
      <c r="O173" s="67" t="n">
        <v>0</v>
      </c>
      <c r="P173" s="67" t="n">
        <v>0</v>
      </c>
      <c r="Q173" s="66" t="inlineStr">
        <is>
          <t>Greenfield</t>
        </is>
      </c>
      <c r="Z173" s="66">
        <f>"SMALL|"&amp;A173</f>
        <v/>
      </c>
      <c r="AA173" s="66">
        <f>Q173&amp;"|"&amp;Z173</f>
        <v/>
      </c>
    </row>
    <row r="174" ht="15" customHeight="1" s="39">
      <c r="A174" s="67" t="inlineStr">
        <is>
          <t>ABAP</t>
        </is>
      </c>
      <c r="B174" s="67" t="n">
        <v>0</v>
      </c>
      <c r="C174" s="67" t="n">
        <v>0</v>
      </c>
      <c r="D174" s="67" t="n">
        <v>0</v>
      </c>
      <c r="E174" s="67" t="n">
        <v>0</v>
      </c>
      <c r="F174" s="67" t="n">
        <v>0</v>
      </c>
      <c r="G174" s="67" t="n">
        <v>0</v>
      </c>
      <c r="H174" s="67" t="n">
        <v>0</v>
      </c>
      <c r="I174" s="67" t="n">
        <v>0</v>
      </c>
      <c r="J174" s="67" t="n">
        <v>0</v>
      </c>
      <c r="K174" s="67" t="n">
        <v>0</v>
      </c>
      <c r="L174" s="67" t="n">
        <v>0</v>
      </c>
      <c r="M174" s="67" t="n">
        <v>0</v>
      </c>
      <c r="N174" s="67" t="n">
        <v>0</v>
      </c>
      <c r="O174" s="67" t="n">
        <v>0</v>
      </c>
      <c r="P174" s="67" t="n">
        <v>0</v>
      </c>
      <c r="Q174" s="66" t="inlineStr">
        <is>
          <t>Greenfield</t>
        </is>
      </c>
      <c r="Z174" s="66">
        <f>"SMALL|"&amp;A174</f>
        <v/>
      </c>
      <c r="AA174" s="66">
        <f>Q174&amp;"|"&amp;Z174</f>
        <v/>
      </c>
    </row>
    <row r="175" ht="15" customHeight="1" s="39">
      <c r="A175" s="67" t="inlineStr">
        <is>
          <t>BASIS</t>
        </is>
      </c>
      <c r="B175" s="67" t="n">
        <v>0</v>
      </c>
      <c r="C175" s="67" t="n">
        <v>0</v>
      </c>
      <c r="D175" s="67" t="n">
        <v>0</v>
      </c>
      <c r="E175" s="67" t="n">
        <v>0</v>
      </c>
      <c r="F175" s="67" t="n">
        <v>0</v>
      </c>
      <c r="G175" s="67" t="n">
        <v>0</v>
      </c>
      <c r="H175" s="67" t="n">
        <v>0</v>
      </c>
      <c r="I175" s="67" t="n">
        <v>0</v>
      </c>
      <c r="J175" s="67" t="n">
        <v>0</v>
      </c>
      <c r="K175" s="67" t="n">
        <v>0</v>
      </c>
      <c r="L175" s="67" t="n">
        <v>0</v>
      </c>
      <c r="M175" s="67" t="n">
        <v>0</v>
      </c>
      <c r="N175" s="67" t="n">
        <v>0</v>
      </c>
      <c r="O175" s="67" t="n">
        <v>0</v>
      </c>
      <c r="P175" s="67" t="n">
        <v>0</v>
      </c>
      <c r="Q175" s="66" t="inlineStr">
        <is>
          <t>Greenfield</t>
        </is>
      </c>
      <c r="Z175" s="66">
        <f>"SMALL|"&amp;A175</f>
        <v/>
      </c>
      <c r="AA175" s="66">
        <f>Q175&amp;"|"&amp;Z175</f>
        <v/>
      </c>
    </row>
    <row r="176" ht="15" customHeight="1" s="39">
      <c r="A176" s="67" t="inlineStr">
        <is>
          <t>E-Fatura/Arşiv</t>
        </is>
      </c>
      <c r="B176" s="67" t="n">
        <v>3</v>
      </c>
      <c r="C176" s="67" t="n">
        <v>1</v>
      </c>
      <c r="D176" s="67" t="n">
        <v>0</v>
      </c>
      <c r="E176" s="67" t="n">
        <v>1</v>
      </c>
      <c r="F176" s="67" t="n">
        <v>2</v>
      </c>
      <c r="G176" s="67" t="n">
        <v>1</v>
      </c>
      <c r="H176" s="67" t="n">
        <v>1</v>
      </c>
      <c r="I176" s="67" t="n">
        <v>3</v>
      </c>
      <c r="J176" s="67" t="n">
        <v>3</v>
      </c>
      <c r="K176" s="67" t="n">
        <v>0</v>
      </c>
      <c r="L176" s="67" t="n">
        <v>1</v>
      </c>
      <c r="M176" s="67" t="n">
        <v>1</v>
      </c>
      <c r="N176" s="67" t="n">
        <v>0</v>
      </c>
      <c r="O176" s="67" t="n">
        <v>0</v>
      </c>
      <c r="P176" s="67" t="n">
        <v>0</v>
      </c>
      <c r="Q176" s="66" t="inlineStr">
        <is>
          <t>Greenfield</t>
        </is>
      </c>
      <c r="Z176" s="66">
        <f>"SMALL|"&amp;A176</f>
        <v/>
      </c>
      <c r="AA176" s="66">
        <f>Q176&amp;"|"&amp;Z176</f>
        <v/>
      </c>
    </row>
    <row r="177" ht="15" customHeight="1" s="39">
      <c r="A177" s="67" t="inlineStr">
        <is>
          <t>E-İrsaliye</t>
        </is>
      </c>
      <c r="B177" s="67" t="n">
        <v>3</v>
      </c>
      <c r="C177" s="67" t="n">
        <v>1</v>
      </c>
      <c r="D177" s="67" t="n">
        <v>0</v>
      </c>
      <c r="E177" s="67" t="n">
        <v>1</v>
      </c>
      <c r="F177" s="67" t="n">
        <v>2</v>
      </c>
      <c r="G177" s="67" t="n">
        <v>1</v>
      </c>
      <c r="H177" s="67" t="n">
        <v>1</v>
      </c>
      <c r="I177" s="67" t="n">
        <v>3</v>
      </c>
      <c r="J177" s="67" t="n">
        <v>3</v>
      </c>
      <c r="K177" s="67" t="n">
        <v>0</v>
      </c>
      <c r="L177" s="67" t="n">
        <v>1</v>
      </c>
      <c r="M177" s="67" t="n">
        <v>1</v>
      </c>
      <c r="N177" s="67" t="n">
        <v>0</v>
      </c>
      <c r="O177" s="67" t="n">
        <v>0</v>
      </c>
      <c r="P177" s="67" t="n">
        <v>0</v>
      </c>
      <c r="Q177" s="66" t="inlineStr">
        <is>
          <t>Greenfield</t>
        </is>
      </c>
      <c r="Z177" s="66">
        <f>"SMALL|"&amp;A177</f>
        <v/>
      </c>
      <c r="AA177" s="66">
        <f>Q177&amp;"|"&amp;Z177</f>
        <v/>
      </c>
    </row>
    <row r="178" ht="15" customHeight="1" s="39">
      <c r="A178" s="67" t="inlineStr">
        <is>
          <t>E-Defter</t>
        </is>
      </c>
      <c r="B178" s="67" t="n">
        <v>2</v>
      </c>
      <c r="C178" s="67" t="n">
        <v>1</v>
      </c>
      <c r="D178" s="67" t="n">
        <v>0</v>
      </c>
      <c r="E178" s="67" t="n">
        <v>1</v>
      </c>
      <c r="F178" s="67" t="n">
        <v>2</v>
      </c>
      <c r="G178" s="67" t="n">
        <v>1</v>
      </c>
      <c r="H178" s="67" t="n">
        <v>1</v>
      </c>
      <c r="I178" s="67" t="n">
        <v>0</v>
      </c>
      <c r="J178" s="67" t="n">
        <v>0</v>
      </c>
      <c r="K178" s="67" t="n">
        <v>0</v>
      </c>
      <c r="L178" s="67" t="n">
        <v>2</v>
      </c>
      <c r="M178" s="67" t="n">
        <v>1</v>
      </c>
      <c r="N178" s="67" t="n">
        <v>0</v>
      </c>
      <c r="O178" s="67" t="n">
        <v>0</v>
      </c>
      <c r="P178" s="67" t="n">
        <v>0</v>
      </c>
      <c r="Q178" s="66" t="inlineStr">
        <is>
          <t>Greenfield</t>
        </is>
      </c>
      <c r="Z178" s="66">
        <f>"SMALL|"&amp;A178</f>
        <v/>
      </c>
      <c r="AA178" s="66">
        <f>Q178&amp;"|"&amp;Z178</f>
        <v/>
      </c>
    </row>
    <row r="179" ht="15" customHeight="1" s="39">
      <c r="A179" s="67" t="inlineStr">
        <is>
          <t>E-Hesap Özeti</t>
        </is>
      </c>
      <c r="B179" s="67" t="n">
        <v>4</v>
      </c>
      <c r="C179" s="67" t="n">
        <v>1</v>
      </c>
      <c r="D179" s="67" t="n">
        <v>0</v>
      </c>
      <c r="E179" s="67" t="n">
        <v>3</v>
      </c>
      <c r="F179" s="67" t="n">
        <v>3</v>
      </c>
      <c r="G179" s="67" t="n">
        <v>1</v>
      </c>
      <c r="H179" s="67" t="n">
        <v>0</v>
      </c>
      <c r="I179" s="67" t="n">
        <v>2</v>
      </c>
      <c r="J179" s="67" t="n">
        <v>2</v>
      </c>
      <c r="K179" s="67" t="n">
        <v>0</v>
      </c>
      <c r="L179" s="67" t="n">
        <v>1</v>
      </c>
      <c r="M179" s="67" t="n">
        <v>1</v>
      </c>
      <c r="N179" s="67" t="n">
        <v>0</v>
      </c>
      <c r="O179" s="67" t="n">
        <v>0</v>
      </c>
      <c r="P179" s="67" t="n">
        <v>0</v>
      </c>
      <c r="Q179" s="66" t="inlineStr">
        <is>
          <t>Greenfield</t>
        </is>
      </c>
      <c r="Z179" s="66">
        <f>"SMALL|"&amp;A179</f>
        <v/>
      </c>
      <c r="AA179" s="66">
        <f>Q179&amp;"|"&amp;Z179</f>
        <v/>
      </c>
    </row>
    <row r="180" ht="15" customHeight="1" s="39">
      <c r="A180" s="67" t="inlineStr">
        <is>
          <t>E-Ödeme</t>
        </is>
      </c>
      <c r="B180" s="67" t="n">
        <v>4</v>
      </c>
      <c r="C180" s="67" t="n">
        <v>1</v>
      </c>
      <c r="D180" s="67" t="n">
        <v>0</v>
      </c>
      <c r="E180" s="67" t="n">
        <v>3</v>
      </c>
      <c r="F180" s="67" t="n">
        <v>3</v>
      </c>
      <c r="G180" s="67" t="n">
        <v>1</v>
      </c>
      <c r="H180" s="67" t="n">
        <v>0</v>
      </c>
      <c r="I180" s="67" t="n">
        <v>2</v>
      </c>
      <c r="J180" s="67" t="n">
        <v>2</v>
      </c>
      <c r="K180" s="67" t="n">
        <v>0</v>
      </c>
      <c r="L180" s="67" t="n">
        <v>1</v>
      </c>
      <c r="M180" s="67" t="n">
        <v>1</v>
      </c>
      <c r="N180" s="67" t="n">
        <v>0</v>
      </c>
      <c r="O180" s="67" t="n">
        <v>0</v>
      </c>
      <c r="P180" s="67" t="n">
        <v>0</v>
      </c>
      <c r="Q180" s="66" t="inlineStr">
        <is>
          <t>Greenfield</t>
        </is>
      </c>
      <c r="Z180" s="66">
        <f>"SMALL|"&amp;A180</f>
        <v/>
      </c>
      <c r="AA180" s="66">
        <f>Q180&amp;"|"&amp;Z180</f>
        <v/>
      </c>
    </row>
    <row r="181" ht="15" customHeight="1" s="39">
      <c r="A181" s="67" t="inlineStr">
        <is>
          <t>E-Mutabakat</t>
        </is>
      </c>
      <c r="B181" s="67" t="n">
        <v>2</v>
      </c>
      <c r="C181" s="67" t="n">
        <v>1</v>
      </c>
      <c r="D181" s="67" t="n">
        <v>0</v>
      </c>
      <c r="E181" s="67" t="n">
        <v>3</v>
      </c>
      <c r="F181" s="67" t="n">
        <v>3</v>
      </c>
      <c r="G181" s="67" t="n">
        <v>1</v>
      </c>
      <c r="H181" s="67" t="n">
        <v>0</v>
      </c>
      <c r="I181" s="67" t="n">
        <v>2</v>
      </c>
      <c r="J181" s="67" t="n">
        <v>2</v>
      </c>
      <c r="K181" s="67" t="n">
        <v>0</v>
      </c>
      <c r="L181" s="67" t="n">
        <v>1</v>
      </c>
      <c r="M181" s="67" t="n">
        <v>1</v>
      </c>
      <c r="N181" s="67" t="n">
        <v>0</v>
      </c>
      <c r="O181" s="67" t="n">
        <v>0</v>
      </c>
      <c r="P181" s="67" t="n">
        <v>0</v>
      </c>
      <c r="Q181" s="66" t="inlineStr">
        <is>
          <t>Greenfield</t>
        </is>
      </c>
      <c r="Z181" s="66">
        <f>"SMALL|"&amp;A181</f>
        <v/>
      </c>
      <c r="AA181" s="66">
        <f>Q181&amp;"|"&amp;Z181</f>
        <v/>
      </c>
    </row>
    <row r="182" ht="15" customHeight="1" s="39">
      <c r="A182" s="67" t="inlineStr">
        <is>
          <t>E-Beyanname</t>
        </is>
      </c>
      <c r="B182" s="67" t="n">
        <v>4</v>
      </c>
      <c r="C182" s="67" t="n">
        <v>2</v>
      </c>
      <c r="D182" s="67" t="n">
        <v>0</v>
      </c>
      <c r="E182" s="67" t="n">
        <v>4</v>
      </c>
      <c r="F182" s="67" t="n">
        <v>3</v>
      </c>
      <c r="G182" s="67" t="n">
        <v>1</v>
      </c>
      <c r="H182" s="67" t="n">
        <v>0</v>
      </c>
      <c r="I182" s="67" t="n">
        <v>0</v>
      </c>
      <c r="J182" s="67" t="n">
        <v>0</v>
      </c>
      <c r="K182" s="67" t="n">
        <v>0</v>
      </c>
      <c r="L182" s="67" t="n">
        <v>1</v>
      </c>
      <c r="M182" s="67" t="n">
        <v>1</v>
      </c>
      <c r="N182" s="67" t="n">
        <v>0</v>
      </c>
      <c r="O182" s="67" t="n">
        <v>0</v>
      </c>
      <c r="P182" s="67" t="n">
        <v>0</v>
      </c>
      <c r="Q182" s="66" t="inlineStr">
        <is>
          <t>Greenfield</t>
        </is>
      </c>
      <c r="Z182" s="66">
        <f>"SMALL|"&amp;A182</f>
        <v/>
      </c>
      <c r="AA182" s="66">
        <f>Q182&amp;"|"&amp;Z182</f>
        <v/>
      </c>
    </row>
    <row r="183" ht="15" customHeight="1" s="39">
      <c r="A183" s="67" t="inlineStr">
        <is>
          <t>Gelen Fatura Otomasyon</t>
        </is>
      </c>
      <c r="B183" s="67" t="n">
        <v>4</v>
      </c>
      <c r="C183" s="67" t="n">
        <v>1</v>
      </c>
      <c r="D183" s="67" t="n">
        <v>0</v>
      </c>
      <c r="E183" s="67" t="n">
        <v>3</v>
      </c>
      <c r="F183" s="67" t="n">
        <v>3</v>
      </c>
      <c r="G183" s="67" t="n">
        <v>1</v>
      </c>
      <c r="H183" s="67" t="n">
        <v>0</v>
      </c>
      <c r="I183" s="67" t="n">
        <v>2</v>
      </c>
      <c r="J183" s="67" t="n">
        <v>2</v>
      </c>
      <c r="K183" s="67" t="n">
        <v>0</v>
      </c>
      <c r="L183" s="67" t="n">
        <v>1</v>
      </c>
      <c r="M183" s="67" t="n">
        <v>1</v>
      </c>
      <c r="N183" s="67" t="n">
        <v>0</v>
      </c>
      <c r="O183" s="67" t="n">
        <v>0</v>
      </c>
      <c r="P183" s="67" t="n">
        <v>0</v>
      </c>
      <c r="Q183" s="66" t="inlineStr">
        <is>
          <t>Greenfield</t>
        </is>
      </c>
      <c r="Z183" s="66">
        <f>"SMALL|"&amp;A183</f>
        <v/>
      </c>
      <c r="AA183" s="66">
        <f>Q183&amp;"|"&amp;Z183</f>
        <v/>
      </c>
    </row>
    <row r="184" ht="15" customHeight="1" s="39">
      <c r="A184" s="67" t="inlineStr">
        <is>
          <t>GLASSWING</t>
        </is>
      </c>
      <c r="B184" s="67" t="n">
        <v>20</v>
      </c>
      <c r="C184" s="67" t="n">
        <v>2</v>
      </c>
      <c r="D184" s="67" t="n">
        <v>1</v>
      </c>
      <c r="E184" s="67" t="n">
        <v>5</v>
      </c>
      <c r="F184" s="67" t="n">
        <v>4</v>
      </c>
      <c r="G184" s="67" t="n">
        <v>1</v>
      </c>
      <c r="H184" s="67" t="n">
        <v>0</v>
      </c>
      <c r="I184" s="67" t="n">
        <v>8</v>
      </c>
      <c r="J184" s="67" t="n">
        <v>10</v>
      </c>
      <c r="K184" s="67" t="n">
        <v>4</v>
      </c>
      <c r="L184" s="67" t="n">
        <v>1</v>
      </c>
      <c r="M184" s="67" t="n">
        <v>1</v>
      </c>
      <c r="N184" s="67" t="n">
        <v>3</v>
      </c>
      <c r="O184" s="67" t="n">
        <v>0</v>
      </c>
      <c r="P184" s="67" t="n">
        <v>0</v>
      </c>
      <c r="Q184" s="66" t="inlineStr">
        <is>
          <t>Greenfield</t>
        </is>
      </c>
      <c r="Z184" s="66">
        <f>"SMALL|"&amp;A184</f>
        <v/>
      </c>
      <c r="AA184" s="66">
        <f>Q184&amp;"|"&amp;Z184</f>
        <v/>
      </c>
    </row>
    <row r="185" ht="15" customHeight="1" s="39">
      <c r="A185" s="67" t="inlineStr">
        <is>
          <t>COMMODITY</t>
        </is>
      </c>
      <c r="B185" s="67" t="n">
        <v>42</v>
      </c>
      <c r="C185" s="67" t="n">
        <v>6</v>
      </c>
      <c r="D185" s="67" t="n">
        <v>2</v>
      </c>
      <c r="E185" s="67" t="n">
        <v>5</v>
      </c>
      <c r="F185" s="67" t="n">
        <v>6</v>
      </c>
      <c r="G185" s="67" t="n">
        <v>2</v>
      </c>
      <c r="H185" s="67" t="n">
        <v>1</v>
      </c>
      <c r="I185" s="67" t="n">
        <v>12</v>
      </c>
      <c r="J185" s="67" t="n">
        <v>12</v>
      </c>
      <c r="K185" s="67" t="n">
        <v>2</v>
      </c>
      <c r="L185" s="67" t="n">
        <v>2</v>
      </c>
      <c r="M185" s="67" t="n">
        <v>3</v>
      </c>
      <c r="N185" s="67" t="n">
        <v>5</v>
      </c>
      <c r="O185" s="67" t="n">
        <v>0</v>
      </c>
      <c r="P185" s="67" t="n">
        <v>0</v>
      </c>
      <c r="Q185" s="66" t="inlineStr">
        <is>
          <t>Greenfield</t>
        </is>
      </c>
      <c r="Z185" s="66">
        <f>"SMALL|"&amp;A185</f>
        <v/>
      </c>
      <c r="AA185" s="66">
        <f>Q185&amp;"|"&amp;Z185</f>
        <v/>
      </c>
    </row>
    <row r="186" ht="15" customHeight="1" s="39">
      <c r="A186" s="67" t="inlineStr">
        <is>
          <t>Dış Ticaret Çözümü</t>
        </is>
      </c>
      <c r="B186" s="67" t="n">
        <v>0</v>
      </c>
      <c r="C186" s="67" t="n">
        <v>0</v>
      </c>
      <c r="D186" s="67" t="n">
        <v>0</v>
      </c>
      <c r="E186" s="67" t="n">
        <v>0</v>
      </c>
      <c r="F186" s="67" t="n">
        <v>0</v>
      </c>
      <c r="G186" s="67" t="n">
        <v>0</v>
      </c>
      <c r="H186" s="67" t="n">
        <v>0</v>
      </c>
      <c r="I186" s="67" t="n">
        <v>0</v>
      </c>
      <c r="J186" s="67" t="n">
        <v>0</v>
      </c>
      <c r="K186" s="67" t="n">
        <v>0</v>
      </c>
      <c r="L186" s="67" t="n">
        <v>0</v>
      </c>
      <c r="M186" s="67" t="n">
        <v>0</v>
      </c>
      <c r="N186" s="67" t="n">
        <v>0</v>
      </c>
      <c r="O186" s="67" t="n">
        <v>0</v>
      </c>
      <c r="P186" s="67" t="n">
        <v>0</v>
      </c>
      <c r="Q186" s="66" t="inlineStr">
        <is>
          <t>Greenfield</t>
        </is>
      </c>
      <c r="Z186" s="66">
        <f>"SMALL|"&amp;A186</f>
        <v/>
      </c>
      <c r="AA186" s="66">
        <f>Q186&amp;"|"&amp;Z186</f>
        <v/>
      </c>
    </row>
    <row r="187" ht="15" customHeight="1" s="39">
      <c r="A187" s="67" t="inlineStr">
        <is>
          <t>Seyahat ve Masraf Yönetimi</t>
        </is>
      </c>
      <c r="B187" s="67" t="n">
        <v>0</v>
      </c>
      <c r="C187" s="67" t="n">
        <v>0</v>
      </c>
      <c r="D187" s="67" t="n">
        <v>0</v>
      </c>
      <c r="E187" s="67" t="n">
        <v>0</v>
      </c>
      <c r="F187" s="67" t="n">
        <v>0</v>
      </c>
      <c r="G187" s="67" t="n">
        <v>0</v>
      </c>
      <c r="H187" s="67" t="n">
        <v>0</v>
      </c>
      <c r="I187" s="67" t="n">
        <v>0</v>
      </c>
      <c r="J187" s="67" t="n">
        <v>0</v>
      </c>
      <c r="K187" s="67" t="n">
        <v>0</v>
      </c>
      <c r="L187" s="67" t="n">
        <v>0</v>
      </c>
      <c r="M187" s="67" t="n">
        <v>0</v>
      </c>
      <c r="N187" s="67" t="n">
        <v>0</v>
      </c>
      <c r="O187" s="67" t="n">
        <v>0</v>
      </c>
      <c r="P187" s="67" t="n">
        <v>0</v>
      </c>
      <c r="Q187" s="66" t="inlineStr">
        <is>
          <t>Greenfield</t>
        </is>
      </c>
      <c r="Z187" s="66">
        <f>"SMALL|"&amp;A187</f>
        <v/>
      </c>
      <c r="AA187" s="66">
        <f>Q187&amp;"|"&amp;Z187</f>
        <v/>
      </c>
    </row>
    <row r="188" ht="15" customHeight="1" s="39">
      <c r="A188" s="67" t="inlineStr">
        <is>
          <t>NTT Data POS</t>
        </is>
      </c>
      <c r="B188" s="67" t="n">
        <v>0</v>
      </c>
      <c r="C188" s="67" t="n">
        <v>0</v>
      </c>
      <c r="D188" s="67" t="n">
        <v>0</v>
      </c>
      <c r="E188" s="67" t="n">
        <v>0</v>
      </c>
      <c r="F188" s="67" t="n">
        <v>0</v>
      </c>
      <c r="G188" s="67" t="n">
        <v>0</v>
      </c>
      <c r="H188" s="67" t="n">
        <v>0</v>
      </c>
      <c r="I188" s="67" t="n">
        <v>0</v>
      </c>
      <c r="J188" s="67" t="n">
        <v>0</v>
      </c>
      <c r="K188" s="67" t="n">
        <v>0</v>
      </c>
      <c r="L188" s="67" t="n">
        <v>0</v>
      </c>
      <c r="M188" s="67" t="n">
        <v>0</v>
      </c>
      <c r="N188" s="67" t="n">
        <v>0</v>
      </c>
      <c r="O188" s="67" t="n">
        <v>0</v>
      </c>
      <c r="P188" s="67" t="n">
        <v>0</v>
      </c>
      <c r="Q188" s="66" t="inlineStr">
        <is>
          <t>Greenfield</t>
        </is>
      </c>
      <c r="Z188" s="66">
        <f>"SMALL|"&amp;A188</f>
        <v/>
      </c>
      <c r="AA188" s="66">
        <f>Q188&amp;"|"&amp;Z188</f>
        <v/>
      </c>
    </row>
    <row r="190" ht="15" customHeight="1" s="39">
      <c r="A190" s="68" t="inlineStr">
        <is>
          <t>MEDIUM</t>
        </is>
      </c>
      <c r="Q190" s="68" t="inlineStr">
        <is>
          <t>Greenfield</t>
        </is>
      </c>
    </row>
    <row r="191" ht="15" customHeight="1" s="39">
      <c r="A191" s="67">
        <f>INDEX(Translations!$D:$ZZ, MATCH(74,Translations!$A:$A,0), MATCH('Project Information'!$C$4,Translations!$D$1:$ZZ$1,0))</f>
        <v/>
      </c>
      <c r="B191" s="67">
        <f>INDEX(Translations!$D:$ZZ, MATCH(75,Translations!$A:$A,0), MATCH('Project Information'!$C$4,Translations!$D$1:$ZZ$1,0))</f>
        <v/>
      </c>
      <c r="C191" s="67">
        <f>INDEX(Translations!$D:$ZZ, MATCH(76,Translations!$A:$A,0), MATCH('Project Information'!$C$4,Translations!$D$1:$ZZ$1,0))</f>
        <v/>
      </c>
      <c r="D191" s="67">
        <f>INDEX(Translations!$D:$ZZ, MATCH(77,Translations!$A:$A,0), MATCH('Project Information'!$C$4,Translations!$D$1:$ZZ$1,0))</f>
        <v/>
      </c>
      <c r="E191" s="67">
        <f>INDEX(Translations!$D:$ZZ, MATCH(78,Translations!$A:$A,0), MATCH('Project Information'!$C$4,Translations!$D$1:$ZZ$1,0))</f>
        <v/>
      </c>
      <c r="F191" s="67">
        <f>INDEX(Translations!$D:$ZZ, MATCH(79,Translations!$A:$A,0), MATCH('Project Information'!$C$4,Translations!$D$1:$ZZ$1,0))</f>
        <v/>
      </c>
      <c r="G191" s="67">
        <f>INDEX(Translations!$D:$ZZ, MATCH(80,Translations!$A:$A,0), MATCH('Project Information'!$C$4,Translations!$D$1:$ZZ$1,0))</f>
        <v/>
      </c>
      <c r="H191" s="67">
        <f>INDEX(Translations!$D:$ZZ, MATCH(81,Translations!$A:$A,0), MATCH('Project Information'!$C$4,Translations!$D$1:$ZZ$1,0))</f>
        <v/>
      </c>
      <c r="I191" s="67">
        <f>INDEX(Translations!$D:$ZZ, MATCH(82,Translations!$A:$A,0), MATCH('Project Information'!$C$4,Translations!$D$1:$ZZ$1,0))</f>
        <v/>
      </c>
      <c r="J191" s="67">
        <f>INDEX(Translations!$D:$ZZ, MATCH(83,Translations!$A:$A,0), MATCH('Project Information'!$C$4,Translations!$D$1:$ZZ$1,0))</f>
        <v/>
      </c>
      <c r="K191" s="67">
        <f>INDEX(Translations!$D:$ZZ, MATCH(84,Translations!$A:$A,0), MATCH('Project Information'!$C$4,Translations!$D$1:$ZZ$1,0))</f>
        <v/>
      </c>
      <c r="L191" s="67">
        <f>INDEX(Translations!$D:$ZZ, MATCH(85,Translations!$A:$A,0), MATCH('Project Information'!$C$4,Translations!$D$1:$ZZ$1,0))</f>
        <v/>
      </c>
      <c r="M191" s="67">
        <f>INDEX(Translations!$D:$ZZ, MATCH(86,Translations!$A:$A,0), MATCH('Project Information'!$C$4,Translations!$D$1:$ZZ$1,0))</f>
        <v/>
      </c>
      <c r="N191" s="67">
        <f>INDEX(Translations!$D:$ZZ, MATCH(87,Translations!$A:$A,0), MATCH('Project Information'!$C$4,Translations!$D$1:$ZZ$1,0))</f>
        <v/>
      </c>
      <c r="O191" s="67">
        <f>INDEX(Translations!$D:$ZZ, MATCH(88,Translations!$A:$A,0), MATCH('Project Information'!$C$4,Translations!$D$1:$ZZ$1,0))</f>
        <v/>
      </c>
      <c r="P191" s="67">
        <f>INDEX(Translations!$D:$ZZ, MATCH(89,Translations!$A:$A,0), MATCH('Project Information'!$C$4,Translations!$D$1:$ZZ$1,0))</f>
        <v/>
      </c>
      <c r="Q191" s="67" t="inlineStr">
        <is>
          <t>Implementation Type</t>
        </is>
      </c>
      <c r="Z191" s="67">
        <f>INDEX(Translations!$D:$ZZ, MATCH(93,Translations!$A:$A,0), MATCH('Project Information'!$C$4,Translations!$D$1:$ZZ$1,0))</f>
        <v/>
      </c>
      <c r="AA191" s="67" t="inlineStr">
        <is>
          <t>Implementation Key</t>
        </is>
      </c>
    </row>
    <row r="192" ht="15" customHeight="1" s="39">
      <c r="A192" s="67" t="inlineStr">
        <is>
          <t>FI</t>
        </is>
      </c>
      <c r="B192" s="67" t="n">
        <v>36</v>
      </c>
      <c r="C192" s="67" t="n">
        <v>3</v>
      </c>
      <c r="D192" s="67" t="n">
        <v>2</v>
      </c>
      <c r="E192" s="67" t="n">
        <v>3</v>
      </c>
      <c r="F192" s="67" t="n">
        <v>2</v>
      </c>
      <c r="G192" s="67" t="n">
        <v>1</v>
      </c>
      <c r="H192" s="67" t="n">
        <v>2</v>
      </c>
      <c r="I192" s="67" t="n">
        <v>18</v>
      </c>
      <c r="J192" s="67" t="n">
        <v>18</v>
      </c>
      <c r="K192" s="67" t="n">
        <v>1</v>
      </c>
      <c r="L192" s="67" t="n">
        <v>1</v>
      </c>
      <c r="M192" s="67" t="n">
        <v>8</v>
      </c>
      <c r="N192" s="67" t="n">
        <v>8</v>
      </c>
      <c r="O192" s="67" t="n">
        <v>0</v>
      </c>
      <c r="P192" s="67" t="n">
        <v>0</v>
      </c>
      <c r="Q192" s="66" t="inlineStr">
        <is>
          <t>Greenfield</t>
        </is>
      </c>
      <c r="Z192" s="66">
        <f>"MEDIUM|"&amp;A192</f>
        <v/>
      </c>
      <c r="AA192" s="66">
        <f>Q192&amp;"|"&amp;Z192</f>
        <v/>
      </c>
    </row>
    <row r="193" ht="15" customHeight="1" s="39">
      <c r="A193" s="67" t="inlineStr">
        <is>
          <t>CO</t>
        </is>
      </c>
      <c r="B193" s="67" t="n">
        <v>32</v>
      </c>
      <c r="C193" s="67" t="n">
        <v>3</v>
      </c>
      <c r="D193" s="67" t="n">
        <v>2</v>
      </c>
      <c r="E193" s="67" t="n">
        <v>3</v>
      </c>
      <c r="F193" s="67" t="n">
        <v>2</v>
      </c>
      <c r="G193" s="67" t="n">
        <v>1</v>
      </c>
      <c r="H193" s="67" t="n">
        <v>1</v>
      </c>
      <c r="I193" s="67" t="n">
        <v>18</v>
      </c>
      <c r="J193" s="67" t="n">
        <v>18</v>
      </c>
      <c r="K193" s="67" t="n">
        <v>1</v>
      </c>
      <c r="L193" s="67" t="n">
        <v>1</v>
      </c>
      <c r="M193" s="67" t="n">
        <v>5</v>
      </c>
      <c r="N193" s="67" t="n">
        <v>5</v>
      </c>
      <c r="O193" s="67" t="n">
        <v>0</v>
      </c>
      <c r="P193" s="67" t="n">
        <v>0</v>
      </c>
      <c r="Q193" s="66" t="inlineStr">
        <is>
          <t>Greenfield</t>
        </is>
      </c>
      <c r="Z193" s="66">
        <f>"MEDIUM|"&amp;A193</f>
        <v/>
      </c>
      <c r="AA193" s="66">
        <f>Q193&amp;"|"&amp;Z193</f>
        <v/>
      </c>
    </row>
    <row r="194" ht="15" customHeight="1" s="39">
      <c r="A194" s="67" t="inlineStr">
        <is>
          <t>TRM</t>
        </is>
      </c>
      <c r="B194" s="67" t="n">
        <v>12</v>
      </c>
      <c r="C194" s="67" t="n">
        <v>2</v>
      </c>
      <c r="D194" s="67" t="n">
        <v>1</v>
      </c>
      <c r="E194" s="67" t="n">
        <v>2</v>
      </c>
      <c r="F194" s="67" t="n">
        <v>1</v>
      </c>
      <c r="G194" s="67" t="n">
        <v>0.5</v>
      </c>
      <c r="H194" s="67" t="n">
        <v>0.5</v>
      </c>
      <c r="I194" s="67" t="n">
        <v>6</v>
      </c>
      <c r="J194" s="67" t="n">
        <v>6</v>
      </c>
      <c r="K194" s="67" t="n">
        <v>0.5</v>
      </c>
      <c r="L194" s="67" t="n">
        <v>0.5</v>
      </c>
      <c r="M194" s="67" t="n">
        <v>5</v>
      </c>
      <c r="N194" s="67" t="n">
        <v>5</v>
      </c>
      <c r="O194" s="67" t="n">
        <v>0</v>
      </c>
      <c r="P194" s="67" t="n">
        <v>0</v>
      </c>
      <c r="Q194" s="66" t="inlineStr">
        <is>
          <t>Greenfield</t>
        </is>
      </c>
      <c r="Z194" s="66">
        <f>"MEDIUM|"&amp;A194</f>
        <v/>
      </c>
      <c r="AA194" s="66">
        <f>Q194&amp;"|"&amp;Z194</f>
        <v/>
      </c>
    </row>
    <row r="195" ht="15" customHeight="1" s="39">
      <c r="A195" s="67" t="inlineStr">
        <is>
          <t>CM</t>
        </is>
      </c>
      <c r="B195" s="67" t="n">
        <v>8</v>
      </c>
      <c r="C195" s="67" t="n">
        <v>1</v>
      </c>
      <c r="D195" s="67" t="n">
        <v>1</v>
      </c>
      <c r="E195" s="67" t="n">
        <v>1</v>
      </c>
      <c r="F195" s="67" t="n">
        <v>1</v>
      </c>
      <c r="G195" s="67" t="n">
        <v>0.5</v>
      </c>
      <c r="H195" s="67" t="n">
        <v>0.5</v>
      </c>
      <c r="I195" s="67" t="n">
        <v>2</v>
      </c>
      <c r="J195" s="67" t="n">
        <v>2</v>
      </c>
      <c r="K195" s="67" t="n">
        <v>0.5</v>
      </c>
      <c r="L195" s="67" t="n">
        <v>0.5</v>
      </c>
      <c r="M195" s="67" t="n">
        <v>2</v>
      </c>
      <c r="N195" s="67" t="n">
        <v>2</v>
      </c>
      <c r="O195" s="67" t="n">
        <v>0</v>
      </c>
      <c r="P195" s="67" t="n">
        <v>0</v>
      </c>
      <c r="Q195" s="66" t="inlineStr">
        <is>
          <t>Greenfield</t>
        </is>
      </c>
      <c r="Z195" s="66">
        <f>"MEDIUM|"&amp;A195</f>
        <v/>
      </c>
      <c r="AA195" s="66">
        <f>Q195&amp;"|"&amp;Z195</f>
        <v/>
      </c>
    </row>
    <row r="196" ht="15" customHeight="1" s="39">
      <c r="A196" s="67" t="inlineStr">
        <is>
          <t>FM</t>
        </is>
      </c>
      <c r="B196" s="67" t="n">
        <v>8</v>
      </c>
      <c r="C196" s="67" t="n">
        <v>1</v>
      </c>
      <c r="D196" s="67" t="n">
        <v>1</v>
      </c>
      <c r="E196" s="67" t="n">
        <v>1</v>
      </c>
      <c r="F196" s="67" t="n">
        <v>1</v>
      </c>
      <c r="G196" s="67" t="n">
        <v>0.5</v>
      </c>
      <c r="H196" s="67" t="n">
        <v>0.5</v>
      </c>
      <c r="I196" s="67" t="n">
        <v>2</v>
      </c>
      <c r="J196" s="67" t="n">
        <v>2</v>
      </c>
      <c r="K196" s="67" t="n">
        <v>0.5</v>
      </c>
      <c r="L196" s="67" t="n">
        <v>0.5</v>
      </c>
      <c r="M196" s="67" t="n">
        <v>2</v>
      </c>
      <c r="N196" s="67" t="n">
        <v>2</v>
      </c>
      <c r="O196" s="67" t="n">
        <v>0</v>
      </c>
      <c r="P196" s="67" t="n">
        <v>0</v>
      </c>
      <c r="Q196" s="66" t="inlineStr">
        <is>
          <t>Greenfield</t>
        </is>
      </c>
      <c r="Z196" s="66">
        <f>"MEDIUM|"&amp;A196</f>
        <v/>
      </c>
      <c r="AA196" s="66">
        <f>Q196&amp;"|"&amp;Z196</f>
        <v/>
      </c>
    </row>
    <row r="197" ht="15" customHeight="1" s="39">
      <c r="A197" s="67" t="inlineStr">
        <is>
          <t>RM</t>
        </is>
      </c>
      <c r="B197" s="67" t="n">
        <v>0</v>
      </c>
      <c r="C197" s="67" t="n">
        <v>0</v>
      </c>
      <c r="D197" s="67" t="n">
        <v>0</v>
      </c>
      <c r="E197" s="67" t="n">
        <v>0</v>
      </c>
      <c r="F197" s="67" t="n">
        <v>0</v>
      </c>
      <c r="G197" s="67" t="n">
        <v>0</v>
      </c>
      <c r="H197" s="67" t="n">
        <v>0</v>
      </c>
      <c r="I197" s="67" t="n">
        <v>0</v>
      </c>
      <c r="J197" s="67" t="n">
        <v>0</v>
      </c>
      <c r="K197" s="67" t="n">
        <v>0</v>
      </c>
      <c r="L197" s="67" t="n">
        <v>0</v>
      </c>
      <c r="M197" s="67" t="n">
        <v>0</v>
      </c>
      <c r="N197" s="67" t="n">
        <v>0</v>
      </c>
      <c r="O197" s="67" t="n">
        <v>0</v>
      </c>
      <c r="P197" s="67" t="n">
        <v>0</v>
      </c>
      <c r="Q197" s="66" t="inlineStr">
        <is>
          <t>Greenfield</t>
        </is>
      </c>
      <c r="Z197" s="66">
        <f>"MEDIUM|"&amp;A197</f>
        <v/>
      </c>
      <c r="AA197" s="66">
        <f>Q197&amp;"|"&amp;Z197</f>
        <v/>
      </c>
    </row>
    <row r="198" ht="15" customHeight="1" s="39">
      <c r="A198" s="67" t="inlineStr">
        <is>
          <t>RE/FX</t>
        </is>
      </c>
      <c r="B198" s="67" t="n">
        <v>0</v>
      </c>
      <c r="C198" s="67" t="n">
        <v>0</v>
      </c>
      <c r="D198" s="67" t="n">
        <v>0</v>
      </c>
      <c r="E198" s="67" t="n">
        <v>0</v>
      </c>
      <c r="F198" s="67" t="n">
        <v>0</v>
      </c>
      <c r="G198" s="67" t="n">
        <v>0</v>
      </c>
      <c r="H198" s="67" t="n">
        <v>0</v>
      </c>
      <c r="I198" s="67" t="n">
        <v>0</v>
      </c>
      <c r="J198" s="67" t="n">
        <v>0</v>
      </c>
      <c r="K198" s="67" t="n">
        <v>0</v>
      </c>
      <c r="L198" s="67" t="n">
        <v>0</v>
      </c>
      <c r="M198" s="67" t="n">
        <v>0</v>
      </c>
      <c r="N198" s="67" t="n">
        <v>0</v>
      </c>
      <c r="O198" s="67" t="n">
        <v>0</v>
      </c>
      <c r="P198" s="67" t="n">
        <v>0</v>
      </c>
      <c r="Q198" s="66" t="inlineStr">
        <is>
          <t>Greenfield</t>
        </is>
      </c>
      <c r="Z198" s="66">
        <f>"MEDIUM|"&amp;A198</f>
        <v/>
      </c>
      <c r="AA198" s="66">
        <f>Q198&amp;"|"&amp;Z198</f>
        <v/>
      </c>
    </row>
    <row r="199" ht="15" customHeight="1" s="39">
      <c r="A199" s="67" t="inlineStr">
        <is>
          <t>MM</t>
        </is>
      </c>
      <c r="B199" s="67" t="n">
        <v>42</v>
      </c>
      <c r="C199" s="67" t="n">
        <v>3</v>
      </c>
      <c r="D199" s="67" t="n">
        <v>2</v>
      </c>
      <c r="E199" s="67" t="n">
        <v>3</v>
      </c>
      <c r="F199" s="67" t="n">
        <v>2</v>
      </c>
      <c r="G199" s="67" t="n">
        <v>1</v>
      </c>
      <c r="H199" s="67" t="n">
        <v>3</v>
      </c>
      <c r="I199" s="67" t="n">
        <v>18</v>
      </c>
      <c r="J199" s="67" t="n">
        <v>18</v>
      </c>
      <c r="K199" s="67" t="n">
        <v>1</v>
      </c>
      <c r="L199" s="67" t="n">
        <v>1</v>
      </c>
      <c r="M199" s="67" t="n">
        <v>10</v>
      </c>
      <c r="N199" s="67" t="n">
        <v>10</v>
      </c>
      <c r="O199" s="67" t="n">
        <v>0</v>
      </c>
      <c r="P199" s="67" t="n">
        <v>0</v>
      </c>
      <c r="Q199" s="66" t="inlineStr">
        <is>
          <t>Greenfield</t>
        </is>
      </c>
      <c r="Z199" s="66">
        <f>"MEDIUM|"&amp;A199</f>
        <v/>
      </c>
      <c r="AA199" s="66">
        <f>Q199&amp;"|"&amp;Z199</f>
        <v/>
      </c>
    </row>
    <row r="200" ht="15" customHeight="1" s="39">
      <c r="A200" s="67" t="inlineStr">
        <is>
          <t>PP</t>
        </is>
      </c>
      <c r="B200" s="67" t="n">
        <v>42</v>
      </c>
      <c r="C200" s="67" t="n">
        <v>3</v>
      </c>
      <c r="D200" s="67" t="n">
        <v>2</v>
      </c>
      <c r="E200" s="67" t="n">
        <v>3</v>
      </c>
      <c r="F200" s="67" t="n">
        <v>2</v>
      </c>
      <c r="G200" s="67" t="n">
        <v>1</v>
      </c>
      <c r="H200" s="67" t="n">
        <v>3</v>
      </c>
      <c r="I200" s="67" t="n">
        <v>18</v>
      </c>
      <c r="J200" s="67" t="n">
        <v>18</v>
      </c>
      <c r="K200" s="67" t="n">
        <v>1</v>
      </c>
      <c r="L200" s="67" t="n">
        <v>1</v>
      </c>
      <c r="M200" s="67" t="n">
        <v>10</v>
      </c>
      <c r="N200" s="67" t="n">
        <v>10</v>
      </c>
      <c r="O200" s="67" t="n">
        <v>0</v>
      </c>
      <c r="P200" s="67" t="n">
        <v>0</v>
      </c>
      <c r="Q200" s="66" t="inlineStr">
        <is>
          <t>Greenfield</t>
        </is>
      </c>
      <c r="Z200" s="66">
        <f>"MEDIUM|"&amp;A200</f>
        <v/>
      </c>
      <c r="AA200" s="66">
        <f>Q200&amp;"|"&amp;Z200</f>
        <v/>
      </c>
    </row>
    <row r="201" ht="15" customHeight="1" s="39">
      <c r="A201" s="67" t="inlineStr">
        <is>
          <t>SD</t>
        </is>
      </c>
      <c r="B201" s="67" t="n">
        <v>42</v>
      </c>
      <c r="C201" s="67" t="n">
        <v>3</v>
      </c>
      <c r="D201" s="67" t="n">
        <v>2</v>
      </c>
      <c r="E201" s="67" t="n">
        <v>3</v>
      </c>
      <c r="F201" s="67" t="n">
        <v>2</v>
      </c>
      <c r="G201" s="67" t="n">
        <v>1</v>
      </c>
      <c r="H201" s="67" t="n">
        <v>2</v>
      </c>
      <c r="I201" s="67" t="n">
        <v>18</v>
      </c>
      <c r="J201" s="67" t="n">
        <v>18</v>
      </c>
      <c r="K201" s="67" t="n">
        <v>1</v>
      </c>
      <c r="L201" s="67" t="n">
        <v>1</v>
      </c>
      <c r="M201" s="67" t="n">
        <v>8</v>
      </c>
      <c r="N201" s="67" t="n">
        <v>8</v>
      </c>
      <c r="O201" s="67" t="n">
        <v>0</v>
      </c>
      <c r="P201" s="67" t="n">
        <v>0</v>
      </c>
      <c r="Q201" s="66" t="inlineStr">
        <is>
          <t>Greenfield</t>
        </is>
      </c>
      <c r="Z201" s="66">
        <f>"MEDIUM|"&amp;A201</f>
        <v/>
      </c>
      <c r="AA201" s="66">
        <f>Q201&amp;"|"&amp;Z201</f>
        <v/>
      </c>
    </row>
    <row r="202" ht="15" customHeight="1" s="39">
      <c r="A202" s="67" t="inlineStr">
        <is>
          <t>QM</t>
        </is>
      </c>
      <c r="B202" s="67" t="n">
        <v>32</v>
      </c>
      <c r="C202" s="67" t="n">
        <v>2</v>
      </c>
      <c r="D202" s="67" t="n">
        <v>1</v>
      </c>
      <c r="E202" s="67" t="n">
        <v>2</v>
      </c>
      <c r="F202" s="67" t="n">
        <v>2</v>
      </c>
      <c r="G202" s="67" t="n">
        <v>0.5</v>
      </c>
      <c r="H202" s="67" t="n">
        <v>3</v>
      </c>
      <c r="I202" s="67" t="n">
        <v>18</v>
      </c>
      <c r="J202" s="67" t="n">
        <v>18</v>
      </c>
      <c r="K202" s="67" t="n">
        <v>1</v>
      </c>
      <c r="L202" s="67" t="n">
        <v>0.5</v>
      </c>
      <c r="M202" s="67" t="n">
        <v>8</v>
      </c>
      <c r="N202" s="67" t="n">
        <v>8</v>
      </c>
      <c r="O202" s="67" t="n">
        <v>0</v>
      </c>
      <c r="P202" s="67" t="n">
        <v>0</v>
      </c>
      <c r="Q202" s="66" t="inlineStr">
        <is>
          <t>Greenfield</t>
        </is>
      </c>
      <c r="Z202" s="66">
        <f>"MEDIUM|"&amp;A202</f>
        <v/>
      </c>
      <c r="AA202" s="66">
        <f>Q202&amp;"|"&amp;Z202</f>
        <v/>
      </c>
    </row>
    <row r="203" ht="15" customHeight="1" s="39">
      <c r="A203" s="67" t="inlineStr">
        <is>
          <t>PM</t>
        </is>
      </c>
      <c r="B203" s="67" t="n">
        <v>24</v>
      </c>
      <c r="C203" s="67" t="n">
        <v>2</v>
      </c>
      <c r="D203" s="67" t="n">
        <v>1</v>
      </c>
      <c r="E203" s="67" t="n">
        <v>2</v>
      </c>
      <c r="F203" s="67" t="n">
        <v>2</v>
      </c>
      <c r="G203" s="67" t="n">
        <v>0.5</v>
      </c>
      <c r="H203" s="67" t="n">
        <v>2</v>
      </c>
      <c r="I203" s="67" t="n">
        <v>8</v>
      </c>
      <c r="J203" s="67" t="n">
        <v>8</v>
      </c>
      <c r="K203" s="67" t="n">
        <v>1</v>
      </c>
      <c r="L203" s="67" t="n">
        <v>0.5</v>
      </c>
      <c r="M203" s="67" t="n">
        <v>4</v>
      </c>
      <c r="N203" s="67" t="n">
        <v>4</v>
      </c>
      <c r="O203" s="67" t="n">
        <v>0</v>
      </c>
      <c r="P203" s="67" t="n">
        <v>0</v>
      </c>
      <c r="Q203" s="66" t="inlineStr">
        <is>
          <t>Greenfield</t>
        </is>
      </c>
      <c r="Z203" s="66">
        <f>"MEDIUM|"&amp;A203</f>
        <v/>
      </c>
      <c r="AA203" s="66">
        <f>Q203&amp;"|"&amp;Z203</f>
        <v/>
      </c>
    </row>
    <row r="204" ht="15" customHeight="1" s="39">
      <c r="A204" s="67" t="inlineStr">
        <is>
          <t>PS</t>
        </is>
      </c>
      <c r="B204" s="67" t="n">
        <v>24</v>
      </c>
      <c r="C204" s="67" t="n">
        <v>2</v>
      </c>
      <c r="D204" s="67" t="n">
        <v>1</v>
      </c>
      <c r="E204" s="67" t="n">
        <v>2</v>
      </c>
      <c r="F204" s="67" t="n">
        <v>2</v>
      </c>
      <c r="G204" s="67" t="n">
        <v>0.5</v>
      </c>
      <c r="H204" s="67" t="n">
        <v>2</v>
      </c>
      <c r="I204" s="67" t="n">
        <v>6</v>
      </c>
      <c r="J204" s="67" t="n">
        <v>6</v>
      </c>
      <c r="K204" s="67" t="n">
        <v>1</v>
      </c>
      <c r="L204" s="67" t="n">
        <v>0.5</v>
      </c>
      <c r="M204" s="67" t="n">
        <v>4</v>
      </c>
      <c r="N204" s="67" t="n">
        <v>4</v>
      </c>
      <c r="O204" s="67" t="n">
        <v>0</v>
      </c>
      <c r="P204" s="67" t="n">
        <v>0</v>
      </c>
      <c r="Q204" s="66" t="inlineStr">
        <is>
          <t>Greenfield</t>
        </is>
      </c>
      <c r="Z204" s="66">
        <f>"MEDIUM|"&amp;A204</f>
        <v/>
      </c>
      <c r="AA204" s="66">
        <f>Q204&amp;"|"&amp;Z204</f>
        <v/>
      </c>
    </row>
    <row r="205" ht="15" customHeight="1" s="39">
      <c r="A205" s="67" t="inlineStr">
        <is>
          <t>MII/DM</t>
        </is>
      </c>
      <c r="B205" s="67" t="n">
        <v>0</v>
      </c>
      <c r="C205" s="67" t="n">
        <v>0</v>
      </c>
      <c r="D205" s="67" t="n">
        <v>0</v>
      </c>
      <c r="E205" s="67" t="n">
        <v>0</v>
      </c>
      <c r="F205" s="67" t="n">
        <v>0</v>
      </c>
      <c r="G205" s="67" t="n">
        <v>0</v>
      </c>
      <c r="H205" s="67" t="n">
        <v>0</v>
      </c>
      <c r="I205" s="67" t="n">
        <v>0</v>
      </c>
      <c r="J205" s="67" t="n">
        <v>0</v>
      </c>
      <c r="K205" s="67" t="n">
        <v>0</v>
      </c>
      <c r="L205" s="67" t="n">
        <v>0</v>
      </c>
      <c r="M205" s="67" t="n">
        <v>0</v>
      </c>
      <c r="N205" s="67" t="n">
        <v>0</v>
      </c>
      <c r="O205" s="67" t="n">
        <v>0</v>
      </c>
      <c r="P205" s="67" t="n">
        <v>0</v>
      </c>
      <c r="Q205" s="66" t="inlineStr">
        <is>
          <t>Greenfield</t>
        </is>
      </c>
      <c r="Z205" s="66">
        <f>"MEDIUM|"&amp;A205</f>
        <v/>
      </c>
      <c r="AA205" s="66">
        <f>Q205&amp;"|"&amp;Z205</f>
        <v/>
      </c>
    </row>
    <row r="206" ht="15" customHeight="1" s="39">
      <c r="A206" s="67" t="inlineStr">
        <is>
          <t>PM Mobility</t>
        </is>
      </c>
      <c r="B206" s="67" t="n">
        <v>0</v>
      </c>
      <c r="C206" s="67" t="n">
        <v>0</v>
      </c>
      <c r="D206" s="67" t="n">
        <v>0</v>
      </c>
      <c r="E206" s="67" t="n">
        <v>0</v>
      </c>
      <c r="F206" s="67" t="n">
        <v>0</v>
      </c>
      <c r="G206" s="67" t="n">
        <v>0</v>
      </c>
      <c r="H206" s="67" t="n">
        <v>0</v>
      </c>
      <c r="I206" s="67" t="n">
        <v>0</v>
      </c>
      <c r="J206" s="67" t="n">
        <v>0</v>
      </c>
      <c r="K206" s="67" t="n">
        <v>0</v>
      </c>
      <c r="L206" s="67" t="n">
        <v>0</v>
      </c>
      <c r="M206" s="67" t="n">
        <v>0</v>
      </c>
      <c r="N206" s="67" t="n">
        <v>0</v>
      </c>
      <c r="O206" s="67" t="n">
        <v>0</v>
      </c>
      <c r="P206" s="67" t="n">
        <v>0</v>
      </c>
      <c r="Q206" s="66" t="inlineStr">
        <is>
          <t>Greenfield</t>
        </is>
      </c>
      <c r="Z206" s="66">
        <f>"MEDIUM|"&amp;A206</f>
        <v/>
      </c>
      <c r="AA206" s="66">
        <f>Q206&amp;"|"&amp;Z206</f>
        <v/>
      </c>
    </row>
    <row r="207" ht="15" customHeight="1" s="39">
      <c r="A207" s="67" t="inlineStr">
        <is>
          <t>Basic EWM</t>
        </is>
      </c>
      <c r="B207" s="67" t="n">
        <v>40</v>
      </c>
      <c r="C207" s="67" t="n">
        <v>3</v>
      </c>
      <c r="D207" s="67" t="n">
        <v>2</v>
      </c>
      <c r="E207" s="67" t="n">
        <v>3</v>
      </c>
      <c r="F207" s="67" t="n">
        <v>2</v>
      </c>
      <c r="G207" s="67" t="n">
        <v>1</v>
      </c>
      <c r="H207" s="67" t="n">
        <v>2</v>
      </c>
      <c r="I207" s="67" t="n">
        <v>18</v>
      </c>
      <c r="J207" s="67" t="n">
        <v>18</v>
      </c>
      <c r="K207" s="67" t="n">
        <v>1</v>
      </c>
      <c r="L207" s="67" t="n">
        <v>1</v>
      </c>
      <c r="M207" s="67" t="n">
        <v>8</v>
      </c>
      <c r="N207" s="67" t="n">
        <v>8</v>
      </c>
      <c r="O207" s="67" t="n">
        <v>0</v>
      </c>
      <c r="P207" s="67" t="n">
        <v>0</v>
      </c>
      <c r="Q207" s="66" t="inlineStr">
        <is>
          <t>Greenfield</t>
        </is>
      </c>
      <c r="Z207" s="66">
        <f>"MEDIUM|"&amp;A207</f>
        <v/>
      </c>
      <c r="AA207" s="66">
        <f>Q207&amp;"|"&amp;Z207</f>
        <v/>
      </c>
    </row>
    <row r="208" ht="15" customHeight="1" s="39">
      <c r="A208" s="67" t="inlineStr">
        <is>
          <t>Advanced EWM</t>
        </is>
      </c>
      <c r="B208" s="67" t="n">
        <v>0</v>
      </c>
      <c r="C208" s="67" t="n">
        <v>0</v>
      </c>
      <c r="D208" s="67" t="n">
        <v>0</v>
      </c>
      <c r="E208" s="67" t="n">
        <v>0</v>
      </c>
      <c r="F208" s="67" t="n">
        <v>0</v>
      </c>
      <c r="G208" s="67" t="n">
        <v>0</v>
      </c>
      <c r="H208" s="67" t="n">
        <v>0</v>
      </c>
      <c r="I208" s="67" t="n">
        <v>0</v>
      </c>
      <c r="J208" s="67" t="n">
        <v>0</v>
      </c>
      <c r="K208" s="67" t="n">
        <v>0</v>
      </c>
      <c r="L208" s="67" t="n">
        <v>0</v>
      </c>
      <c r="M208" s="67" t="n">
        <v>0</v>
      </c>
      <c r="N208" s="67" t="n">
        <v>0</v>
      </c>
      <c r="O208" s="67" t="n">
        <v>0</v>
      </c>
      <c r="P208" s="67" t="n">
        <v>0</v>
      </c>
      <c r="Q208" s="66" t="inlineStr">
        <is>
          <t>Greenfield</t>
        </is>
      </c>
      <c r="Z208" s="66">
        <f>"MEDIUM|"&amp;A208</f>
        <v/>
      </c>
      <c r="AA208" s="66">
        <f>Q208&amp;"|"&amp;Z208</f>
        <v/>
      </c>
    </row>
    <row r="209" ht="15" customHeight="1" s="39">
      <c r="A209" s="67" t="inlineStr">
        <is>
          <t>TM</t>
        </is>
      </c>
      <c r="B209" s="67" t="n">
        <v>24</v>
      </c>
      <c r="C209" s="67" t="n">
        <v>3</v>
      </c>
      <c r="D209" s="67" t="n">
        <v>2</v>
      </c>
      <c r="E209" s="67" t="n">
        <v>2</v>
      </c>
      <c r="F209" s="67" t="n">
        <v>2</v>
      </c>
      <c r="G209" s="67" t="n">
        <v>1</v>
      </c>
      <c r="H209" s="67" t="n">
        <v>2</v>
      </c>
      <c r="I209" s="67" t="n">
        <v>15</v>
      </c>
      <c r="J209" s="67" t="n">
        <v>15</v>
      </c>
      <c r="K209" s="67" t="n">
        <v>1</v>
      </c>
      <c r="L209" s="67" t="n">
        <v>1</v>
      </c>
      <c r="M209" s="67" t="n">
        <v>4</v>
      </c>
      <c r="N209" s="67" t="n">
        <v>6</v>
      </c>
      <c r="O209" s="67" t="n">
        <v>0</v>
      </c>
      <c r="P209" s="67" t="n">
        <v>0</v>
      </c>
      <c r="Q209" s="66" t="inlineStr">
        <is>
          <t>Greenfield</t>
        </is>
      </c>
      <c r="Z209" s="66">
        <f>"MEDIUM|"&amp;A209</f>
        <v/>
      </c>
      <c r="AA209" s="66">
        <f>Q209&amp;"|"&amp;Z209</f>
        <v/>
      </c>
    </row>
    <row r="210" ht="15" customHeight="1" s="39">
      <c r="A210" s="67" t="inlineStr">
        <is>
          <t>PPDS</t>
        </is>
      </c>
      <c r="B210" s="67" t="n">
        <v>25</v>
      </c>
      <c r="C210" s="67" t="n">
        <v>2</v>
      </c>
      <c r="D210" s="67" t="n">
        <v>2</v>
      </c>
      <c r="E210" s="67" t="n">
        <v>3</v>
      </c>
      <c r="F210" s="67" t="n">
        <v>3</v>
      </c>
      <c r="G210" s="67" t="n">
        <v>0.5</v>
      </c>
      <c r="H210" s="67" t="n">
        <v>0.5</v>
      </c>
      <c r="I210" s="67" t="n">
        <v>7</v>
      </c>
      <c r="J210" s="67" t="n">
        <v>7</v>
      </c>
      <c r="K210" s="67" t="n">
        <v>0.5</v>
      </c>
      <c r="L210" s="67" t="n">
        <v>0.5</v>
      </c>
      <c r="M210" s="67" t="n">
        <v>2</v>
      </c>
      <c r="N210" s="67" t="n">
        <v>2</v>
      </c>
      <c r="O210" s="67" t="n">
        <v>0</v>
      </c>
      <c r="P210" s="67" t="n">
        <v>0</v>
      </c>
      <c r="Q210" s="66" t="inlineStr">
        <is>
          <t>Greenfield</t>
        </is>
      </c>
      <c r="Z210" s="66">
        <f>"MEDIUM|"&amp;A210</f>
        <v/>
      </c>
      <c r="AA210" s="66">
        <f>Q210&amp;"|"&amp;Z210</f>
        <v/>
      </c>
    </row>
    <row r="211" ht="15" customHeight="1" s="39">
      <c r="A211" s="67" t="inlineStr">
        <is>
          <t>ABAP</t>
        </is>
      </c>
      <c r="B211" s="67" t="n">
        <v>0</v>
      </c>
      <c r="C211" s="67" t="n">
        <v>0</v>
      </c>
      <c r="D211" s="67" t="n">
        <v>0</v>
      </c>
      <c r="E211" s="67" t="n">
        <v>0</v>
      </c>
      <c r="F211" s="67" t="n">
        <v>0</v>
      </c>
      <c r="G211" s="67" t="n">
        <v>0</v>
      </c>
      <c r="H211" s="67" t="n">
        <v>0</v>
      </c>
      <c r="I211" s="67" t="n">
        <v>0</v>
      </c>
      <c r="J211" s="67" t="n">
        <v>0</v>
      </c>
      <c r="K211" s="67" t="n">
        <v>0</v>
      </c>
      <c r="L211" s="67" t="n">
        <v>0</v>
      </c>
      <c r="M211" s="67" t="n">
        <v>0</v>
      </c>
      <c r="N211" s="67" t="n">
        <v>0</v>
      </c>
      <c r="O211" s="67" t="n">
        <v>0</v>
      </c>
      <c r="P211" s="67" t="n">
        <v>0</v>
      </c>
      <c r="Q211" s="66" t="inlineStr">
        <is>
          <t>Greenfield</t>
        </is>
      </c>
      <c r="Z211" s="66">
        <f>"MEDIUM|"&amp;A211</f>
        <v/>
      </c>
      <c r="AA211" s="66">
        <f>Q211&amp;"|"&amp;Z211</f>
        <v/>
      </c>
    </row>
    <row r="212" ht="15" customHeight="1" s="39">
      <c r="A212" s="67" t="inlineStr">
        <is>
          <t>BASIS</t>
        </is>
      </c>
      <c r="B212" s="67" t="n">
        <v>0</v>
      </c>
      <c r="C212" s="67" t="n">
        <v>0</v>
      </c>
      <c r="D212" s="67" t="n">
        <v>0</v>
      </c>
      <c r="E212" s="67" t="n">
        <v>0</v>
      </c>
      <c r="F212" s="67" t="n">
        <v>0</v>
      </c>
      <c r="G212" s="67" t="n">
        <v>0</v>
      </c>
      <c r="H212" s="67" t="n">
        <v>0</v>
      </c>
      <c r="I212" s="67" t="n">
        <v>0</v>
      </c>
      <c r="J212" s="67" t="n">
        <v>0</v>
      </c>
      <c r="K212" s="67" t="n">
        <v>0</v>
      </c>
      <c r="L212" s="67" t="n">
        <v>0</v>
      </c>
      <c r="M212" s="67" t="n">
        <v>0</v>
      </c>
      <c r="N212" s="67" t="n">
        <v>0</v>
      </c>
      <c r="O212" s="67" t="n">
        <v>0</v>
      </c>
      <c r="P212" s="67" t="n">
        <v>0</v>
      </c>
      <c r="Q212" s="66" t="inlineStr">
        <is>
          <t>Greenfield</t>
        </is>
      </c>
      <c r="Z212" s="66">
        <f>"MEDIUM|"&amp;A212</f>
        <v/>
      </c>
      <c r="AA212" s="66">
        <f>Q212&amp;"|"&amp;Z212</f>
        <v/>
      </c>
    </row>
    <row r="213" ht="15" customHeight="1" s="39">
      <c r="A213" s="67" t="inlineStr">
        <is>
          <t>E-Fatura/Arşiv</t>
        </is>
      </c>
      <c r="B213" s="67" t="n">
        <v>4</v>
      </c>
      <c r="C213" s="67" t="n">
        <v>1</v>
      </c>
      <c r="D213" s="67" t="n">
        <v>0</v>
      </c>
      <c r="E213" s="67" t="n">
        <v>2</v>
      </c>
      <c r="F213" s="67" t="n">
        <v>2</v>
      </c>
      <c r="G213" s="67" t="n">
        <v>1</v>
      </c>
      <c r="H213" s="67" t="n">
        <v>1</v>
      </c>
      <c r="I213" s="67" t="n">
        <v>3</v>
      </c>
      <c r="J213" s="67" t="n">
        <v>3</v>
      </c>
      <c r="K213" s="67" t="n">
        <v>0</v>
      </c>
      <c r="L213" s="67" t="n">
        <v>1</v>
      </c>
      <c r="M213" s="67" t="n">
        <v>1</v>
      </c>
      <c r="N213" s="67" t="n">
        <v>0</v>
      </c>
      <c r="O213" s="67" t="n">
        <v>0</v>
      </c>
      <c r="P213" s="67" t="n">
        <v>0</v>
      </c>
      <c r="Q213" s="66" t="inlineStr">
        <is>
          <t>Greenfield</t>
        </is>
      </c>
      <c r="Z213" s="66">
        <f>"MEDIUM|"&amp;A213</f>
        <v/>
      </c>
      <c r="AA213" s="66">
        <f>Q213&amp;"|"&amp;Z213</f>
        <v/>
      </c>
    </row>
    <row r="214" ht="15" customHeight="1" s="39">
      <c r="A214" s="67" t="inlineStr">
        <is>
          <t>E-İrsaliye</t>
        </is>
      </c>
      <c r="B214" s="67" t="n">
        <v>4</v>
      </c>
      <c r="C214" s="67" t="n">
        <v>1</v>
      </c>
      <c r="D214" s="67" t="n">
        <v>0</v>
      </c>
      <c r="E214" s="67" t="n">
        <v>2</v>
      </c>
      <c r="F214" s="67" t="n">
        <v>2</v>
      </c>
      <c r="G214" s="67" t="n">
        <v>1</v>
      </c>
      <c r="H214" s="67" t="n">
        <v>1</v>
      </c>
      <c r="I214" s="67" t="n">
        <v>3</v>
      </c>
      <c r="J214" s="67" t="n">
        <v>3</v>
      </c>
      <c r="K214" s="67" t="n">
        <v>0</v>
      </c>
      <c r="L214" s="67" t="n">
        <v>1</v>
      </c>
      <c r="M214" s="67" t="n">
        <v>1</v>
      </c>
      <c r="N214" s="67" t="n">
        <v>0</v>
      </c>
      <c r="O214" s="67" t="n">
        <v>0</v>
      </c>
      <c r="P214" s="67" t="n">
        <v>0</v>
      </c>
      <c r="Q214" s="66" t="inlineStr">
        <is>
          <t>Greenfield</t>
        </is>
      </c>
      <c r="Z214" s="66">
        <f>"MEDIUM|"&amp;A214</f>
        <v/>
      </c>
      <c r="AA214" s="66">
        <f>Q214&amp;"|"&amp;Z214</f>
        <v/>
      </c>
    </row>
    <row r="215" ht="15" customHeight="1" s="39">
      <c r="A215" s="67" t="inlineStr">
        <is>
          <t>E-Defter</t>
        </is>
      </c>
      <c r="B215" s="67" t="n">
        <v>3</v>
      </c>
      <c r="C215" s="67" t="n">
        <v>1</v>
      </c>
      <c r="D215" s="67" t="n">
        <v>0</v>
      </c>
      <c r="E215" s="67" t="n">
        <v>2</v>
      </c>
      <c r="F215" s="67" t="n">
        <v>2</v>
      </c>
      <c r="G215" s="67" t="n">
        <v>1</v>
      </c>
      <c r="H215" s="67" t="n">
        <v>1</v>
      </c>
      <c r="I215" s="67" t="n">
        <v>0</v>
      </c>
      <c r="J215" s="67" t="n">
        <v>0</v>
      </c>
      <c r="K215" s="67" t="n">
        <v>0</v>
      </c>
      <c r="L215" s="67" t="n">
        <v>3</v>
      </c>
      <c r="M215" s="67" t="n">
        <v>1</v>
      </c>
      <c r="N215" s="67" t="n">
        <v>0</v>
      </c>
      <c r="O215" s="67" t="n">
        <v>0</v>
      </c>
      <c r="P215" s="67" t="n">
        <v>0</v>
      </c>
      <c r="Q215" s="66" t="inlineStr">
        <is>
          <t>Greenfield</t>
        </is>
      </c>
      <c r="Z215" s="66">
        <f>"MEDIUM|"&amp;A215</f>
        <v/>
      </c>
      <c r="AA215" s="66">
        <f>Q215&amp;"|"&amp;Z215</f>
        <v/>
      </c>
    </row>
    <row r="216" ht="15" customHeight="1" s="39">
      <c r="A216" s="67" t="inlineStr">
        <is>
          <t>E-Hesap Özeti</t>
        </is>
      </c>
      <c r="B216" s="67" t="n">
        <v>5</v>
      </c>
      <c r="C216" s="67" t="n">
        <v>1</v>
      </c>
      <c r="D216" s="67" t="n">
        <v>0</v>
      </c>
      <c r="E216" s="67" t="n">
        <v>4</v>
      </c>
      <c r="F216" s="67" t="n">
        <v>3</v>
      </c>
      <c r="G216" s="67" t="n">
        <v>1</v>
      </c>
      <c r="H216" s="67" t="n">
        <v>0</v>
      </c>
      <c r="I216" s="67" t="n">
        <v>2</v>
      </c>
      <c r="J216" s="67" t="n">
        <v>2</v>
      </c>
      <c r="K216" s="67" t="n">
        <v>0</v>
      </c>
      <c r="L216" s="67" t="n">
        <v>2</v>
      </c>
      <c r="M216" s="67" t="n">
        <v>1</v>
      </c>
      <c r="N216" s="67" t="n">
        <v>0</v>
      </c>
      <c r="O216" s="67" t="n">
        <v>0</v>
      </c>
      <c r="P216" s="67" t="n">
        <v>0</v>
      </c>
      <c r="Q216" s="66" t="inlineStr">
        <is>
          <t>Greenfield</t>
        </is>
      </c>
      <c r="Z216" s="66">
        <f>"MEDIUM|"&amp;A216</f>
        <v/>
      </c>
      <c r="AA216" s="66">
        <f>Q216&amp;"|"&amp;Z216</f>
        <v/>
      </c>
    </row>
    <row r="217" ht="15" customHeight="1" s="39">
      <c r="A217" s="67" t="inlineStr">
        <is>
          <t>E-Ödeme</t>
        </is>
      </c>
      <c r="B217" s="67" t="n">
        <v>5</v>
      </c>
      <c r="C217" s="67" t="n">
        <v>1</v>
      </c>
      <c r="D217" s="67" t="n">
        <v>0</v>
      </c>
      <c r="E217" s="67" t="n">
        <v>4</v>
      </c>
      <c r="F217" s="67" t="n">
        <v>3</v>
      </c>
      <c r="G217" s="67" t="n">
        <v>1</v>
      </c>
      <c r="H217" s="67" t="n">
        <v>0</v>
      </c>
      <c r="I217" s="67" t="n">
        <v>2</v>
      </c>
      <c r="J217" s="67" t="n">
        <v>2</v>
      </c>
      <c r="K217" s="67" t="n">
        <v>0</v>
      </c>
      <c r="L217" s="67" t="n">
        <v>2</v>
      </c>
      <c r="M217" s="67" t="n">
        <v>1</v>
      </c>
      <c r="N217" s="67" t="n">
        <v>0</v>
      </c>
      <c r="O217" s="67" t="n">
        <v>0</v>
      </c>
      <c r="P217" s="67" t="n">
        <v>0</v>
      </c>
      <c r="Q217" s="66" t="inlineStr">
        <is>
          <t>Greenfield</t>
        </is>
      </c>
      <c r="Z217" s="66">
        <f>"MEDIUM|"&amp;A217</f>
        <v/>
      </c>
      <c r="AA217" s="66">
        <f>Q217&amp;"|"&amp;Z217</f>
        <v/>
      </c>
    </row>
    <row r="218" ht="15" customHeight="1" s="39">
      <c r="A218" s="67" t="inlineStr">
        <is>
          <t>E-Mutabakat</t>
        </is>
      </c>
      <c r="B218" s="67" t="n">
        <v>4</v>
      </c>
      <c r="C218" s="67" t="n">
        <v>1</v>
      </c>
      <c r="D218" s="67" t="n">
        <v>0</v>
      </c>
      <c r="E218" s="67" t="n">
        <v>3</v>
      </c>
      <c r="F218" s="67" t="n">
        <v>3</v>
      </c>
      <c r="G218" s="67" t="n">
        <v>1</v>
      </c>
      <c r="H218" s="67" t="n">
        <v>0</v>
      </c>
      <c r="I218" s="67" t="n">
        <v>2</v>
      </c>
      <c r="J218" s="67" t="n">
        <v>2</v>
      </c>
      <c r="K218" s="67" t="n">
        <v>0</v>
      </c>
      <c r="L218" s="67" t="n">
        <v>2</v>
      </c>
      <c r="M218" s="67" t="n">
        <v>1</v>
      </c>
      <c r="N218" s="67" t="n">
        <v>0</v>
      </c>
      <c r="O218" s="67" t="n">
        <v>0</v>
      </c>
      <c r="P218" s="67" t="n">
        <v>0</v>
      </c>
      <c r="Q218" s="66" t="inlineStr">
        <is>
          <t>Greenfield</t>
        </is>
      </c>
      <c r="Z218" s="66">
        <f>"MEDIUM|"&amp;A218</f>
        <v/>
      </c>
      <c r="AA218" s="66">
        <f>Q218&amp;"|"&amp;Z218</f>
        <v/>
      </c>
    </row>
    <row r="219" ht="15" customHeight="1" s="39">
      <c r="A219" s="67" t="inlineStr">
        <is>
          <t>E-Beyanname</t>
        </is>
      </c>
      <c r="B219" s="67" t="n">
        <v>5</v>
      </c>
      <c r="C219" s="67" t="n">
        <v>2</v>
      </c>
      <c r="D219" s="67" t="n">
        <v>0</v>
      </c>
      <c r="E219" s="67" t="n">
        <v>5</v>
      </c>
      <c r="F219" s="67" t="n">
        <v>3</v>
      </c>
      <c r="G219" s="67" t="n">
        <v>1</v>
      </c>
      <c r="H219" s="67" t="n">
        <v>0</v>
      </c>
      <c r="I219" s="67" t="n">
        <v>0</v>
      </c>
      <c r="J219" s="67" t="n">
        <v>0</v>
      </c>
      <c r="K219" s="67" t="n">
        <v>0</v>
      </c>
      <c r="L219" s="67" t="n">
        <v>4</v>
      </c>
      <c r="M219" s="67" t="n">
        <v>1</v>
      </c>
      <c r="N219" s="67" t="n">
        <v>0</v>
      </c>
      <c r="O219" s="67" t="n">
        <v>0</v>
      </c>
      <c r="P219" s="67" t="n">
        <v>0</v>
      </c>
      <c r="Q219" s="66" t="inlineStr">
        <is>
          <t>Greenfield</t>
        </is>
      </c>
      <c r="Z219" s="66">
        <f>"MEDIUM|"&amp;A219</f>
        <v/>
      </c>
      <c r="AA219" s="66">
        <f>Q219&amp;"|"&amp;Z219</f>
        <v/>
      </c>
    </row>
    <row r="220" ht="15" customHeight="1" s="39">
      <c r="A220" s="67" t="inlineStr">
        <is>
          <t>Gelen Fatura Otomasyon</t>
        </is>
      </c>
      <c r="B220" s="67" t="n">
        <v>5</v>
      </c>
      <c r="C220" s="67" t="n">
        <v>1</v>
      </c>
      <c r="D220" s="67" t="n">
        <v>0</v>
      </c>
      <c r="E220" s="67" t="n">
        <v>3</v>
      </c>
      <c r="F220" s="67" t="n">
        <v>3</v>
      </c>
      <c r="G220" s="67" t="n">
        <v>1</v>
      </c>
      <c r="H220" s="67" t="n">
        <v>0</v>
      </c>
      <c r="I220" s="67" t="n">
        <v>2</v>
      </c>
      <c r="J220" s="67" t="n">
        <v>2</v>
      </c>
      <c r="K220" s="67" t="n">
        <v>0</v>
      </c>
      <c r="L220" s="67" t="n">
        <v>2</v>
      </c>
      <c r="M220" s="67" t="n">
        <v>1</v>
      </c>
      <c r="N220" s="67" t="n">
        <v>0</v>
      </c>
      <c r="O220" s="67" t="n">
        <v>0</v>
      </c>
      <c r="P220" s="67" t="n">
        <v>0</v>
      </c>
      <c r="Q220" s="66" t="inlineStr">
        <is>
          <t>Greenfield</t>
        </is>
      </c>
      <c r="Z220" s="66">
        <f>"MEDIUM|"&amp;A220</f>
        <v/>
      </c>
      <c r="AA220" s="66">
        <f>Q220&amp;"|"&amp;Z220</f>
        <v/>
      </c>
    </row>
    <row r="221" ht="15" customHeight="1" s="39">
      <c r="A221" s="67" t="inlineStr">
        <is>
          <t>GLASSWING</t>
        </is>
      </c>
      <c r="B221" s="67" t="n">
        <v>35</v>
      </c>
      <c r="C221" s="67" t="n">
        <v>3</v>
      </c>
      <c r="D221" s="67" t="n">
        <v>1</v>
      </c>
      <c r="E221" s="67" t="n">
        <v>8</v>
      </c>
      <c r="F221" s="67" t="n">
        <v>6</v>
      </c>
      <c r="G221" s="67" t="n">
        <v>1</v>
      </c>
      <c r="H221" s="67" t="n">
        <v>0</v>
      </c>
      <c r="I221" s="67" t="n">
        <v>15</v>
      </c>
      <c r="J221" s="67" t="n">
        <v>15</v>
      </c>
      <c r="K221" s="67" t="n">
        <v>8</v>
      </c>
      <c r="L221" s="67" t="n">
        <v>1</v>
      </c>
      <c r="M221" s="67" t="n">
        <v>2</v>
      </c>
      <c r="N221" s="67" t="n">
        <v>5</v>
      </c>
      <c r="O221" s="67" t="n">
        <v>0</v>
      </c>
      <c r="P221" s="67" t="n">
        <v>0</v>
      </c>
      <c r="Q221" s="66" t="inlineStr">
        <is>
          <t>Greenfield</t>
        </is>
      </c>
      <c r="Z221" s="66">
        <f>"MEDIUM|"&amp;A221</f>
        <v/>
      </c>
      <c r="AA221" s="66">
        <f>Q221&amp;"|"&amp;Z221</f>
        <v/>
      </c>
    </row>
    <row r="222" ht="15" customHeight="1" s="39">
      <c r="A222" s="67" t="inlineStr">
        <is>
          <t>COMMODITY</t>
        </is>
      </c>
      <c r="B222" s="67" t="n">
        <v>65</v>
      </c>
      <c r="C222" s="67" t="n">
        <v>7</v>
      </c>
      <c r="D222" s="67" t="n">
        <v>2</v>
      </c>
      <c r="E222" s="67" t="n">
        <v>8</v>
      </c>
      <c r="F222" s="67" t="n">
        <v>7</v>
      </c>
      <c r="G222" s="67" t="n">
        <v>2</v>
      </c>
      <c r="H222" s="67" t="n">
        <v>1</v>
      </c>
      <c r="I222" s="67" t="n">
        <v>20</v>
      </c>
      <c r="J222" s="67" t="n">
        <v>20</v>
      </c>
      <c r="K222" s="67" t="n">
        <v>3</v>
      </c>
      <c r="L222" s="67" t="n">
        <v>2</v>
      </c>
      <c r="M222" s="67" t="n">
        <v>4</v>
      </c>
      <c r="N222" s="67" t="n">
        <v>9</v>
      </c>
      <c r="O222" s="67" t="n">
        <v>0</v>
      </c>
      <c r="P222" s="67" t="n">
        <v>0</v>
      </c>
      <c r="Q222" s="66" t="inlineStr">
        <is>
          <t>Greenfield</t>
        </is>
      </c>
      <c r="Z222" s="66">
        <f>"MEDIUM|"&amp;A222</f>
        <v/>
      </c>
      <c r="AA222" s="66">
        <f>Q222&amp;"|"&amp;Z222</f>
        <v/>
      </c>
    </row>
    <row r="223" ht="15" customHeight="1" s="39">
      <c r="A223" s="67" t="inlineStr">
        <is>
          <t>Dış Ticaret Çözümü</t>
        </is>
      </c>
      <c r="B223" s="67" t="n">
        <v>0</v>
      </c>
      <c r="C223" s="67" t="n">
        <v>0</v>
      </c>
      <c r="D223" s="67" t="n">
        <v>0</v>
      </c>
      <c r="E223" s="67" t="n">
        <v>0</v>
      </c>
      <c r="F223" s="67" t="n">
        <v>0</v>
      </c>
      <c r="G223" s="67" t="n">
        <v>0</v>
      </c>
      <c r="H223" s="67" t="n">
        <v>0</v>
      </c>
      <c r="I223" s="67" t="n">
        <v>0</v>
      </c>
      <c r="J223" s="67" t="n">
        <v>0</v>
      </c>
      <c r="K223" s="67" t="n">
        <v>0</v>
      </c>
      <c r="L223" s="67" t="n">
        <v>0</v>
      </c>
      <c r="M223" s="67" t="n">
        <v>0</v>
      </c>
      <c r="N223" s="67" t="n">
        <v>0</v>
      </c>
      <c r="O223" s="67" t="n">
        <v>0</v>
      </c>
      <c r="P223" s="67" t="n">
        <v>0</v>
      </c>
      <c r="Q223" s="66" t="inlineStr">
        <is>
          <t>Greenfield</t>
        </is>
      </c>
      <c r="Z223" s="66">
        <f>"MEDIUM|"&amp;A223</f>
        <v/>
      </c>
      <c r="AA223" s="66">
        <f>Q223&amp;"|"&amp;Z223</f>
        <v/>
      </c>
    </row>
    <row r="224" ht="15" customHeight="1" s="39">
      <c r="A224" s="67" t="inlineStr">
        <is>
          <t>Seyahat ve Masraf Yönetimi</t>
        </is>
      </c>
      <c r="B224" s="67" t="n">
        <v>0</v>
      </c>
      <c r="C224" s="67" t="n">
        <v>0</v>
      </c>
      <c r="D224" s="67" t="n">
        <v>0</v>
      </c>
      <c r="E224" s="67" t="n">
        <v>0</v>
      </c>
      <c r="F224" s="67" t="n">
        <v>0</v>
      </c>
      <c r="G224" s="67" t="n">
        <v>0</v>
      </c>
      <c r="H224" s="67" t="n">
        <v>0</v>
      </c>
      <c r="I224" s="67" t="n">
        <v>0</v>
      </c>
      <c r="J224" s="67" t="n">
        <v>0</v>
      </c>
      <c r="K224" s="67" t="n">
        <v>0</v>
      </c>
      <c r="L224" s="67" t="n">
        <v>0</v>
      </c>
      <c r="M224" s="67" t="n">
        <v>0</v>
      </c>
      <c r="N224" s="67" t="n">
        <v>0</v>
      </c>
      <c r="O224" s="67" t="n">
        <v>0</v>
      </c>
      <c r="P224" s="67" t="n">
        <v>0</v>
      </c>
      <c r="Q224" s="66" t="inlineStr">
        <is>
          <t>Greenfield</t>
        </is>
      </c>
      <c r="Z224" s="66">
        <f>"MEDIUM|"&amp;A224</f>
        <v/>
      </c>
      <c r="AA224" s="66">
        <f>Q224&amp;"|"&amp;Z224</f>
        <v/>
      </c>
    </row>
    <row r="225" ht="15" customHeight="1" s="39">
      <c r="A225" s="67" t="inlineStr">
        <is>
          <t>NTT Data POS</t>
        </is>
      </c>
      <c r="B225" s="67" t="n">
        <v>0</v>
      </c>
      <c r="C225" s="67" t="n">
        <v>0</v>
      </c>
      <c r="D225" s="67" t="n">
        <v>0</v>
      </c>
      <c r="E225" s="67" t="n">
        <v>0</v>
      </c>
      <c r="F225" s="67" t="n">
        <v>0</v>
      </c>
      <c r="G225" s="67" t="n">
        <v>0</v>
      </c>
      <c r="H225" s="67" t="n">
        <v>0</v>
      </c>
      <c r="I225" s="67" t="n">
        <v>0</v>
      </c>
      <c r="J225" s="67" t="n">
        <v>0</v>
      </c>
      <c r="K225" s="67" t="n">
        <v>0</v>
      </c>
      <c r="L225" s="67" t="n">
        <v>0</v>
      </c>
      <c r="M225" s="67" t="n">
        <v>0</v>
      </c>
      <c r="N225" s="67" t="n">
        <v>0</v>
      </c>
      <c r="O225" s="67" t="n">
        <v>0</v>
      </c>
      <c r="P225" s="67" t="n">
        <v>0</v>
      </c>
      <c r="Q225" s="66" t="inlineStr">
        <is>
          <t>Greenfield</t>
        </is>
      </c>
      <c r="Z225" s="66">
        <f>"MEDIUM|"&amp;A225</f>
        <v/>
      </c>
      <c r="AA225" s="66">
        <f>Q225&amp;"|"&amp;Z225</f>
        <v/>
      </c>
    </row>
    <row r="227" ht="15" customHeight="1" s="39">
      <c r="A227" s="68" t="inlineStr">
        <is>
          <t>LARGE</t>
        </is>
      </c>
      <c r="Q227" s="68" t="inlineStr">
        <is>
          <t>Greenfield</t>
        </is>
      </c>
    </row>
    <row r="228" ht="15" customHeight="1" s="39">
      <c r="A228" s="67">
        <f>INDEX(Translations!$D:$ZZ, MATCH(74,Translations!$A:$A,0), MATCH('Project Information'!$C$4,Translations!$D$1:$ZZ$1,0))</f>
        <v/>
      </c>
      <c r="B228" s="67">
        <f>INDEX(Translations!$D:$ZZ, MATCH(75,Translations!$A:$A,0), MATCH('Project Information'!$C$4,Translations!$D$1:$ZZ$1,0))</f>
        <v/>
      </c>
      <c r="C228" s="67">
        <f>INDEX(Translations!$D:$ZZ, MATCH(76,Translations!$A:$A,0), MATCH('Project Information'!$C$4,Translations!$D$1:$ZZ$1,0))</f>
        <v/>
      </c>
      <c r="D228" s="67">
        <f>INDEX(Translations!$D:$ZZ, MATCH(77,Translations!$A:$A,0), MATCH('Project Information'!$C$4,Translations!$D$1:$ZZ$1,0))</f>
        <v/>
      </c>
      <c r="E228" s="67">
        <f>INDEX(Translations!$D:$ZZ, MATCH(78,Translations!$A:$A,0), MATCH('Project Information'!$C$4,Translations!$D$1:$ZZ$1,0))</f>
        <v/>
      </c>
      <c r="F228" s="67">
        <f>INDEX(Translations!$D:$ZZ, MATCH(79,Translations!$A:$A,0), MATCH('Project Information'!$C$4,Translations!$D$1:$ZZ$1,0))</f>
        <v/>
      </c>
      <c r="G228" s="67">
        <f>INDEX(Translations!$D:$ZZ, MATCH(80,Translations!$A:$A,0), MATCH('Project Information'!$C$4,Translations!$D$1:$ZZ$1,0))</f>
        <v/>
      </c>
      <c r="H228" s="67">
        <f>INDEX(Translations!$D:$ZZ, MATCH(81,Translations!$A:$A,0), MATCH('Project Information'!$C$4,Translations!$D$1:$ZZ$1,0))</f>
        <v/>
      </c>
      <c r="I228" s="67">
        <f>INDEX(Translations!$D:$ZZ, MATCH(82,Translations!$A:$A,0), MATCH('Project Information'!$C$4,Translations!$D$1:$ZZ$1,0))</f>
        <v/>
      </c>
      <c r="J228" s="67">
        <f>INDEX(Translations!$D:$ZZ, MATCH(83,Translations!$A:$A,0), MATCH('Project Information'!$C$4,Translations!$D$1:$ZZ$1,0))</f>
        <v/>
      </c>
      <c r="K228" s="67">
        <f>INDEX(Translations!$D:$ZZ, MATCH(84,Translations!$A:$A,0), MATCH('Project Information'!$C$4,Translations!$D$1:$ZZ$1,0))</f>
        <v/>
      </c>
      <c r="L228" s="67">
        <f>INDEX(Translations!$D:$ZZ, MATCH(85,Translations!$A:$A,0), MATCH('Project Information'!$C$4,Translations!$D$1:$ZZ$1,0))</f>
        <v/>
      </c>
      <c r="M228" s="67">
        <f>INDEX(Translations!$D:$ZZ, MATCH(86,Translations!$A:$A,0), MATCH('Project Information'!$C$4,Translations!$D$1:$ZZ$1,0))</f>
        <v/>
      </c>
      <c r="N228" s="67">
        <f>INDEX(Translations!$D:$ZZ, MATCH(87,Translations!$A:$A,0), MATCH('Project Information'!$C$4,Translations!$D$1:$ZZ$1,0))</f>
        <v/>
      </c>
      <c r="O228" s="67">
        <f>INDEX(Translations!$D:$ZZ, MATCH(88,Translations!$A:$A,0), MATCH('Project Information'!$C$4,Translations!$D$1:$ZZ$1,0))</f>
        <v/>
      </c>
      <c r="P228" s="67">
        <f>INDEX(Translations!$D:$ZZ, MATCH(89,Translations!$A:$A,0), MATCH('Project Information'!$C$4,Translations!$D$1:$ZZ$1,0))</f>
        <v/>
      </c>
      <c r="Q228" s="67" t="inlineStr">
        <is>
          <t>Implementation Type</t>
        </is>
      </c>
      <c r="Z228" s="67">
        <f>INDEX(Translations!$D:$ZZ, MATCH(93,Translations!$A:$A,0), MATCH('Project Information'!$C$4,Translations!$D$1:$ZZ$1,0))</f>
        <v/>
      </c>
      <c r="AA228" s="67" t="inlineStr">
        <is>
          <t>Implementation Key</t>
        </is>
      </c>
    </row>
    <row r="229" ht="15" customHeight="1" s="39">
      <c r="A229" s="67" t="inlineStr">
        <is>
          <t>FI</t>
        </is>
      </c>
      <c r="B229" s="67" t="n">
        <v>245</v>
      </c>
      <c r="C229" s="67" t="n">
        <v>10</v>
      </c>
      <c r="D229" s="67" t="n">
        <v>5</v>
      </c>
      <c r="E229" s="67" t="n">
        <v>5</v>
      </c>
      <c r="F229" s="67" t="n">
        <v>5</v>
      </c>
      <c r="G229" s="67" t="n">
        <v>2</v>
      </c>
      <c r="H229" s="67" t="n">
        <v>3</v>
      </c>
      <c r="I229" s="67" t="n">
        <v>28</v>
      </c>
      <c r="J229" s="67" t="n">
        <v>28</v>
      </c>
      <c r="K229" s="67" t="n">
        <v>3</v>
      </c>
      <c r="L229" s="67" t="n">
        <v>2</v>
      </c>
      <c r="M229" s="67" t="n">
        <v>15</v>
      </c>
      <c r="N229" s="67" t="n">
        <v>15</v>
      </c>
      <c r="O229" s="67" t="n">
        <v>0</v>
      </c>
      <c r="P229" s="67" t="n">
        <v>0</v>
      </c>
      <c r="Q229" s="66" t="inlineStr">
        <is>
          <t>Greenfield</t>
        </is>
      </c>
      <c r="Z229" s="66">
        <f>"LARGE|"&amp;A229</f>
        <v/>
      </c>
      <c r="AA229" s="66">
        <f>Q229&amp;"|"&amp;Z229</f>
        <v/>
      </c>
    </row>
    <row r="230" ht="15" customHeight="1" s="39">
      <c r="A230" s="67" t="inlineStr">
        <is>
          <t>CO</t>
        </is>
      </c>
      <c r="B230" s="67" t="n">
        <v>245</v>
      </c>
      <c r="C230" s="67" t="n">
        <v>10</v>
      </c>
      <c r="D230" s="67" t="n">
        <v>5</v>
      </c>
      <c r="E230" s="67" t="n">
        <v>4</v>
      </c>
      <c r="F230" s="67" t="n">
        <v>5</v>
      </c>
      <c r="G230" s="67" t="n">
        <v>2</v>
      </c>
      <c r="H230" s="67" t="n">
        <v>2</v>
      </c>
      <c r="I230" s="67" t="n">
        <v>28</v>
      </c>
      <c r="J230" s="67" t="n">
        <v>28</v>
      </c>
      <c r="K230" s="67" t="n">
        <v>3</v>
      </c>
      <c r="L230" s="67" t="n">
        <v>2</v>
      </c>
      <c r="M230" s="67" t="n">
        <v>10</v>
      </c>
      <c r="N230" s="67" t="n">
        <v>10</v>
      </c>
      <c r="O230" s="67" t="n">
        <v>0</v>
      </c>
      <c r="P230" s="67" t="n">
        <v>0</v>
      </c>
      <c r="Q230" s="66" t="inlineStr">
        <is>
          <t>Greenfield</t>
        </is>
      </c>
      <c r="Z230" s="66">
        <f>"LARGE|"&amp;A230</f>
        <v/>
      </c>
      <c r="AA230" s="66">
        <f>Q230&amp;"|"&amp;Z230</f>
        <v/>
      </c>
    </row>
    <row r="231" ht="15" customHeight="1" s="39">
      <c r="A231" s="67" t="inlineStr">
        <is>
          <t>TRM</t>
        </is>
      </c>
      <c r="B231" s="67" t="n">
        <v>100</v>
      </c>
      <c r="C231" s="67" t="n">
        <v>4</v>
      </c>
      <c r="D231" s="67" t="n">
        <v>2</v>
      </c>
      <c r="E231" s="67" t="n">
        <v>2</v>
      </c>
      <c r="F231" s="67" t="n">
        <v>3</v>
      </c>
      <c r="G231" s="67" t="n">
        <v>1</v>
      </c>
      <c r="H231" s="67" t="n">
        <v>1</v>
      </c>
      <c r="I231" s="67" t="n">
        <v>10</v>
      </c>
      <c r="J231" s="67" t="n">
        <v>10</v>
      </c>
      <c r="K231" s="67" t="n">
        <v>1</v>
      </c>
      <c r="L231" s="67" t="n">
        <v>1</v>
      </c>
      <c r="M231" s="67" t="n">
        <v>10</v>
      </c>
      <c r="N231" s="67" t="n">
        <v>10</v>
      </c>
      <c r="O231" s="67" t="n">
        <v>0</v>
      </c>
      <c r="P231" s="67" t="n">
        <v>0</v>
      </c>
      <c r="Q231" s="66" t="inlineStr">
        <is>
          <t>Greenfield</t>
        </is>
      </c>
      <c r="Z231" s="66">
        <f>"LARGE|"&amp;A231</f>
        <v/>
      </c>
      <c r="AA231" s="66">
        <f>Q231&amp;"|"&amp;Z231</f>
        <v/>
      </c>
    </row>
    <row r="232" ht="15" customHeight="1" s="39">
      <c r="A232" s="67" t="inlineStr">
        <is>
          <t>CM</t>
        </is>
      </c>
      <c r="B232" s="67" t="n">
        <v>100</v>
      </c>
      <c r="C232" s="67" t="n">
        <v>3</v>
      </c>
      <c r="D232" s="67" t="n">
        <v>2</v>
      </c>
      <c r="E232" s="67" t="n">
        <v>2</v>
      </c>
      <c r="F232" s="67" t="n">
        <v>3</v>
      </c>
      <c r="G232" s="67" t="n">
        <v>1</v>
      </c>
      <c r="H232" s="67" t="n">
        <v>1</v>
      </c>
      <c r="I232" s="67" t="n">
        <v>10</v>
      </c>
      <c r="J232" s="67" t="n">
        <v>10</v>
      </c>
      <c r="K232" s="67" t="n">
        <v>1</v>
      </c>
      <c r="L232" s="67" t="n">
        <v>1</v>
      </c>
      <c r="M232" s="67" t="n">
        <v>5</v>
      </c>
      <c r="N232" s="67" t="n">
        <v>5</v>
      </c>
      <c r="O232" s="67" t="n">
        <v>0</v>
      </c>
      <c r="P232" s="67" t="n">
        <v>0</v>
      </c>
      <c r="Q232" s="66" t="inlineStr">
        <is>
          <t>Greenfield</t>
        </is>
      </c>
      <c r="Z232" s="66">
        <f>"LARGE|"&amp;A232</f>
        <v/>
      </c>
      <c r="AA232" s="66">
        <f>Q232&amp;"|"&amp;Z232</f>
        <v/>
      </c>
    </row>
    <row r="233" ht="15" customHeight="1" s="39">
      <c r="A233" s="67" t="inlineStr">
        <is>
          <t>FM</t>
        </is>
      </c>
      <c r="B233" s="67" t="n">
        <v>100</v>
      </c>
      <c r="C233" s="67" t="n">
        <v>3</v>
      </c>
      <c r="D233" s="67" t="n">
        <v>2</v>
      </c>
      <c r="E233" s="67" t="n">
        <v>2</v>
      </c>
      <c r="F233" s="67" t="n">
        <v>3</v>
      </c>
      <c r="G233" s="67" t="n">
        <v>1</v>
      </c>
      <c r="H233" s="67" t="n">
        <v>1</v>
      </c>
      <c r="I233" s="67" t="n">
        <v>10</v>
      </c>
      <c r="J233" s="67" t="n">
        <v>10</v>
      </c>
      <c r="K233" s="67" t="n">
        <v>1</v>
      </c>
      <c r="L233" s="67" t="n">
        <v>1</v>
      </c>
      <c r="M233" s="67" t="n">
        <v>5</v>
      </c>
      <c r="N233" s="67" t="n">
        <v>5</v>
      </c>
      <c r="O233" s="67" t="n">
        <v>0</v>
      </c>
      <c r="P233" s="67" t="n">
        <v>0</v>
      </c>
      <c r="Q233" s="66" t="inlineStr">
        <is>
          <t>Greenfield</t>
        </is>
      </c>
      <c r="Z233" s="66">
        <f>"LARGE|"&amp;A233</f>
        <v/>
      </c>
      <c r="AA233" s="66">
        <f>Q233&amp;"|"&amp;Z233</f>
        <v/>
      </c>
    </row>
    <row r="234" ht="15" customHeight="1" s="39">
      <c r="A234" s="67" t="inlineStr">
        <is>
          <t>RM</t>
        </is>
      </c>
      <c r="B234" s="67" t="n">
        <v>0</v>
      </c>
      <c r="C234" s="67" t="n">
        <v>0</v>
      </c>
      <c r="D234" s="67" t="n">
        <v>0</v>
      </c>
      <c r="E234" s="67" t="n">
        <v>0</v>
      </c>
      <c r="F234" s="67" t="n">
        <v>0</v>
      </c>
      <c r="G234" s="67" t="n">
        <v>0</v>
      </c>
      <c r="H234" s="67" t="n">
        <v>0</v>
      </c>
      <c r="I234" s="67" t="n">
        <v>0</v>
      </c>
      <c r="J234" s="67" t="n">
        <v>0</v>
      </c>
      <c r="K234" s="67" t="n">
        <v>0</v>
      </c>
      <c r="L234" s="67" t="n">
        <v>0</v>
      </c>
      <c r="M234" s="67" t="n">
        <v>0</v>
      </c>
      <c r="N234" s="67" t="n">
        <v>0</v>
      </c>
      <c r="O234" s="67" t="n">
        <v>0</v>
      </c>
      <c r="P234" s="67" t="n">
        <v>0</v>
      </c>
      <c r="Q234" s="66" t="inlineStr">
        <is>
          <t>Greenfield</t>
        </is>
      </c>
      <c r="Z234" s="66">
        <f>"LARGE|"&amp;A234</f>
        <v/>
      </c>
      <c r="AA234" s="66">
        <f>Q234&amp;"|"&amp;Z234</f>
        <v/>
      </c>
    </row>
    <row r="235" ht="15" customHeight="1" s="39">
      <c r="A235" s="67" t="inlineStr">
        <is>
          <t>RE/FX</t>
        </is>
      </c>
      <c r="B235" s="67" t="n">
        <v>0</v>
      </c>
      <c r="C235" s="67" t="n">
        <v>0</v>
      </c>
      <c r="D235" s="67" t="n">
        <v>0</v>
      </c>
      <c r="E235" s="67" t="n">
        <v>0</v>
      </c>
      <c r="F235" s="67" t="n">
        <v>0</v>
      </c>
      <c r="G235" s="67" t="n">
        <v>0</v>
      </c>
      <c r="H235" s="67" t="n">
        <v>0</v>
      </c>
      <c r="I235" s="67" t="n">
        <v>0</v>
      </c>
      <c r="J235" s="67" t="n">
        <v>0</v>
      </c>
      <c r="K235" s="67" t="n">
        <v>0</v>
      </c>
      <c r="L235" s="67" t="n">
        <v>0</v>
      </c>
      <c r="M235" s="67" t="n">
        <v>0</v>
      </c>
      <c r="N235" s="67" t="n">
        <v>0</v>
      </c>
      <c r="O235" s="67" t="n">
        <v>0</v>
      </c>
      <c r="P235" s="67" t="n">
        <v>0</v>
      </c>
      <c r="Q235" s="66" t="inlineStr">
        <is>
          <t>Greenfield</t>
        </is>
      </c>
      <c r="Z235" s="66">
        <f>"LARGE|"&amp;A235</f>
        <v/>
      </c>
      <c r="AA235" s="66">
        <f>Q235&amp;"|"&amp;Z235</f>
        <v/>
      </c>
    </row>
    <row r="236" ht="15" customHeight="1" s="39">
      <c r="A236" s="67" t="inlineStr">
        <is>
          <t>MM</t>
        </is>
      </c>
      <c r="B236" s="67" t="n">
        <v>245</v>
      </c>
      <c r="C236" s="67" t="n">
        <v>10</v>
      </c>
      <c r="D236" s="67" t="n">
        <v>5</v>
      </c>
      <c r="E236" s="67" t="n">
        <v>5</v>
      </c>
      <c r="F236" s="67" t="n">
        <v>5</v>
      </c>
      <c r="G236" s="67" t="n">
        <v>2</v>
      </c>
      <c r="H236" s="67" t="n">
        <v>7</v>
      </c>
      <c r="I236" s="67" t="n">
        <v>28</v>
      </c>
      <c r="J236" s="67" t="n">
        <v>28</v>
      </c>
      <c r="K236" s="67" t="n">
        <v>3</v>
      </c>
      <c r="L236" s="67" t="n">
        <v>2</v>
      </c>
      <c r="M236" s="67" t="n">
        <v>20</v>
      </c>
      <c r="N236" s="67" t="n">
        <v>20</v>
      </c>
      <c r="O236" s="67" t="n">
        <v>0</v>
      </c>
      <c r="P236" s="67" t="n">
        <v>0</v>
      </c>
      <c r="Q236" s="66" t="inlineStr">
        <is>
          <t>Greenfield</t>
        </is>
      </c>
      <c r="Z236" s="66">
        <f>"LARGE|"&amp;A236</f>
        <v/>
      </c>
      <c r="AA236" s="66">
        <f>Q236&amp;"|"&amp;Z236</f>
        <v/>
      </c>
    </row>
    <row r="237" ht="15" customHeight="1" s="39">
      <c r="A237" s="67" t="inlineStr">
        <is>
          <t>PP</t>
        </is>
      </c>
      <c r="B237" s="67" t="n">
        <v>245</v>
      </c>
      <c r="C237" s="67" t="n">
        <v>10</v>
      </c>
      <c r="D237" s="67" t="n">
        <v>5</v>
      </c>
      <c r="E237" s="67" t="n">
        <v>5</v>
      </c>
      <c r="F237" s="67" t="n">
        <v>5</v>
      </c>
      <c r="G237" s="67" t="n">
        <v>2</v>
      </c>
      <c r="H237" s="67" t="n">
        <v>7</v>
      </c>
      <c r="I237" s="67" t="n">
        <v>28</v>
      </c>
      <c r="J237" s="67" t="n">
        <v>28</v>
      </c>
      <c r="K237" s="67" t="n">
        <v>3</v>
      </c>
      <c r="L237" s="67" t="n">
        <v>2</v>
      </c>
      <c r="M237" s="67" t="n">
        <v>20</v>
      </c>
      <c r="N237" s="67" t="n">
        <v>20</v>
      </c>
      <c r="O237" s="67" t="n">
        <v>0</v>
      </c>
      <c r="P237" s="67" t="n">
        <v>0</v>
      </c>
      <c r="Q237" s="66" t="inlineStr">
        <is>
          <t>Greenfield</t>
        </is>
      </c>
      <c r="Z237" s="66">
        <f>"LARGE|"&amp;A237</f>
        <v/>
      </c>
      <c r="AA237" s="66">
        <f>Q237&amp;"|"&amp;Z237</f>
        <v/>
      </c>
    </row>
    <row r="238" ht="15" customHeight="1" s="39">
      <c r="A238" s="67" t="inlineStr">
        <is>
          <t>SD</t>
        </is>
      </c>
      <c r="B238" s="67" t="n">
        <v>245</v>
      </c>
      <c r="C238" s="67" t="n">
        <v>10</v>
      </c>
      <c r="D238" s="67" t="n">
        <v>5</v>
      </c>
      <c r="E238" s="67" t="n">
        <v>5</v>
      </c>
      <c r="F238" s="67" t="n">
        <v>5</v>
      </c>
      <c r="G238" s="67" t="n">
        <v>2</v>
      </c>
      <c r="H238" s="67" t="n">
        <v>5</v>
      </c>
      <c r="I238" s="67" t="n">
        <v>28</v>
      </c>
      <c r="J238" s="67" t="n">
        <v>28</v>
      </c>
      <c r="K238" s="67" t="n">
        <v>3</v>
      </c>
      <c r="L238" s="67" t="n">
        <v>2</v>
      </c>
      <c r="M238" s="67" t="n">
        <v>15</v>
      </c>
      <c r="N238" s="67" t="n">
        <v>15</v>
      </c>
      <c r="O238" s="67" t="n">
        <v>0</v>
      </c>
      <c r="P238" s="67" t="n">
        <v>0</v>
      </c>
      <c r="Q238" s="66" t="inlineStr">
        <is>
          <t>Greenfield</t>
        </is>
      </c>
      <c r="Z238" s="66">
        <f>"LARGE|"&amp;A238</f>
        <v/>
      </c>
      <c r="AA238" s="66">
        <f>Q238&amp;"|"&amp;Z238</f>
        <v/>
      </c>
    </row>
    <row r="239" ht="15" customHeight="1" s="39">
      <c r="A239" s="67" t="inlineStr">
        <is>
          <t>QM</t>
        </is>
      </c>
      <c r="B239" s="67" t="n">
        <v>245</v>
      </c>
      <c r="C239" s="67" t="n">
        <v>8</v>
      </c>
      <c r="D239" s="67" t="n">
        <v>5</v>
      </c>
      <c r="E239" s="67" t="n">
        <v>4</v>
      </c>
      <c r="F239" s="67" t="n">
        <v>5</v>
      </c>
      <c r="G239" s="67" t="n">
        <v>1</v>
      </c>
      <c r="H239" s="67" t="n">
        <v>6</v>
      </c>
      <c r="I239" s="67" t="n">
        <v>26</v>
      </c>
      <c r="J239" s="67" t="n">
        <v>26</v>
      </c>
      <c r="K239" s="67" t="n">
        <v>2</v>
      </c>
      <c r="L239" s="67" t="n">
        <v>1</v>
      </c>
      <c r="M239" s="67" t="n">
        <v>15</v>
      </c>
      <c r="N239" s="67" t="n">
        <v>15</v>
      </c>
      <c r="O239" s="67" t="n">
        <v>0</v>
      </c>
      <c r="P239" s="67" t="n">
        <v>0</v>
      </c>
      <c r="Q239" s="66" t="inlineStr">
        <is>
          <t>Greenfield</t>
        </is>
      </c>
      <c r="Z239" s="66">
        <f>"LARGE|"&amp;A239</f>
        <v/>
      </c>
      <c r="AA239" s="66">
        <f>Q239&amp;"|"&amp;Z239</f>
        <v/>
      </c>
    </row>
    <row r="240" ht="15" customHeight="1" s="39">
      <c r="A240" s="67" t="inlineStr">
        <is>
          <t>PM</t>
        </is>
      </c>
      <c r="B240" s="67" t="n">
        <v>196</v>
      </c>
      <c r="C240" s="67" t="n">
        <v>8</v>
      </c>
      <c r="D240" s="67" t="n">
        <v>3</v>
      </c>
      <c r="E240" s="67" t="n">
        <v>3</v>
      </c>
      <c r="F240" s="67" t="n">
        <v>5</v>
      </c>
      <c r="G240" s="67" t="n">
        <v>1</v>
      </c>
      <c r="H240" s="67" t="n">
        <v>4</v>
      </c>
      <c r="I240" s="67" t="n">
        <v>16</v>
      </c>
      <c r="J240" s="67" t="n">
        <v>16</v>
      </c>
      <c r="K240" s="67" t="n">
        <v>2</v>
      </c>
      <c r="L240" s="67" t="n">
        <v>1</v>
      </c>
      <c r="M240" s="67" t="n">
        <v>10</v>
      </c>
      <c r="N240" s="67" t="n">
        <v>10</v>
      </c>
      <c r="O240" s="67" t="n">
        <v>0</v>
      </c>
      <c r="P240" s="67" t="n">
        <v>0</v>
      </c>
      <c r="Q240" s="66" t="inlineStr">
        <is>
          <t>Greenfield</t>
        </is>
      </c>
      <c r="Z240" s="66">
        <f>"LARGE|"&amp;A240</f>
        <v/>
      </c>
      <c r="AA240" s="66">
        <f>Q240&amp;"|"&amp;Z240</f>
        <v/>
      </c>
    </row>
    <row r="241" ht="15" customHeight="1" s="39">
      <c r="A241" s="67" t="inlineStr">
        <is>
          <t>PS</t>
        </is>
      </c>
      <c r="B241" s="67" t="n">
        <v>196</v>
      </c>
      <c r="C241" s="67" t="n">
        <v>8</v>
      </c>
      <c r="D241" s="67" t="n">
        <v>3</v>
      </c>
      <c r="E241" s="67" t="n">
        <v>3</v>
      </c>
      <c r="F241" s="67" t="n">
        <v>5</v>
      </c>
      <c r="G241" s="67" t="n">
        <v>1</v>
      </c>
      <c r="H241" s="67" t="n">
        <v>4</v>
      </c>
      <c r="I241" s="67" t="n">
        <v>16</v>
      </c>
      <c r="J241" s="67" t="n">
        <v>16</v>
      </c>
      <c r="K241" s="67" t="n">
        <v>2</v>
      </c>
      <c r="L241" s="67" t="n">
        <v>1</v>
      </c>
      <c r="M241" s="67" t="n">
        <v>10</v>
      </c>
      <c r="N241" s="67" t="n">
        <v>10</v>
      </c>
      <c r="O241" s="67" t="n">
        <v>0</v>
      </c>
      <c r="P241" s="67" t="n">
        <v>0</v>
      </c>
      <c r="Q241" s="66" t="inlineStr">
        <is>
          <t>Greenfield</t>
        </is>
      </c>
      <c r="Z241" s="66">
        <f>"LARGE|"&amp;A241</f>
        <v/>
      </c>
      <c r="AA241" s="66">
        <f>Q241&amp;"|"&amp;Z241</f>
        <v/>
      </c>
    </row>
    <row r="242" ht="15" customHeight="1" s="39">
      <c r="A242" s="67" t="inlineStr">
        <is>
          <t>MII/DM</t>
        </is>
      </c>
      <c r="B242" s="67" t="n">
        <v>0</v>
      </c>
      <c r="C242" s="67" t="n">
        <v>0</v>
      </c>
      <c r="D242" s="67" t="n">
        <v>0</v>
      </c>
      <c r="E242" s="67" t="n">
        <v>0</v>
      </c>
      <c r="F242" s="67" t="n">
        <v>0</v>
      </c>
      <c r="G242" s="67" t="n">
        <v>0</v>
      </c>
      <c r="H242" s="67" t="n">
        <v>0</v>
      </c>
      <c r="I242" s="67" t="n">
        <v>0</v>
      </c>
      <c r="J242" s="67" t="n">
        <v>0</v>
      </c>
      <c r="K242" s="67" t="n">
        <v>0</v>
      </c>
      <c r="L242" s="67" t="n">
        <v>0</v>
      </c>
      <c r="M242" s="67" t="n">
        <v>0</v>
      </c>
      <c r="N242" s="67" t="n">
        <v>0</v>
      </c>
      <c r="O242" s="67" t="n">
        <v>0</v>
      </c>
      <c r="P242" s="67" t="n">
        <v>0</v>
      </c>
      <c r="Q242" s="66" t="inlineStr">
        <is>
          <t>Greenfield</t>
        </is>
      </c>
      <c r="Z242" s="66">
        <f>"LARGE|"&amp;A242</f>
        <v/>
      </c>
      <c r="AA242" s="66">
        <f>Q242&amp;"|"&amp;Z242</f>
        <v/>
      </c>
    </row>
    <row r="243" ht="15" customHeight="1" s="39">
      <c r="A243" s="67" t="inlineStr">
        <is>
          <t>PM Mobility</t>
        </is>
      </c>
      <c r="B243" s="67" t="n">
        <v>0</v>
      </c>
      <c r="C243" s="67" t="n">
        <v>0</v>
      </c>
      <c r="D243" s="67" t="n">
        <v>0</v>
      </c>
      <c r="E243" s="67" t="n">
        <v>0</v>
      </c>
      <c r="F243" s="67" t="n">
        <v>0</v>
      </c>
      <c r="G243" s="67" t="n">
        <v>0</v>
      </c>
      <c r="H243" s="67" t="n">
        <v>0</v>
      </c>
      <c r="I243" s="67" t="n">
        <v>0</v>
      </c>
      <c r="J243" s="67" t="n">
        <v>0</v>
      </c>
      <c r="K243" s="67" t="n">
        <v>0</v>
      </c>
      <c r="L243" s="67" t="n">
        <v>0</v>
      </c>
      <c r="M243" s="67" t="n">
        <v>0</v>
      </c>
      <c r="N243" s="67" t="n">
        <v>0</v>
      </c>
      <c r="O243" s="67" t="n">
        <v>0</v>
      </c>
      <c r="P243" s="67" t="n">
        <v>0</v>
      </c>
      <c r="Q243" s="66" t="inlineStr">
        <is>
          <t>Greenfield</t>
        </is>
      </c>
      <c r="Z243" s="66">
        <f>"LARGE|"&amp;A243</f>
        <v/>
      </c>
      <c r="AA243" s="66">
        <f>Q243&amp;"|"&amp;Z243</f>
        <v/>
      </c>
    </row>
    <row r="244" ht="15" customHeight="1" s="39">
      <c r="A244" s="67" t="inlineStr">
        <is>
          <t>Basic EWM</t>
        </is>
      </c>
      <c r="B244" s="67" t="n">
        <v>245</v>
      </c>
      <c r="C244" s="67" t="n">
        <v>10</v>
      </c>
      <c r="D244" s="67" t="n">
        <v>5</v>
      </c>
      <c r="E244" s="67" t="n">
        <v>5</v>
      </c>
      <c r="F244" s="67" t="n">
        <v>5</v>
      </c>
      <c r="G244" s="67" t="n">
        <v>2</v>
      </c>
      <c r="H244" s="67" t="n">
        <v>4</v>
      </c>
      <c r="I244" s="67" t="n">
        <v>28</v>
      </c>
      <c r="J244" s="67" t="n">
        <v>28</v>
      </c>
      <c r="K244" s="67" t="n">
        <v>2</v>
      </c>
      <c r="L244" s="67" t="n">
        <v>2</v>
      </c>
      <c r="M244" s="67" t="n">
        <v>10</v>
      </c>
      <c r="N244" s="67" t="n">
        <v>10</v>
      </c>
      <c r="O244" s="67" t="n">
        <v>0</v>
      </c>
      <c r="P244" s="67" t="n">
        <v>0</v>
      </c>
      <c r="Q244" s="66" t="inlineStr">
        <is>
          <t>Greenfield</t>
        </is>
      </c>
      <c r="Z244" s="66">
        <f>"LARGE|"&amp;A244</f>
        <v/>
      </c>
      <c r="AA244" s="66">
        <f>Q244&amp;"|"&amp;Z244</f>
        <v/>
      </c>
    </row>
    <row r="245" ht="15" customHeight="1" s="39">
      <c r="A245" s="67" t="inlineStr">
        <is>
          <t>Advanced EWM</t>
        </is>
      </c>
      <c r="B245" s="67" t="n">
        <v>0</v>
      </c>
      <c r="C245" s="67" t="n">
        <v>0</v>
      </c>
      <c r="D245" s="67" t="n">
        <v>0</v>
      </c>
      <c r="E245" s="67" t="n">
        <v>0</v>
      </c>
      <c r="F245" s="67" t="n">
        <v>0</v>
      </c>
      <c r="G245" s="67" t="n">
        <v>0</v>
      </c>
      <c r="H245" s="67" t="n">
        <v>0</v>
      </c>
      <c r="I245" s="67" t="n">
        <v>0</v>
      </c>
      <c r="J245" s="67" t="n">
        <v>0</v>
      </c>
      <c r="K245" s="67" t="n">
        <v>0</v>
      </c>
      <c r="L245" s="67" t="n">
        <v>0</v>
      </c>
      <c r="M245" s="67" t="n">
        <v>0</v>
      </c>
      <c r="N245" s="67" t="n">
        <v>0</v>
      </c>
      <c r="O245" s="67" t="n">
        <v>0</v>
      </c>
      <c r="P245" s="67" t="n">
        <v>0</v>
      </c>
      <c r="Q245" s="66" t="inlineStr">
        <is>
          <t>Greenfield</t>
        </is>
      </c>
      <c r="Z245" s="66">
        <f>"LARGE|"&amp;A245</f>
        <v/>
      </c>
      <c r="AA245" s="66">
        <f>Q245&amp;"|"&amp;Z245</f>
        <v/>
      </c>
    </row>
    <row r="246" ht="15" customHeight="1" s="39">
      <c r="A246" s="67" t="inlineStr">
        <is>
          <t>TM</t>
        </is>
      </c>
      <c r="B246" s="67" t="n">
        <v>147</v>
      </c>
      <c r="C246" s="67" t="n">
        <v>5</v>
      </c>
      <c r="D246" s="67" t="n">
        <v>4</v>
      </c>
      <c r="E246" s="67" t="n">
        <v>3</v>
      </c>
      <c r="F246" s="67" t="n">
        <v>6</v>
      </c>
      <c r="G246" s="67" t="n">
        <v>2</v>
      </c>
      <c r="H246" s="67" t="n">
        <v>4</v>
      </c>
      <c r="I246" s="67" t="n">
        <v>15</v>
      </c>
      <c r="J246" s="67" t="n">
        <v>15</v>
      </c>
      <c r="K246" s="67" t="n">
        <v>2</v>
      </c>
      <c r="L246" s="67" t="n">
        <v>2</v>
      </c>
      <c r="M246" s="67" t="n">
        <v>6</v>
      </c>
      <c r="N246" s="67" t="n">
        <v>8</v>
      </c>
      <c r="O246" s="67" t="n">
        <v>0</v>
      </c>
      <c r="P246" s="67" t="n">
        <v>0</v>
      </c>
      <c r="Q246" s="66" t="inlineStr">
        <is>
          <t>Greenfield</t>
        </is>
      </c>
      <c r="Z246" s="66">
        <f>"LARGE|"&amp;A246</f>
        <v/>
      </c>
      <c r="AA246" s="66">
        <f>Q246&amp;"|"&amp;Z246</f>
        <v/>
      </c>
    </row>
    <row r="247" ht="15" customHeight="1" s="39">
      <c r="A247" s="67" t="inlineStr">
        <is>
          <t>PPDS</t>
        </is>
      </c>
      <c r="B247" s="67" t="n">
        <v>147</v>
      </c>
      <c r="C247" s="67" t="n">
        <v>4</v>
      </c>
      <c r="D247" s="67" t="n">
        <v>3</v>
      </c>
      <c r="E247" s="67" t="n">
        <v>5</v>
      </c>
      <c r="F247" s="67" t="n">
        <v>5</v>
      </c>
      <c r="G247" s="67" t="n">
        <v>1</v>
      </c>
      <c r="H247" s="67" t="n">
        <v>2</v>
      </c>
      <c r="I247" s="67" t="n">
        <v>15</v>
      </c>
      <c r="J247" s="67" t="n">
        <v>15</v>
      </c>
      <c r="K247" s="67" t="n">
        <v>1</v>
      </c>
      <c r="L247" s="67" t="n">
        <v>1</v>
      </c>
      <c r="M247" s="67" t="n">
        <v>3</v>
      </c>
      <c r="N247" s="67" t="n">
        <v>3</v>
      </c>
      <c r="O247" s="67" t="n">
        <v>0</v>
      </c>
      <c r="P247" s="67" t="n">
        <v>0</v>
      </c>
      <c r="Q247" s="66" t="inlineStr">
        <is>
          <t>Greenfield</t>
        </is>
      </c>
      <c r="Z247" s="66">
        <f>"LARGE|"&amp;A247</f>
        <v/>
      </c>
      <c r="AA247" s="66">
        <f>Q247&amp;"|"&amp;Z247</f>
        <v/>
      </c>
    </row>
    <row r="248" ht="15" customHeight="1" s="39">
      <c r="A248" s="67" t="inlineStr">
        <is>
          <t>ABAP</t>
        </is>
      </c>
      <c r="B248" s="67" t="n">
        <v>0</v>
      </c>
      <c r="C248" s="67" t="n">
        <v>0</v>
      </c>
      <c r="D248" s="67" t="n">
        <v>0</v>
      </c>
      <c r="E248" s="67" t="n">
        <v>0</v>
      </c>
      <c r="F248" s="67" t="n">
        <v>0</v>
      </c>
      <c r="G248" s="67" t="n">
        <v>0</v>
      </c>
      <c r="H248" s="67" t="n">
        <v>0</v>
      </c>
      <c r="I248" s="67" t="n">
        <v>0</v>
      </c>
      <c r="J248" s="67" t="n">
        <v>0</v>
      </c>
      <c r="K248" s="67" t="n">
        <v>0</v>
      </c>
      <c r="L248" s="67" t="n">
        <v>0</v>
      </c>
      <c r="M248" s="67" t="n">
        <v>0</v>
      </c>
      <c r="N248" s="67" t="n">
        <v>0</v>
      </c>
      <c r="O248" s="67" t="n">
        <v>0</v>
      </c>
      <c r="P248" s="67" t="n">
        <v>0</v>
      </c>
      <c r="Q248" s="66" t="inlineStr">
        <is>
          <t>Greenfield</t>
        </is>
      </c>
      <c r="Z248" s="66">
        <f>"LARGE|"&amp;A248</f>
        <v/>
      </c>
      <c r="AA248" s="66">
        <f>Q248&amp;"|"&amp;Z248</f>
        <v/>
      </c>
    </row>
    <row r="249" ht="15" customHeight="1" s="39">
      <c r="A249" s="67" t="inlineStr">
        <is>
          <t>BASIS</t>
        </is>
      </c>
      <c r="B249" s="67" t="n">
        <v>0</v>
      </c>
      <c r="C249" s="67" t="n">
        <v>0</v>
      </c>
      <c r="D249" s="67" t="n">
        <v>0</v>
      </c>
      <c r="E249" s="67" t="n">
        <v>0</v>
      </c>
      <c r="F249" s="67" t="n">
        <v>0</v>
      </c>
      <c r="G249" s="67" t="n">
        <v>0</v>
      </c>
      <c r="H249" s="67" t="n">
        <v>0</v>
      </c>
      <c r="I249" s="67" t="n">
        <v>0</v>
      </c>
      <c r="J249" s="67" t="n">
        <v>0</v>
      </c>
      <c r="K249" s="67" t="n">
        <v>0</v>
      </c>
      <c r="L249" s="67" t="n">
        <v>0</v>
      </c>
      <c r="M249" s="67" t="n">
        <v>0</v>
      </c>
      <c r="N249" s="67" t="n">
        <v>0</v>
      </c>
      <c r="O249" s="67" t="n">
        <v>0</v>
      </c>
      <c r="P249" s="67" t="n">
        <v>0</v>
      </c>
      <c r="Q249" s="66" t="inlineStr">
        <is>
          <t>Greenfield</t>
        </is>
      </c>
      <c r="Z249" s="66">
        <f>"LARGE|"&amp;A249</f>
        <v/>
      </c>
      <c r="AA249" s="66">
        <f>Q249&amp;"|"&amp;Z249</f>
        <v/>
      </c>
    </row>
    <row r="250" ht="15" customHeight="1" s="39">
      <c r="A250" s="67" t="inlineStr">
        <is>
          <t>E-Fatura/Arşiv</t>
        </is>
      </c>
      <c r="B250" s="67" t="n">
        <v>5</v>
      </c>
      <c r="C250" s="67" t="n">
        <v>2</v>
      </c>
      <c r="D250" s="67" t="n">
        <v>0</v>
      </c>
      <c r="E250" s="67" t="n">
        <v>2</v>
      </c>
      <c r="F250" s="67" t="n">
        <v>2</v>
      </c>
      <c r="G250" s="67" t="n">
        <v>1</v>
      </c>
      <c r="H250" s="67" t="n">
        <v>1</v>
      </c>
      <c r="I250" s="67" t="n">
        <v>3</v>
      </c>
      <c r="J250" s="67" t="n">
        <v>3</v>
      </c>
      <c r="K250" s="67" t="n">
        <v>0</v>
      </c>
      <c r="L250" s="67" t="n">
        <v>1</v>
      </c>
      <c r="M250" s="67" t="n">
        <v>1</v>
      </c>
      <c r="N250" s="67" t="n">
        <v>0</v>
      </c>
      <c r="O250" s="67" t="n">
        <v>0</v>
      </c>
      <c r="P250" s="67" t="n">
        <v>0</v>
      </c>
      <c r="Q250" s="66" t="inlineStr">
        <is>
          <t>Greenfield</t>
        </is>
      </c>
      <c r="Z250" s="66">
        <f>"LARGE|"&amp;A250</f>
        <v/>
      </c>
      <c r="AA250" s="66">
        <f>Q250&amp;"|"&amp;Z250</f>
        <v/>
      </c>
    </row>
    <row r="251" ht="15" customHeight="1" s="39">
      <c r="A251" s="67" t="inlineStr">
        <is>
          <t>E-İrsaliye</t>
        </is>
      </c>
      <c r="B251" s="67" t="n">
        <v>5</v>
      </c>
      <c r="C251" s="67" t="n">
        <v>2</v>
      </c>
      <c r="D251" s="67" t="n">
        <v>0</v>
      </c>
      <c r="E251" s="67" t="n">
        <v>2</v>
      </c>
      <c r="F251" s="67" t="n">
        <v>2</v>
      </c>
      <c r="G251" s="67" t="n">
        <v>1</v>
      </c>
      <c r="H251" s="67" t="n">
        <v>1</v>
      </c>
      <c r="I251" s="67" t="n">
        <v>3</v>
      </c>
      <c r="J251" s="67" t="n">
        <v>3</v>
      </c>
      <c r="K251" s="67" t="n">
        <v>0</v>
      </c>
      <c r="L251" s="67" t="n">
        <v>1</v>
      </c>
      <c r="M251" s="67" t="n">
        <v>1</v>
      </c>
      <c r="N251" s="67" t="n">
        <v>0</v>
      </c>
      <c r="O251" s="67" t="n">
        <v>0</v>
      </c>
      <c r="P251" s="67" t="n">
        <v>0</v>
      </c>
      <c r="Q251" s="66" t="inlineStr">
        <is>
          <t>Greenfield</t>
        </is>
      </c>
      <c r="Z251" s="66">
        <f>"LARGE|"&amp;A251</f>
        <v/>
      </c>
      <c r="AA251" s="66">
        <f>Q251&amp;"|"&amp;Z251</f>
        <v/>
      </c>
    </row>
    <row r="252" ht="15" customHeight="1" s="39">
      <c r="A252" s="67" t="inlineStr">
        <is>
          <t>E-Defter</t>
        </is>
      </c>
      <c r="B252" s="67" t="n">
        <v>3</v>
      </c>
      <c r="C252" s="67" t="n">
        <v>2</v>
      </c>
      <c r="D252" s="67" t="n">
        <v>0</v>
      </c>
      <c r="E252" s="67" t="n">
        <v>3</v>
      </c>
      <c r="F252" s="67" t="n">
        <v>3</v>
      </c>
      <c r="G252" s="67" t="n">
        <v>1</v>
      </c>
      <c r="H252" s="67" t="n">
        <v>1</v>
      </c>
      <c r="I252" s="67" t="n">
        <v>0</v>
      </c>
      <c r="J252" s="67" t="n">
        <v>0</v>
      </c>
      <c r="K252" s="67" t="n">
        <v>0</v>
      </c>
      <c r="L252" s="67" t="n">
        <v>3</v>
      </c>
      <c r="M252" s="67" t="n">
        <v>1</v>
      </c>
      <c r="N252" s="67" t="n">
        <v>0</v>
      </c>
      <c r="O252" s="67" t="n">
        <v>0</v>
      </c>
      <c r="P252" s="67" t="n">
        <v>0</v>
      </c>
      <c r="Q252" s="66" t="inlineStr">
        <is>
          <t>Greenfield</t>
        </is>
      </c>
      <c r="Z252" s="66">
        <f>"LARGE|"&amp;A252</f>
        <v/>
      </c>
      <c r="AA252" s="66">
        <f>Q252&amp;"|"&amp;Z252</f>
        <v/>
      </c>
    </row>
    <row r="253" ht="15" customHeight="1" s="39">
      <c r="A253" s="67" t="inlineStr">
        <is>
          <t>E-Hesap Özeti</t>
        </is>
      </c>
      <c r="B253" s="67" t="n">
        <v>5</v>
      </c>
      <c r="C253" s="67" t="n">
        <v>3</v>
      </c>
      <c r="D253" s="67" t="n">
        <v>0</v>
      </c>
      <c r="E253" s="67" t="n">
        <v>4</v>
      </c>
      <c r="F253" s="67" t="n">
        <v>3</v>
      </c>
      <c r="G253" s="67" t="n">
        <v>1</v>
      </c>
      <c r="H253" s="67" t="n">
        <v>0</v>
      </c>
      <c r="I253" s="67" t="n">
        <v>3</v>
      </c>
      <c r="J253" s="67" t="n">
        <v>3</v>
      </c>
      <c r="K253" s="67" t="n">
        <v>0</v>
      </c>
      <c r="L253" s="67" t="n">
        <v>2</v>
      </c>
      <c r="M253" s="67" t="n">
        <v>1</v>
      </c>
      <c r="N253" s="67" t="n">
        <v>0</v>
      </c>
      <c r="O253" s="67" t="n">
        <v>0</v>
      </c>
      <c r="P253" s="67" t="n">
        <v>0</v>
      </c>
      <c r="Q253" s="66" t="inlineStr">
        <is>
          <t>Greenfield</t>
        </is>
      </c>
      <c r="Z253" s="66">
        <f>"LARGE|"&amp;A253</f>
        <v/>
      </c>
      <c r="AA253" s="66">
        <f>Q253&amp;"|"&amp;Z253</f>
        <v/>
      </c>
    </row>
    <row r="254" ht="15" customHeight="1" s="39">
      <c r="A254" s="67" t="inlineStr">
        <is>
          <t>E-Ödeme</t>
        </is>
      </c>
      <c r="B254" s="67" t="n">
        <v>5</v>
      </c>
      <c r="C254" s="67" t="n">
        <v>3</v>
      </c>
      <c r="D254" s="67" t="n">
        <v>0</v>
      </c>
      <c r="E254" s="67" t="n">
        <v>4</v>
      </c>
      <c r="F254" s="67" t="n">
        <v>3</v>
      </c>
      <c r="G254" s="67" t="n">
        <v>1</v>
      </c>
      <c r="H254" s="67" t="n">
        <v>0</v>
      </c>
      <c r="I254" s="67" t="n">
        <v>3</v>
      </c>
      <c r="J254" s="67" t="n">
        <v>3</v>
      </c>
      <c r="K254" s="67" t="n">
        <v>0</v>
      </c>
      <c r="L254" s="67" t="n">
        <v>2</v>
      </c>
      <c r="M254" s="67" t="n">
        <v>1</v>
      </c>
      <c r="N254" s="67" t="n">
        <v>0</v>
      </c>
      <c r="O254" s="67" t="n">
        <v>0</v>
      </c>
      <c r="P254" s="67" t="n">
        <v>0</v>
      </c>
      <c r="Q254" s="66" t="inlineStr">
        <is>
          <t>Greenfield</t>
        </is>
      </c>
      <c r="Z254" s="66">
        <f>"LARGE|"&amp;A254</f>
        <v/>
      </c>
      <c r="AA254" s="66">
        <f>Q254&amp;"|"&amp;Z254</f>
        <v/>
      </c>
    </row>
    <row r="255" ht="15" customHeight="1" s="39">
      <c r="A255" s="67" t="inlineStr">
        <is>
          <t>E-Mutabakat</t>
        </is>
      </c>
      <c r="B255" s="67" t="n">
        <v>5</v>
      </c>
      <c r="C255" s="67" t="n">
        <v>3</v>
      </c>
      <c r="D255" s="67" t="n">
        <v>0</v>
      </c>
      <c r="E255" s="67" t="n">
        <v>3</v>
      </c>
      <c r="F255" s="67" t="n">
        <v>3</v>
      </c>
      <c r="G255" s="67" t="n">
        <v>1</v>
      </c>
      <c r="H255" s="67" t="n">
        <v>0</v>
      </c>
      <c r="I255" s="67" t="n">
        <v>3</v>
      </c>
      <c r="J255" s="67" t="n">
        <v>3</v>
      </c>
      <c r="K255" s="67" t="n">
        <v>0</v>
      </c>
      <c r="L255" s="67" t="n">
        <v>2</v>
      </c>
      <c r="M255" s="67" t="n">
        <v>1</v>
      </c>
      <c r="N255" s="67" t="n">
        <v>0</v>
      </c>
      <c r="O255" s="67" t="n">
        <v>0</v>
      </c>
      <c r="P255" s="67" t="n">
        <v>0</v>
      </c>
      <c r="Q255" s="66" t="inlineStr">
        <is>
          <t>Greenfield</t>
        </is>
      </c>
      <c r="Z255" s="66">
        <f>"LARGE|"&amp;A255</f>
        <v/>
      </c>
      <c r="AA255" s="66">
        <f>Q255&amp;"|"&amp;Z255</f>
        <v/>
      </c>
    </row>
    <row r="256" ht="15" customHeight="1" s="39">
      <c r="A256" s="67" t="inlineStr">
        <is>
          <t>E-Beyanname</t>
        </is>
      </c>
      <c r="B256" s="67" t="n">
        <v>6</v>
      </c>
      <c r="C256" s="67" t="n">
        <v>3</v>
      </c>
      <c r="D256" s="67" t="n">
        <v>0</v>
      </c>
      <c r="E256" s="67" t="n">
        <v>6</v>
      </c>
      <c r="F256" s="67" t="n">
        <v>3</v>
      </c>
      <c r="G256" s="67" t="n">
        <v>2</v>
      </c>
      <c r="H256" s="67" t="n">
        <v>0</v>
      </c>
      <c r="I256" s="67" t="n">
        <v>0</v>
      </c>
      <c r="J256" s="67" t="n">
        <v>0</v>
      </c>
      <c r="K256" s="67" t="n">
        <v>0</v>
      </c>
      <c r="L256" s="67" t="n">
        <v>4</v>
      </c>
      <c r="M256" s="67" t="n">
        <v>2</v>
      </c>
      <c r="N256" s="67" t="n">
        <v>0</v>
      </c>
      <c r="O256" s="67" t="n">
        <v>0</v>
      </c>
      <c r="P256" s="67" t="n">
        <v>0</v>
      </c>
      <c r="Q256" s="66" t="inlineStr">
        <is>
          <t>Greenfield</t>
        </is>
      </c>
      <c r="Z256" s="66">
        <f>"LARGE|"&amp;A256</f>
        <v/>
      </c>
      <c r="AA256" s="66">
        <f>Q256&amp;"|"&amp;Z256</f>
        <v/>
      </c>
    </row>
    <row r="257" ht="15" customHeight="1" s="39">
      <c r="A257" s="67" t="inlineStr">
        <is>
          <t>Gelen Fatura Otomasyon</t>
        </is>
      </c>
      <c r="B257" s="67" t="n">
        <v>5</v>
      </c>
      <c r="C257" s="67" t="n">
        <v>2</v>
      </c>
      <c r="D257" s="67" t="n">
        <v>0</v>
      </c>
      <c r="E257" s="67" t="n">
        <v>3</v>
      </c>
      <c r="F257" s="67" t="n">
        <v>4</v>
      </c>
      <c r="G257" s="67" t="n">
        <v>2</v>
      </c>
      <c r="H257" s="67" t="n">
        <v>0</v>
      </c>
      <c r="I257" s="67" t="n">
        <v>2</v>
      </c>
      <c r="J257" s="67" t="n">
        <v>2</v>
      </c>
      <c r="K257" s="67" t="n">
        <v>0</v>
      </c>
      <c r="L257" s="67" t="n">
        <v>4</v>
      </c>
      <c r="M257" s="67" t="n">
        <v>1</v>
      </c>
      <c r="N257" s="67" t="n">
        <v>0</v>
      </c>
      <c r="O257" s="67" t="n">
        <v>0</v>
      </c>
      <c r="P257" s="67" t="n">
        <v>0</v>
      </c>
      <c r="Q257" s="66" t="inlineStr">
        <is>
          <t>Greenfield</t>
        </is>
      </c>
      <c r="Z257" s="66">
        <f>"LARGE|"&amp;A257</f>
        <v/>
      </c>
      <c r="AA257" s="66">
        <f>Q257&amp;"|"&amp;Z257</f>
        <v/>
      </c>
    </row>
    <row r="258" ht="15" customHeight="1" s="39">
      <c r="A258" s="67" t="inlineStr">
        <is>
          <t>GLASSWING</t>
        </is>
      </c>
      <c r="B258" s="67" t="n">
        <v>60</v>
      </c>
      <c r="C258" s="67" t="n">
        <v>6</v>
      </c>
      <c r="D258" s="67" t="n">
        <v>2</v>
      </c>
      <c r="E258" s="67" t="n">
        <v>15</v>
      </c>
      <c r="F258" s="67" t="n">
        <v>10</v>
      </c>
      <c r="G258" s="67" t="n">
        <v>2</v>
      </c>
      <c r="H258" s="67" t="n">
        <v>0</v>
      </c>
      <c r="I258" s="67" t="n">
        <v>25</v>
      </c>
      <c r="J258" s="67" t="n">
        <v>25</v>
      </c>
      <c r="K258" s="67" t="n">
        <v>13</v>
      </c>
      <c r="L258" s="67" t="n">
        <v>2</v>
      </c>
      <c r="M258" s="67" t="n">
        <v>5</v>
      </c>
      <c r="N258" s="67" t="n">
        <v>10</v>
      </c>
      <c r="O258" s="67" t="n">
        <v>0</v>
      </c>
      <c r="P258" s="67" t="n">
        <v>0</v>
      </c>
      <c r="Q258" s="66" t="inlineStr">
        <is>
          <t>Greenfield</t>
        </is>
      </c>
      <c r="Z258" s="66">
        <f>"LARGE|"&amp;A258</f>
        <v/>
      </c>
      <c r="AA258" s="66">
        <f>Q258&amp;"|"&amp;Z258</f>
        <v/>
      </c>
    </row>
    <row r="259" ht="15" customHeight="1" s="39">
      <c r="A259" s="67" t="inlineStr">
        <is>
          <t>COMMODITY</t>
        </is>
      </c>
      <c r="B259" s="67" t="n">
        <v>100</v>
      </c>
      <c r="C259" s="67" t="n">
        <v>9</v>
      </c>
      <c r="D259" s="67" t="n">
        <v>3</v>
      </c>
      <c r="E259" s="67" t="n">
        <v>15</v>
      </c>
      <c r="F259" s="67" t="n">
        <v>15</v>
      </c>
      <c r="G259" s="67" t="n">
        <v>2</v>
      </c>
      <c r="H259" s="67" t="n">
        <v>1</v>
      </c>
      <c r="I259" s="67" t="n">
        <v>30</v>
      </c>
      <c r="J259" s="67" t="n">
        <v>30</v>
      </c>
      <c r="K259" s="67" t="n">
        <v>10</v>
      </c>
      <c r="L259" s="67" t="n">
        <v>2</v>
      </c>
      <c r="M259" s="67" t="n">
        <v>8</v>
      </c>
      <c r="N259" s="67" t="n">
        <v>15</v>
      </c>
      <c r="O259" s="67" t="n">
        <v>0</v>
      </c>
      <c r="P259" s="67" t="n">
        <v>0</v>
      </c>
      <c r="Q259" s="66" t="inlineStr">
        <is>
          <t>Greenfield</t>
        </is>
      </c>
      <c r="Z259" s="66">
        <f>"LARGE|"&amp;A259</f>
        <v/>
      </c>
      <c r="AA259" s="66">
        <f>Q259&amp;"|"&amp;Z259</f>
        <v/>
      </c>
    </row>
    <row r="260" ht="15" customHeight="1" s="39">
      <c r="A260" s="67" t="inlineStr">
        <is>
          <t>Dış Ticaret Çözümü</t>
        </is>
      </c>
      <c r="B260" s="67" t="n">
        <v>0</v>
      </c>
      <c r="C260" s="67" t="n">
        <v>0</v>
      </c>
      <c r="D260" s="67" t="n">
        <v>0</v>
      </c>
      <c r="E260" s="67" t="n">
        <v>0</v>
      </c>
      <c r="F260" s="67" t="n">
        <v>0</v>
      </c>
      <c r="G260" s="67" t="n">
        <v>0</v>
      </c>
      <c r="H260" s="67" t="n">
        <v>0</v>
      </c>
      <c r="I260" s="67" t="n">
        <v>0</v>
      </c>
      <c r="J260" s="67" t="n">
        <v>0</v>
      </c>
      <c r="K260" s="67" t="n">
        <v>0</v>
      </c>
      <c r="L260" s="67" t="n">
        <v>0</v>
      </c>
      <c r="M260" s="67" t="n">
        <v>0</v>
      </c>
      <c r="N260" s="67" t="n">
        <v>0</v>
      </c>
      <c r="O260" s="67" t="n">
        <v>0</v>
      </c>
      <c r="P260" s="67" t="n">
        <v>0</v>
      </c>
      <c r="Q260" s="66" t="inlineStr">
        <is>
          <t>Greenfield</t>
        </is>
      </c>
      <c r="Z260" s="66">
        <f>"LARGE|"&amp;A260</f>
        <v/>
      </c>
      <c r="AA260" s="66">
        <f>Q260&amp;"|"&amp;Z260</f>
        <v/>
      </c>
    </row>
    <row r="261" ht="15" customHeight="1" s="39">
      <c r="A261" s="67" t="inlineStr">
        <is>
          <t>Seyahat ve Masraf Yönetimi</t>
        </is>
      </c>
      <c r="B261" s="67" t="n">
        <v>0</v>
      </c>
      <c r="C261" s="67" t="n">
        <v>0</v>
      </c>
      <c r="D261" s="67" t="n">
        <v>0</v>
      </c>
      <c r="E261" s="67" t="n">
        <v>0</v>
      </c>
      <c r="F261" s="67" t="n">
        <v>0</v>
      </c>
      <c r="G261" s="67" t="n">
        <v>0</v>
      </c>
      <c r="H261" s="67" t="n">
        <v>0</v>
      </c>
      <c r="I261" s="67" t="n">
        <v>0</v>
      </c>
      <c r="J261" s="67" t="n">
        <v>0</v>
      </c>
      <c r="K261" s="67" t="n">
        <v>0</v>
      </c>
      <c r="L261" s="67" t="n">
        <v>0</v>
      </c>
      <c r="M261" s="67" t="n">
        <v>0</v>
      </c>
      <c r="N261" s="67" t="n">
        <v>0</v>
      </c>
      <c r="O261" s="67" t="n">
        <v>0</v>
      </c>
      <c r="P261" s="67" t="n">
        <v>0</v>
      </c>
      <c r="Q261" s="66" t="inlineStr">
        <is>
          <t>Greenfield</t>
        </is>
      </c>
      <c r="Z261" s="66">
        <f>"LARGE|"&amp;A261</f>
        <v/>
      </c>
      <c r="AA261" s="66">
        <f>Q261&amp;"|"&amp;Z261</f>
        <v/>
      </c>
    </row>
    <row r="262" ht="15" customHeight="1" s="39">
      <c r="A262" s="67" t="inlineStr">
        <is>
          <t>NTT Data POS</t>
        </is>
      </c>
      <c r="B262" s="67" t="n">
        <v>0</v>
      </c>
      <c r="C262" s="67" t="n">
        <v>0</v>
      </c>
      <c r="D262" s="67" t="n">
        <v>0</v>
      </c>
      <c r="E262" s="67" t="n">
        <v>0</v>
      </c>
      <c r="F262" s="67" t="n">
        <v>0</v>
      </c>
      <c r="G262" s="67" t="n">
        <v>0</v>
      </c>
      <c r="H262" s="67" t="n">
        <v>0</v>
      </c>
      <c r="I262" s="67" t="n">
        <v>0</v>
      </c>
      <c r="J262" s="67" t="n">
        <v>0</v>
      </c>
      <c r="K262" s="67" t="n">
        <v>0</v>
      </c>
      <c r="L262" s="67" t="n">
        <v>0</v>
      </c>
      <c r="M262" s="67" t="n">
        <v>0</v>
      </c>
      <c r="N262" s="67" t="n">
        <v>0</v>
      </c>
      <c r="O262" s="67" t="n">
        <v>0</v>
      </c>
      <c r="P262" s="67" t="n">
        <v>0</v>
      </c>
      <c r="Q262" s="66" t="inlineStr">
        <is>
          <t>Greenfield</t>
        </is>
      </c>
      <c r="Z262" s="66">
        <f>"LARGE|"&amp;A262</f>
        <v/>
      </c>
      <c r="AA262" s="66">
        <f>Q262&amp;"|"&amp;Z262</f>
        <v/>
      </c>
    </row>
    <row r="264" ht="15" customHeight="1" s="39">
      <c r="A264" s="68" t="inlineStr">
        <is>
          <t>X-LARGE</t>
        </is>
      </c>
      <c r="Q264" s="68" t="inlineStr">
        <is>
          <t>Greenfield</t>
        </is>
      </c>
    </row>
    <row r="265" ht="15" customHeight="1" s="39">
      <c r="A265" s="67">
        <f>INDEX(Translations!$D:$ZZ, MATCH(74,Translations!$A:$A,0), MATCH('Project Information'!$C$4,Translations!$D$1:$ZZ$1,0))</f>
        <v/>
      </c>
      <c r="B265" s="67">
        <f>INDEX(Translations!$D:$ZZ, MATCH(75,Translations!$A:$A,0), MATCH('Project Information'!$C$4,Translations!$D$1:$ZZ$1,0))</f>
        <v/>
      </c>
      <c r="C265" s="67">
        <f>INDEX(Translations!$D:$ZZ, MATCH(76,Translations!$A:$A,0), MATCH('Project Information'!$C$4,Translations!$D$1:$ZZ$1,0))</f>
        <v/>
      </c>
      <c r="D265" s="67">
        <f>INDEX(Translations!$D:$ZZ, MATCH(77,Translations!$A:$A,0), MATCH('Project Information'!$C$4,Translations!$D$1:$ZZ$1,0))</f>
        <v/>
      </c>
      <c r="E265" s="67">
        <f>INDEX(Translations!$D:$ZZ, MATCH(78,Translations!$A:$A,0), MATCH('Project Information'!$C$4,Translations!$D$1:$ZZ$1,0))</f>
        <v/>
      </c>
      <c r="F265" s="67">
        <f>INDEX(Translations!$D:$ZZ, MATCH(79,Translations!$A:$A,0), MATCH('Project Information'!$C$4,Translations!$D$1:$ZZ$1,0))</f>
        <v/>
      </c>
      <c r="G265" s="67">
        <f>INDEX(Translations!$D:$ZZ, MATCH(80,Translations!$A:$A,0), MATCH('Project Information'!$C$4,Translations!$D$1:$ZZ$1,0))</f>
        <v/>
      </c>
      <c r="H265" s="67">
        <f>INDEX(Translations!$D:$ZZ, MATCH(81,Translations!$A:$A,0), MATCH('Project Information'!$C$4,Translations!$D$1:$ZZ$1,0))</f>
        <v/>
      </c>
      <c r="I265" s="67">
        <f>INDEX(Translations!$D:$ZZ, MATCH(82,Translations!$A:$A,0), MATCH('Project Information'!$C$4,Translations!$D$1:$ZZ$1,0))</f>
        <v/>
      </c>
      <c r="J265" s="67">
        <f>INDEX(Translations!$D:$ZZ, MATCH(83,Translations!$A:$A,0), MATCH('Project Information'!$C$4,Translations!$D$1:$ZZ$1,0))</f>
        <v/>
      </c>
      <c r="K265" s="67">
        <f>INDEX(Translations!$D:$ZZ, MATCH(84,Translations!$A:$A,0), MATCH('Project Information'!$C$4,Translations!$D$1:$ZZ$1,0))</f>
        <v/>
      </c>
      <c r="L265" s="67">
        <f>INDEX(Translations!$D:$ZZ, MATCH(85,Translations!$A:$A,0), MATCH('Project Information'!$C$4,Translations!$D$1:$ZZ$1,0))</f>
        <v/>
      </c>
      <c r="M265" s="67">
        <f>INDEX(Translations!$D:$ZZ, MATCH(86,Translations!$A:$A,0), MATCH('Project Information'!$C$4,Translations!$D$1:$ZZ$1,0))</f>
        <v/>
      </c>
      <c r="N265" s="67">
        <f>INDEX(Translations!$D:$ZZ, MATCH(87,Translations!$A:$A,0), MATCH('Project Information'!$C$4,Translations!$D$1:$ZZ$1,0))</f>
        <v/>
      </c>
      <c r="O265" s="67">
        <f>INDEX(Translations!$D:$ZZ, MATCH(88,Translations!$A:$A,0), MATCH('Project Information'!$C$4,Translations!$D$1:$ZZ$1,0))</f>
        <v/>
      </c>
      <c r="P265" s="67">
        <f>INDEX(Translations!$D:$ZZ, MATCH(89,Translations!$A:$A,0), MATCH('Project Information'!$C$4,Translations!$D$1:$ZZ$1,0))</f>
        <v/>
      </c>
      <c r="Q265" s="67" t="inlineStr">
        <is>
          <t>Implementation Type</t>
        </is>
      </c>
      <c r="Z265" s="67">
        <f>INDEX(Translations!$D:$ZZ, MATCH(93,Translations!$A:$A,0), MATCH('Project Information'!$C$4,Translations!$D$1:$ZZ$1,0))</f>
        <v/>
      </c>
      <c r="AA265" s="67" t="inlineStr">
        <is>
          <t>Implementation Key</t>
        </is>
      </c>
    </row>
    <row r="266" ht="15" customHeight="1" s="39">
      <c r="A266" s="67" t="inlineStr">
        <is>
          <t>FI</t>
        </is>
      </c>
      <c r="B266" s="67" t="n">
        <v>245</v>
      </c>
      <c r="C266" s="67" t="n">
        <v>10</v>
      </c>
      <c r="D266" s="67" t="n">
        <v>5</v>
      </c>
      <c r="E266" s="67" t="n">
        <v>5</v>
      </c>
      <c r="F266" s="67" t="n">
        <v>5</v>
      </c>
      <c r="G266" s="67" t="n">
        <v>2</v>
      </c>
      <c r="H266" s="67" t="n">
        <v>3</v>
      </c>
      <c r="I266" s="67" t="n">
        <v>28</v>
      </c>
      <c r="J266" s="67" t="n">
        <v>28</v>
      </c>
      <c r="K266" s="67" t="n">
        <v>3</v>
      </c>
      <c r="L266" s="67" t="n">
        <v>2</v>
      </c>
      <c r="M266" s="67" t="n">
        <v>15</v>
      </c>
      <c r="N266" s="67" t="n">
        <v>15</v>
      </c>
      <c r="O266" s="67" t="n">
        <v>0</v>
      </c>
      <c r="P266" s="67" t="n">
        <v>0</v>
      </c>
      <c r="Q266" s="66" t="inlineStr">
        <is>
          <t>Greenfield</t>
        </is>
      </c>
      <c r="Z266" s="66">
        <f>"X-LARGE|"&amp;A266</f>
        <v/>
      </c>
      <c r="AA266" s="66">
        <f>Q266&amp;"|"&amp;Z266</f>
        <v/>
      </c>
    </row>
    <row r="267" ht="15" customHeight="1" s="39">
      <c r="A267" s="67" t="inlineStr">
        <is>
          <t>CO</t>
        </is>
      </c>
      <c r="B267" s="67" t="n">
        <v>245</v>
      </c>
      <c r="C267" s="67" t="n">
        <v>10</v>
      </c>
      <c r="D267" s="67" t="n">
        <v>5</v>
      </c>
      <c r="E267" s="67" t="n">
        <v>4</v>
      </c>
      <c r="F267" s="67" t="n">
        <v>5</v>
      </c>
      <c r="G267" s="67" t="n">
        <v>2</v>
      </c>
      <c r="H267" s="67" t="n">
        <v>2</v>
      </c>
      <c r="I267" s="67" t="n">
        <v>28</v>
      </c>
      <c r="J267" s="67" t="n">
        <v>28</v>
      </c>
      <c r="K267" s="67" t="n">
        <v>3</v>
      </c>
      <c r="L267" s="67" t="n">
        <v>2</v>
      </c>
      <c r="M267" s="67" t="n">
        <v>10</v>
      </c>
      <c r="N267" s="67" t="n">
        <v>10</v>
      </c>
      <c r="O267" s="67" t="n">
        <v>0</v>
      </c>
      <c r="P267" s="67" t="n">
        <v>0</v>
      </c>
      <c r="Q267" s="66" t="inlineStr">
        <is>
          <t>Greenfield</t>
        </is>
      </c>
      <c r="Z267" s="66">
        <f>"X-LARGE|"&amp;A267</f>
        <v/>
      </c>
      <c r="AA267" s="66">
        <f>Q267&amp;"|"&amp;Z267</f>
        <v/>
      </c>
    </row>
    <row r="268" ht="15" customHeight="1" s="39">
      <c r="A268" s="67" t="inlineStr">
        <is>
          <t>TRM</t>
        </is>
      </c>
      <c r="B268" s="67" t="n">
        <v>100</v>
      </c>
      <c r="C268" s="67" t="n">
        <v>4</v>
      </c>
      <c r="D268" s="67" t="n">
        <v>2</v>
      </c>
      <c r="E268" s="67" t="n">
        <v>2</v>
      </c>
      <c r="F268" s="67" t="n">
        <v>3</v>
      </c>
      <c r="G268" s="67" t="n">
        <v>1</v>
      </c>
      <c r="H268" s="67" t="n">
        <v>1</v>
      </c>
      <c r="I268" s="67" t="n">
        <v>10</v>
      </c>
      <c r="J268" s="67" t="n">
        <v>10</v>
      </c>
      <c r="K268" s="67" t="n">
        <v>1</v>
      </c>
      <c r="L268" s="67" t="n">
        <v>1</v>
      </c>
      <c r="M268" s="67" t="n">
        <v>10</v>
      </c>
      <c r="N268" s="67" t="n">
        <v>10</v>
      </c>
      <c r="O268" s="67" t="n">
        <v>0</v>
      </c>
      <c r="P268" s="67" t="n">
        <v>0</v>
      </c>
      <c r="Q268" s="66" t="inlineStr">
        <is>
          <t>Greenfield</t>
        </is>
      </c>
      <c r="Z268" s="66">
        <f>"X-LARGE|"&amp;A268</f>
        <v/>
      </c>
      <c r="AA268" s="66">
        <f>Q268&amp;"|"&amp;Z268</f>
        <v/>
      </c>
    </row>
    <row r="269" ht="15" customHeight="1" s="39">
      <c r="A269" s="67" t="inlineStr">
        <is>
          <t>CM</t>
        </is>
      </c>
      <c r="B269" s="67" t="n">
        <v>100</v>
      </c>
      <c r="C269" s="67" t="n">
        <v>3</v>
      </c>
      <c r="D269" s="67" t="n">
        <v>2</v>
      </c>
      <c r="E269" s="67" t="n">
        <v>2</v>
      </c>
      <c r="F269" s="67" t="n">
        <v>3</v>
      </c>
      <c r="G269" s="67" t="n">
        <v>1</v>
      </c>
      <c r="H269" s="67" t="n">
        <v>1</v>
      </c>
      <c r="I269" s="67" t="n">
        <v>10</v>
      </c>
      <c r="J269" s="67" t="n">
        <v>10</v>
      </c>
      <c r="K269" s="67" t="n">
        <v>1</v>
      </c>
      <c r="L269" s="67" t="n">
        <v>1</v>
      </c>
      <c r="M269" s="67" t="n">
        <v>5</v>
      </c>
      <c r="N269" s="67" t="n">
        <v>5</v>
      </c>
      <c r="O269" s="67" t="n">
        <v>0</v>
      </c>
      <c r="P269" s="67" t="n">
        <v>0</v>
      </c>
      <c r="Q269" s="66" t="inlineStr">
        <is>
          <t>Greenfield</t>
        </is>
      </c>
      <c r="Z269" s="66">
        <f>"X-LARGE|"&amp;A269</f>
        <v/>
      </c>
      <c r="AA269" s="66">
        <f>Q269&amp;"|"&amp;Z269</f>
        <v/>
      </c>
    </row>
    <row r="270" ht="15" customHeight="1" s="39">
      <c r="A270" s="67" t="inlineStr">
        <is>
          <t>FM</t>
        </is>
      </c>
      <c r="B270" s="67" t="n">
        <v>100</v>
      </c>
      <c r="C270" s="67" t="n">
        <v>3</v>
      </c>
      <c r="D270" s="67" t="n">
        <v>2</v>
      </c>
      <c r="E270" s="67" t="n">
        <v>2</v>
      </c>
      <c r="F270" s="67" t="n">
        <v>3</v>
      </c>
      <c r="G270" s="67" t="n">
        <v>1</v>
      </c>
      <c r="H270" s="67" t="n">
        <v>1</v>
      </c>
      <c r="I270" s="67" t="n">
        <v>10</v>
      </c>
      <c r="J270" s="67" t="n">
        <v>10</v>
      </c>
      <c r="K270" s="67" t="n">
        <v>1</v>
      </c>
      <c r="L270" s="67" t="n">
        <v>1</v>
      </c>
      <c r="M270" s="67" t="n">
        <v>5</v>
      </c>
      <c r="N270" s="67" t="n">
        <v>5</v>
      </c>
      <c r="O270" s="67" t="n">
        <v>0</v>
      </c>
      <c r="P270" s="67" t="n">
        <v>0</v>
      </c>
      <c r="Q270" s="66" t="inlineStr">
        <is>
          <t>Greenfield</t>
        </is>
      </c>
      <c r="Z270" s="66">
        <f>"X-LARGE|"&amp;A270</f>
        <v/>
      </c>
      <c r="AA270" s="66">
        <f>Q270&amp;"|"&amp;Z270</f>
        <v/>
      </c>
    </row>
    <row r="271" ht="15" customHeight="1" s="39">
      <c r="A271" s="67" t="inlineStr">
        <is>
          <t>RM</t>
        </is>
      </c>
      <c r="B271" s="67" t="n">
        <v>0</v>
      </c>
      <c r="C271" s="67" t="n">
        <v>0</v>
      </c>
      <c r="D271" s="67" t="n">
        <v>0</v>
      </c>
      <c r="E271" s="67" t="n">
        <v>0</v>
      </c>
      <c r="F271" s="67" t="n">
        <v>0</v>
      </c>
      <c r="G271" s="67" t="n">
        <v>0</v>
      </c>
      <c r="H271" s="67" t="n">
        <v>0</v>
      </c>
      <c r="I271" s="67" t="n">
        <v>0</v>
      </c>
      <c r="J271" s="67" t="n">
        <v>0</v>
      </c>
      <c r="K271" s="67" t="n">
        <v>0</v>
      </c>
      <c r="L271" s="67" t="n">
        <v>0</v>
      </c>
      <c r="M271" s="67" t="n">
        <v>0</v>
      </c>
      <c r="N271" s="67" t="n">
        <v>0</v>
      </c>
      <c r="O271" s="67" t="n">
        <v>0</v>
      </c>
      <c r="P271" s="67" t="n">
        <v>0</v>
      </c>
      <c r="Q271" s="66" t="inlineStr">
        <is>
          <t>Greenfield</t>
        </is>
      </c>
      <c r="Z271" s="66">
        <f>"X-LARGE|"&amp;A271</f>
        <v/>
      </c>
      <c r="AA271" s="66">
        <f>Q271&amp;"|"&amp;Z271</f>
        <v/>
      </c>
    </row>
    <row r="272" ht="15" customHeight="1" s="39">
      <c r="A272" s="67" t="inlineStr">
        <is>
          <t>RE/FX</t>
        </is>
      </c>
      <c r="B272" s="67" t="n">
        <v>0</v>
      </c>
      <c r="C272" s="67" t="n">
        <v>0</v>
      </c>
      <c r="D272" s="67" t="n">
        <v>0</v>
      </c>
      <c r="E272" s="67" t="n">
        <v>0</v>
      </c>
      <c r="F272" s="67" t="n">
        <v>0</v>
      </c>
      <c r="G272" s="67" t="n">
        <v>0</v>
      </c>
      <c r="H272" s="67" t="n">
        <v>0</v>
      </c>
      <c r="I272" s="67" t="n">
        <v>0</v>
      </c>
      <c r="J272" s="67" t="n">
        <v>0</v>
      </c>
      <c r="K272" s="67" t="n">
        <v>0</v>
      </c>
      <c r="L272" s="67" t="n">
        <v>0</v>
      </c>
      <c r="M272" s="67" t="n">
        <v>0</v>
      </c>
      <c r="N272" s="67" t="n">
        <v>0</v>
      </c>
      <c r="O272" s="67" t="n">
        <v>0</v>
      </c>
      <c r="P272" s="67" t="n">
        <v>0</v>
      </c>
      <c r="Q272" s="66" t="inlineStr">
        <is>
          <t>Greenfield</t>
        </is>
      </c>
      <c r="Z272" s="66">
        <f>"X-LARGE|"&amp;A272</f>
        <v/>
      </c>
      <c r="AA272" s="66">
        <f>Q272&amp;"|"&amp;Z272</f>
        <v/>
      </c>
    </row>
    <row r="273" ht="15" customHeight="1" s="39">
      <c r="A273" s="67" t="inlineStr">
        <is>
          <t>MM</t>
        </is>
      </c>
      <c r="B273" s="67" t="n">
        <v>245</v>
      </c>
      <c r="C273" s="67" t="n">
        <v>10</v>
      </c>
      <c r="D273" s="67" t="n">
        <v>5</v>
      </c>
      <c r="E273" s="67" t="n">
        <v>5</v>
      </c>
      <c r="F273" s="67" t="n">
        <v>5</v>
      </c>
      <c r="G273" s="67" t="n">
        <v>2</v>
      </c>
      <c r="H273" s="67" t="n">
        <v>7</v>
      </c>
      <c r="I273" s="67" t="n">
        <v>28</v>
      </c>
      <c r="J273" s="67" t="n">
        <v>28</v>
      </c>
      <c r="K273" s="67" t="n">
        <v>3</v>
      </c>
      <c r="L273" s="67" t="n">
        <v>2</v>
      </c>
      <c r="M273" s="67" t="n">
        <v>20</v>
      </c>
      <c r="N273" s="67" t="n">
        <v>20</v>
      </c>
      <c r="O273" s="67" t="n">
        <v>0</v>
      </c>
      <c r="P273" s="67" t="n">
        <v>0</v>
      </c>
      <c r="Q273" s="66" t="inlineStr">
        <is>
          <t>Greenfield</t>
        </is>
      </c>
      <c r="Z273" s="66">
        <f>"X-LARGE|"&amp;A273</f>
        <v/>
      </c>
      <c r="AA273" s="66">
        <f>Q273&amp;"|"&amp;Z273</f>
        <v/>
      </c>
    </row>
    <row r="274" ht="15" customHeight="1" s="39">
      <c r="A274" s="67" t="inlineStr">
        <is>
          <t>PP</t>
        </is>
      </c>
      <c r="B274" s="67" t="n">
        <v>245</v>
      </c>
      <c r="C274" s="67" t="n">
        <v>10</v>
      </c>
      <c r="D274" s="67" t="n">
        <v>5</v>
      </c>
      <c r="E274" s="67" t="n">
        <v>5</v>
      </c>
      <c r="F274" s="67" t="n">
        <v>5</v>
      </c>
      <c r="G274" s="67" t="n">
        <v>2</v>
      </c>
      <c r="H274" s="67" t="n">
        <v>7</v>
      </c>
      <c r="I274" s="67" t="n">
        <v>28</v>
      </c>
      <c r="J274" s="67" t="n">
        <v>28</v>
      </c>
      <c r="K274" s="67" t="n">
        <v>3</v>
      </c>
      <c r="L274" s="67" t="n">
        <v>2</v>
      </c>
      <c r="M274" s="67" t="n">
        <v>20</v>
      </c>
      <c r="N274" s="67" t="n">
        <v>20</v>
      </c>
      <c r="O274" s="67" t="n">
        <v>0</v>
      </c>
      <c r="P274" s="67" t="n">
        <v>0</v>
      </c>
      <c r="Q274" s="66" t="inlineStr">
        <is>
          <t>Greenfield</t>
        </is>
      </c>
      <c r="Z274" s="66">
        <f>"X-LARGE|"&amp;A274</f>
        <v/>
      </c>
      <c r="AA274" s="66">
        <f>Q274&amp;"|"&amp;Z274</f>
        <v/>
      </c>
    </row>
    <row r="275" ht="15" customHeight="1" s="39">
      <c r="A275" s="67" t="inlineStr">
        <is>
          <t>SD</t>
        </is>
      </c>
      <c r="B275" s="67" t="n">
        <v>245</v>
      </c>
      <c r="C275" s="67" t="n">
        <v>10</v>
      </c>
      <c r="D275" s="67" t="n">
        <v>5</v>
      </c>
      <c r="E275" s="67" t="n">
        <v>5</v>
      </c>
      <c r="F275" s="67" t="n">
        <v>5</v>
      </c>
      <c r="G275" s="67" t="n">
        <v>2</v>
      </c>
      <c r="H275" s="67" t="n">
        <v>5</v>
      </c>
      <c r="I275" s="67" t="n">
        <v>28</v>
      </c>
      <c r="J275" s="67" t="n">
        <v>28</v>
      </c>
      <c r="K275" s="67" t="n">
        <v>3</v>
      </c>
      <c r="L275" s="67" t="n">
        <v>2</v>
      </c>
      <c r="M275" s="67" t="n">
        <v>15</v>
      </c>
      <c r="N275" s="67" t="n">
        <v>15</v>
      </c>
      <c r="O275" s="67" t="n">
        <v>0</v>
      </c>
      <c r="P275" s="67" t="n">
        <v>0</v>
      </c>
      <c r="Q275" s="66" t="inlineStr">
        <is>
          <t>Greenfield</t>
        </is>
      </c>
      <c r="Z275" s="66">
        <f>"X-LARGE|"&amp;A275</f>
        <v/>
      </c>
      <c r="AA275" s="66">
        <f>Q275&amp;"|"&amp;Z275</f>
        <v/>
      </c>
    </row>
    <row r="276" ht="15" customHeight="1" s="39">
      <c r="A276" s="67" t="inlineStr">
        <is>
          <t>QM</t>
        </is>
      </c>
      <c r="B276" s="67" t="n">
        <v>245</v>
      </c>
      <c r="C276" s="67" t="n">
        <v>8</v>
      </c>
      <c r="D276" s="67" t="n">
        <v>5</v>
      </c>
      <c r="E276" s="67" t="n">
        <v>4</v>
      </c>
      <c r="F276" s="67" t="n">
        <v>5</v>
      </c>
      <c r="G276" s="67" t="n">
        <v>1</v>
      </c>
      <c r="H276" s="67" t="n">
        <v>6</v>
      </c>
      <c r="I276" s="67" t="n">
        <v>26</v>
      </c>
      <c r="J276" s="67" t="n">
        <v>26</v>
      </c>
      <c r="K276" s="67" t="n">
        <v>2</v>
      </c>
      <c r="L276" s="67" t="n">
        <v>1</v>
      </c>
      <c r="M276" s="67" t="n">
        <v>15</v>
      </c>
      <c r="N276" s="67" t="n">
        <v>15</v>
      </c>
      <c r="O276" s="67" t="n">
        <v>0</v>
      </c>
      <c r="P276" s="67" t="n">
        <v>0</v>
      </c>
      <c r="Q276" s="66" t="inlineStr">
        <is>
          <t>Greenfield</t>
        </is>
      </c>
      <c r="Z276" s="66">
        <f>"X-LARGE|"&amp;A276</f>
        <v/>
      </c>
      <c r="AA276" s="66">
        <f>Q276&amp;"|"&amp;Z276</f>
        <v/>
      </c>
    </row>
    <row r="277" ht="15" customHeight="1" s="39">
      <c r="A277" s="67" t="inlineStr">
        <is>
          <t>PM</t>
        </is>
      </c>
      <c r="B277" s="67" t="n">
        <v>196</v>
      </c>
      <c r="C277" s="67" t="n">
        <v>8</v>
      </c>
      <c r="D277" s="67" t="n">
        <v>3</v>
      </c>
      <c r="E277" s="67" t="n">
        <v>3</v>
      </c>
      <c r="F277" s="67" t="n">
        <v>5</v>
      </c>
      <c r="G277" s="67" t="n">
        <v>1</v>
      </c>
      <c r="H277" s="67" t="n">
        <v>4</v>
      </c>
      <c r="I277" s="67" t="n">
        <v>16</v>
      </c>
      <c r="J277" s="67" t="n">
        <v>16</v>
      </c>
      <c r="K277" s="67" t="n">
        <v>2</v>
      </c>
      <c r="L277" s="67" t="n">
        <v>1</v>
      </c>
      <c r="M277" s="67" t="n">
        <v>10</v>
      </c>
      <c r="N277" s="67" t="n">
        <v>10</v>
      </c>
      <c r="O277" s="67" t="n">
        <v>0</v>
      </c>
      <c r="P277" s="67" t="n">
        <v>0</v>
      </c>
      <c r="Q277" s="66" t="inlineStr">
        <is>
          <t>Greenfield</t>
        </is>
      </c>
      <c r="Z277" s="66">
        <f>"X-LARGE|"&amp;A277</f>
        <v/>
      </c>
      <c r="AA277" s="66">
        <f>Q277&amp;"|"&amp;Z277</f>
        <v/>
      </c>
    </row>
    <row r="278" ht="15" customHeight="1" s="39">
      <c r="A278" s="67" t="inlineStr">
        <is>
          <t>PS</t>
        </is>
      </c>
      <c r="B278" s="67" t="n">
        <v>196</v>
      </c>
      <c r="C278" s="67" t="n">
        <v>8</v>
      </c>
      <c r="D278" s="67" t="n">
        <v>3</v>
      </c>
      <c r="E278" s="67" t="n">
        <v>3</v>
      </c>
      <c r="F278" s="67" t="n">
        <v>5</v>
      </c>
      <c r="G278" s="67" t="n">
        <v>1</v>
      </c>
      <c r="H278" s="67" t="n">
        <v>4</v>
      </c>
      <c r="I278" s="67" t="n">
        <v>16</v>
      </c>
      <c r="J278" s="67" t="n">
        <v>16</v>
      </c>
      <c r="K278" s="67" t="n">
        <v>2</v>
      </c>
      <c r="L278" s="67" t="n">
        <v>1</v>
      </c>
      <c r="M278" s="67" t="n">
        <v>10</v>
      </c>
      <c r="N278" s="67" t="n">
        <v>10</v>
      </c>
      <c r="O278" s="67" t="n">
        <v>0</v>
      </c>
      <c r="P278" s="67" t="n">
        <v>0</v>
      </c>
      <c r="Q278" s="66" t="inlineStr">
        <is>
          <t>Greenfield</t>
        </is>
      </c>
      <c r="Z278" s="66">
        <f>"X-LARGE|"&amp;A278</f>
        <v/>
      </c>
      <c r="AA278" s="66">
        <f>Q278&amp;"|"&amp;Z278</f>
        <v/>
      </c>
    </row>
    <row r="279" ht="15" customHeight="1" s="39">
      <c r="A279" s="67" t="inlineStr">
        <is>
          <t>MII/DM</t>
        </is>
      </c>
      <c r="B279" s="67" t="n">
        <v>0</v>
      </c>
      <c r="C279" s="67" t="n">
        <v>0</v>
      </c>
      <c r="D279" s="67" t="n">
        <v>0</v>
      </c>
      <c r="E279" s="67" t="n">
        <v>0</v>
      </c>
      <c r="F279" s="67" t="n">
        <v>0</v>
      </c>
      <c r="G279" s="67" t="n">
        <v>0</v>
      </c>
      <c r="H279" s="67" t="n">
        <v>0</v>
      </c>
      <c r="I279" s="67" t="n">
        <v>0</v>
      </c>
      <c r="J279" s="67" t="n">
        <v>0</v>
      </c>
      <c r="K279" s="67" t="n">
        <v>0</v>
      </c>
      <c r="L279" s="67" t="n">
        <v>0</v>
      </c>
      <c r="M279" s="67" t="n">
        <v>0</v>
      </c>
      <c r="N279" s="67" t="n">
        <v>0</v>
      </c>
      <c r="O279" s="67" t="n">
        <v>0</v>
      </c>
      <c r="P279" s="67" t="n">
        <v>0</v>
      </c>
      <c r="Q279" s="66" t="inlineStr">
        <is>
          <t>Greenfield</t>
        </is>
      </c>
      <c r="Z279" s="66">
        <f>"X-LARGE|"&amp;A279</f>
        <v/>
      </c>
      <c r="AA279" s="66">
        <f>Q279&amp;"|"&amp;Z279</f>
        <v/>
      </c>
    </row>
    <row r="280" ht="15" customHeight="1" s="39">
      <c r="A280" s="67" t="inlineStr">
        <is>
          <t>PM Mobility</t>
        </is>
      </c>
      <c r="B280" s="67" t="n">
        <v>0</v>
      </c>
      <c r="C280" s="67" t="n">
        <v>0</v>
      </c>
      <c r="D280" s="67" t="n">
        <v>0</v>
      </c>
      <c r="E280" s="67" t="n">
        <v>0</v>
      </c>
      <c r="F280" s="67" t="n">
        <v>0</v>
      </c>
      <c r="G280" s="67" t="n">
        <v>0</v>
      </c>
      <c r="H280" s="67" t="n">
        <v>0</v>
      </c>
      <c r="I280" s="67" t="n">
        <v>0</v>
      </c>
      <c r="J280" s="67" t="n">
        <v>0</v>
      </c>
      <c r="K280" s="67" t="n">
        <v>0</v>
      </c>
      <c r="L280" s="67" t="n">
        <v>0</v>
      </c>
      <c r="M280" s="67" t="n">
        <v>0</v>
      </c>
      <c r="N280" s="67" t="n">
        <v>0</v>
      </c>
      <c r="O280" s="67" t="n">
        <v>0</v>
      </c>
      <c r="P280" s="67" t="n">
        <v>0</v>
      </c>
      <c r="Q280" s="66" t="inlineStr">
        <is>
          <t>Greenfield</t>
        </is>
      </c>
      <c r="Z280" s="66">
        <f>"X-LARGE|"&amp;A280</f>
        <v/>
      </c>
      <c r="AA280" s="66">
        <f>Q280&amp;"|"&amp;Z280</f>
        <v/>
      </c>
    </row>
    <row r="281" ht="15" customHeight="1" s="39">
      <c r="A281" s="67" t="inlineStr">
        <is>
          <t>Basic EWM</t>
        </is>
      </c>
      <c r="B281" s="67" t="n">
        <v>245</v>
      </c>
      <c r="C281" s="67" t="n">
        <v>10</v>
      </c>
      <c r="D281" s="67" t="n">
        <v>5</v>
      </c>
      <c r="E281" s="67" t="n">
        <v>5</v>
      </c>
      <c r="F281" s="67" t="n">
        <v>5</v>
      </c>
      <c r="G281" s="67" t="n">
        <v>2</v>
      </c>
      <c r="H281" s="67" t="n">
        <v>4</v>
      </c>
      <c r="I281" s="67" t="n">
        <v>28</v>
      </c>
      <c r="J281" s="67" t="n">
        <v>28</v>
      </c>
      <c r="K281" s="67" t="n">
        <v>2</v>
      </c>
      <c r="L281" s="67" t="n">
        <v>2</v>
      </c>
      <c r="M281" s="67" t="n">
        <v>10</v>
      </c>
      <c r="N281" s="67" t="n">
        <v>10</v>
      </c>
      <c r="O281" s="67" t="n">
        <v>0</v>
      </c>
      <c r="P281" s="67" t="n">
        <v>0</v>
      </c>
      <c r="Q281" s="66" t="inlineStr">
        <is>
          <t>Greenfield</t>
        </is>
      </c>
      <c r="Z281" s="66">
        <f>"X-LARGE|"&amp;A281</f>
        <v/>
      </c>
      <c r="AA281" s="66">
        <f>Q281&amp;"|"&amp;Z281</f>
        <v/>
      </c>
    </row>
    <row r="282" ht="15" customHeight="1" s="39">
      <c r="A282" s="67" t="inlineStr">
        <is>
          <t>Advanced EWM</t>
        </is>
      </c>
      <c r="B282" s="67" t="n">
        <v>0</v>
      </c>
      <c r="C282" s="67" t="n">
        <v>0</v>
      </c>
      <c r="D282" s="67" t="n">
        <v>0</v>
      </c>
      <c r="E282" s="67" t="n">
        <v>0</v>
      </c>
      <c r="F282" s="67" t="n">
        <v>0</v>
      </c>
      <c r="G282" s="67" t="n">
        <v>0</v>
      </c>
      <c r="H282" s="67" t="n">
        <v>0</v>
      </c>
      <c r="I282" s="67" t="n">
        <v>0</v>
      </c>
      <c r="J282" s="67" t="n">
        <v>0</v>
      </c>
      <c r="K282" s="67" t="n">
        <v>0</v>
      </c>
      <c r="L282" s="67" t="n">
        <v>0</v>
      </c>
      <c r="M282" s="67" t="n">
        <v>0</v>
      </c>
      <c r="N282" s="67" t="n">
        <v>0</v>
      </c>
      <c r="O282" s="67" t="n">
        <v>0</v>
      </c>
      <c r="P282" s="67" t="n">
        <v>0</v>
      </c>
      <c r="Q282" s="66" t="inlineStr">
        <is>
          <t>Greenfield</t>
        </is>
      </c>
      <c r="Z282" s="66">
        <f>"X-LARGE|"&amp;A282</f>
        <v/>
      </c>
      <c r="AA282" s="66">
        <f>Q282&amp;"|"&amp;Z282</f>
        <v/>
      </c>
    </row>
    <row r="283" ht="15" customHeight="1" s="39">
      <c r="A283" s="67" t="inlineStr">
        <is>
          <t>TM</t>
        </is>
      </c>
      <c r="B283" s="67" t="n">
        <v>147</v>
      </c>
      <c r="C283" s="67" t="n">
        <v>5</v>
      </c>
      <c r="D283" s="67" t="n">
        <v>4</v>
      </c>
      <c r="E283" s="67" t="n">
        <v>3</v>
      </c>
      <c r="F283" s="67" t="n">
        <v>6</v>
      </c>
      <c r="G283" s="67" t="n">
        <v>2</v>
      </c>
      <c r="H283" s="67" t="n">
        <v>4</v>
      </c>
      <c r="I283" s="67" t="n">
        <v>15</v>
      </c>
      <c r="J283" s="67" t="n">
        <v>15</v>
      </c>
      <c r="K283" s="67" t="n">
        <v>2</v>
      </c>
      <c r="L283" s="67" t="n">
        <v>2</v>
      </c>
      <c r="M283" s="67" t="n">
        <v>6</v>
      </c>
      <c r="N283" s="67" t="n">
        <v>8</v>
      </c>
      <c r="O283" s="67" t="n">
        <v>0</v>
      </c>
      <c r="P283" s="67" t="n">
        <v>0</v>
      </c>
      <c r="Q283" s="66" t="inlineStr">
        <is>
          <t>Greenfield</t>
        </is>
      </c>
      <c r="Z283" s="66">
        <f>"X-LARGE|"&amp;A283</f>
        <v/>
      </c>
      <c r="AA283" s="66">
        <f>Q283&amp;"|"&amp;Z283</f>
        <v/>
      </c>
    </row>
    <row r="284" ht="15" customHeight="1" s="39">
      <c r="A284" s="67" t="inlineStr">
        <is>
          <t>PPDS</t>
        </is>
      </c>
      <c r="B284" s="67" t="n">
        <v>147</v>
      </c>
      <c r="C284" s="67" t="n">
        <v>4</v>
      </c>
      <c r="D284" s="67" t="n">
        <v>3</v>
      </c>
      <c r="E284" s="67" t="n">
        <v>5</v>
      </c>
      <c r="F284" s="67" t="n">
        <v>5</v>
      </c>
      <c r="G284" s="67" t="n">
        <v>1</v>
      </c>
      <c r="H284" s="67" t="n">
        <v>2</v>
      </c>
      <c r="I284" s="67" t="n">
        <v>15</v>
      </c>
      <c r="J284" s="67" t="n">
        <v>15</v>
      </c>
      <c r="K284" s="67" t="n">
        <v>1</v>
      </c>
      <c r="L284" s="67" t="n">
        <v>1</v>
      </c>
      <c r="M284" s="67" t="n">
        <v>3</v>
      </c>
      <c r="N284" s="67" t="n">
        <v>3</v>
      </c>
      <c r="O284" s="67" t="n">
        <v>0</v>
      </c>
      <c r="P284" s="67" t="n">
        <v>0</v>
      </c>
      <c r="Q284" s="66" t="inlineStr">
        <is>
          <t>Greenfield</t>
        </is>
      </c>
      <c r="Z284" s="66">
        <f>"X-LARGE|"&amp;A284</f>
        <v/>
      </c>
      <c r="AA284" s="66">
        <f>Q284&amp;"|"&amp;Z284</f>
        <v/>
      </c>
    </row>
    <row r="285" ht="15" customHeight="1" s="39">
      <c r="A285" s="67" t="inlineStr">
        <is>
          <t>ABAP</t>
        </is>
      </c>
      <c r="B285" s="67" t="n">
        <v>0</v>
      </c>
      <c r="C285" s="67" t="n">
        <v>0</v>
      </c>
      <c r="D285" s="67" t="n">
        <v>0</v>
      </c>
      <c r="E285" s="67" t="n">
        <v>0</v>
      </c>
      <c r="F285" s="67" t="n">
        <v>0</v>
      </c>
      <c r="G285" s="67" t="n">
        <v>0</v>
      </c>
      <c r="H285" s="67" t="n">
        <v>0</v>
      </c>
      <c r="I285" s="67" t="n">
        <v>0</v>
      </c>
      <c r="J285" s="67" t="n">
        <v>0</v>
      </c>
      <c r="K285" s="67" t="n">
        <v>0</v>
      </c>
      <c r="L285" s="67" t="n">
        <v>0</v>
      </c>
      <c r="M285" s="67" t="n">
        <v>0</v>
      </c>
      <c r="N285" s="67" t="n">
        <v>0</v>
      </c>
      <c r="O285" s="67" t="n">
        <v>0</v>
      </c>
      <c r="P285" s="67" t="n">
        <v>0</v>
      </c>
      <c r="Q285" s="66" t="inlineStr">
        <is>
          <t>Greenfield</t>
        </is>
      </c>
      <c r="Z285" s="66">
        <f>"X-LARGE|"&amp;A285</f>
        <v/>
      </c>
      <c r="AA285" s="66">
        <f>Q285&amp;"|"&amp;Z285</f>
        <v/>
      </c>
    </row>
    <row r="286" ht="15" customHeight="1" s="39">
      <c r="A286" s="67" t="inlineStr">
        <is>
          <t>BASIS</t>
        </is>
      </c>
      <c r="B286" s="67" t="n">
        <v>0</v>
      </c>
      <c r="C286" s="67" t="n">
        <v>0</v>
      </c>
      <c r="D286" s="67" t="n">
        <v>0</v>
      </c>
      <c r="E286" s="67" t="n">
        <v>0</v>
      </c>
      <c r="F286" s="67" t="n">
        <v>0</v>
      </c>
      <c r="G286" s="67" t="n">
        <v>0</v>
      </c>
      <c r="H286" s="67" t="n">
        <v>0</v>
      </c>
      <c r="I286" s="67" t="n">
        <v>0</v>
      </c>
      <c r="J286" s="67" t="n">
        <v>0</v>
      </c>
      <c r="K286" s="67" t="n">
        <v>0</v>
      </c>
      <c r="L286" s="67" t="n">
        <v>0</v>
      </c>
      <c r="M286" s="67" t="n">
        <v>0</v>
      </c>
      <c r="N286" s="67" t="n">
        <v>0</v>
      </c>
      <c r="O286" s="67" t="n">
        <v>0</v>
      </c>
      <c r="P286" s="67" t="n">
        <v>0</v>
      </c>
      <c r="Q286" s="66" t="inlineStr">
        <is>
          <t>Greenfield</t>
        </is>
      </c>
      <c r="Z286" s="66">
        <f>"X-LARGE|"&amp;A286</f>
        <v/>
      </c>
      <c r="AA286" s="66">
        <f>Q286&amp;"|"&amp;Z286</f>
        <v/>
      </c>
    </row>
    <row r="287" ht="15" customHeight="1" s="39">
      <c r="A287" s="67" t="inlineStr">
        <is>
          <t>E-Fatura/Arşiv</t>
        </is>
      </c>
      <c r="B287" s="67" t="n">
        <v>5</v>
      </c>
      <c r="C287" s="67" t="n">
        <v>2</v>
      </c>
      <c r="D287" s="67" t="n">
        <v>0</v>
      </c>
      <c r="E287" s="67" t="n">
        <v>2</v>
      </c>
      <c r="F287" s="67" t="n">
        <v>2</v>
      </c>
      <c r="G287" s="67" t="n">
        <v>1</v>
      </c>
      <c r="H287" s="67" t="n">
        <v>1</v>
      </c>
      <c r="I287" s="67" t="n">
        <v>3</v>
      </c>
      <c r="J287" s="67" t="n">
        <v>3</v>
      </c>
      <c r="K287" s="67" t="n">
        <v>0</v>
      </c>
      <c r="L287" s="67" t="n">
        <v>1</v>
      </c>
      <c r="M287" s="67" t="n">
        <v>1</v>
      </c>
      <c r="N287" s="67" t="n">
        <v>0</v>
      </c>
      <c r="O287" s="67" t="n">
        <v>0</v>
      </c>
      <c r="P287" s="67" t="n">
        <v>0</v>
      </c>
      <c r="Q287" s="66" t="inlineStr">
        <is>
          <t>Greenfield</t>
        </is>
      </c>
      <c r="Z287" s="66">
        <f>"X-LARGE|"&amp;A287</f>
        <v/>
      </c>
      <c r="AA287" s="66">
        <f>Q287&amp;"|"&amp;Z287</f>
        <v/>
      </c>
    </row>
    <row r="288" ht="15" customHeight="1" s="39">
      <c r="A288" s="67" t="inlineStr">
        <is>
          <t>E-İrsaliye</t>
        </is>
      </c>
      <c r="B288" s="67" t="n">
        <v>5</v>
      </c>
      <c r="C288" s="67" t="n">
        <v>2</v>
      </c>
      <c r="D288" s="67" t="n">
        <v>0</v>
      </c>
      <c r="E288" s="67" t="n">
        <v>2</v>
      </c>
      <c r="F288" s="67" t="n">
        <v>2</v>
      </c>
      <c r="G288" s="67" t="n">
        <v>1</v>
      </c>
      <c r="H288" s="67" t="n">
        <v>1</v>
      </c>
      <c r="I288" s="67" t="n">
        <v>3</v>
      </c>
      <c r="J288" s="67" t="n">
        <v>3</v>
      </c>
      <c r="K288" s="67" t="n">
        <v>0</v>
      </c>
      <c r="L288" s="67" t="n">
        <v>1</v>
      </c>
      <c r="M288" s="67" t="n">
        <v>1</v>
      </c>
      <c r="N288" s="67" t="n">
        <v>0</v>
      </c>
      <c r="O288" s="67" t="n">
        <v>0</v>
      </c>
      <c r="P288" s="67" t="n">
        <v>0</v>
      </c>
      <c r="Q288" s="66" t="inlineStr">
        <is>
          <t>Greenfield</t>
        </is>
      </c>
      <c r="Z288" s="66">
        <f>"X-LARGE|"&amp;A288</f>
        <v/>
      </c>
      <c r="AA288" s="66">
        <f>Q288&amp;"|"&amp;Z288</f>
        <v/>
      </c>
    </row>
    <row r="289" ht="15" customHeight="1" s="39">
      <c r="A289" s="67" t="inlineStr">
        <is>
          <t>E-Defter</t>
        </is>
      </c>
      <c r="B289" s="67" t="n">
        <v>3</v>
      </c>
      <c r="C289" s="67" t="n">
        <v>2</v>
      </c>
      <c r="D289" s="67" t="n">
        <v>0</v>
      </c>
      <c r="E289" s="67" t="n">
        <v>3</v>
      </c>
      <c r="F289" s="67" t="n">
        <v>3</v>
      </c>
      <c r="G289" s="67" t="n">
        <v>1</v>
      </c>
      <c r="H289" s="67" t="n">
        <v>1</v>
      </c>
      <c r="I289" s="67" t="n">
        <v>0</v>
      </c>
      <c r="J289" s="67" t="n">
        <v>0</v>
      </c>
      <c r="K289" s="67" t="n">
        <v>0</v>
      </c>
      <c r="L289" s="67" t="n">
        <v>3</v>
      </c>
      <c r="M289" s="67" t="n">
        <v>1</v>
      </c>
      <c r="N289" s="67" t="n">
        <v>0</v>
      </c>
      <c r="O289" s="67" t="n">
        <v>0</v>
      </c>
      <c r="P289" s="67" t="n">
        <v>0</v>
      </c>
      <c r="Q289" s="66" t="inlineStr">
        <is>
          <t>Greenfield</t>
        </is>
      </c>
      <c r="Z289" s="66">
        <f>"X-LARGE|"&amp;A289</f>
        <v/>
      </c>
      <c r="AA289" s="66">
        <f>Q289&amp;"|"&amp;Z289</f>
        <v/>
      </c>
    </row>
    <row r="290" ht="15" customHeight="1" s="39">
      <c r="A290" s="67" t="inlineStr">
        <is>
          <t>E-Hesap Özeti</t>
        </is>
      </c>
      <c r="B290" s="67" t="n">
        <v>5</v>
      </c>
      <c r="C290" s="67" t="n">
        <v>3</v>
      </c>
      <c r="D290" s="67" t="n">
        <v>0</v>
      </c>
      <c r="E290" s="67" t="n">
        <v>4</v>
      </c>
      <c r="F290" s="67" t="n">
        <v>3</v>
      </c>
      <c r="G290" s="67" t="n">
        <v>1</v>
      </c>
      <c r="H290" s="67" t="n">
        <v>0</v>
      </c>
      <c r="I290" s="67" t="n">
        <v>3</v>
      </c>
      <c r="J290" s="67" t="n">
        <v>3</v>
      </c>
      <c r="K290" s="67" t="n">
        <v>0</v>
      </c>
      <c r="L290" s="67" t="n">
        <v>2</v>
      </c>
      <c r="M290" s="67" t="n">
        <v>1</v>
      </c>
      <c r="N290" s="67" t="n">
        <v>0</v>
      </c>
      <c r="O290" s="67" t="n">
        <v>0</v>
      </c>
      <c r="P290" s="67" t="n">
        <v>0</v>
      </c>
      <c r="Q290" s="66" t="inlineStr">
        <is>
          <t>Greenfield</t>
        </is>
      </c>
      <c r="Z290" s="66">
        <f>"X-LARGE|"&amp;A290</f>
        <v/>
      </c>
      <c r="AA290" s="66">
        <f>Q290&amp;"|"&amp;Z290</f>
        <v/>
      </c>
    </row>
    <row r="291" ht="15" customHeight="1" s="39">
      <c r="A291" s="67" t="inlineStr">
        <is>
          <t>E-Ödeme</t>
        </is>
      </c>
      <c r="B291" s="67" t="n">
        <v>5</v>
      </c>
      <c r="C291" s="67" t="n">
        <v>3</v>
      </c>
      <c r="D291" s="67" t="n">
        <v>0</v>
      </c>
      <c r="E291" s="67" t="n">
        <v>4</v>
      </c>
      <c r="F291" s="67" t="n">
        <v>3</v>
      </c>
      <c r="G291" s="67" t="n">
        <v>1</v>
      </c>
      <c r="H291" s="67" t="n">
        <v>0</v>
      </c>
      <c r="I291" s="67" t="n">
        <v>3</v>
      </c>
      <c r="J291" s="67" t="n">
        <v>3</v>
      </c>
      <c r="K291" s="67" t="n">
        <v>0</v>
      </c>
      <c r="L291" s="67" t="n">
        <v>2</v>
      </c>
      <c r="M291" s="67" t="n">
        <v>1</v>
      </c>
      <c r="N291" s="67" t="n">
        <v>0</v>
      </c>
      <c r="O291" s="67" t="n">
        <v>0</v>
      </c>
      <c r="P291" s="67" t="n">
        <v>0</v>
      </c>
      <c r="Q291" s="66" t="inlineStr">
        <is>
          <t>Greenfield</t>
        </is>
      </c>
      <c r="Z291" s="66">
        <f>"X-LARGE|"&amp;A291</f>
        <v/>
      </c>
      <c r="AA291" s="66">
        <f>Q291&amp;"|"&amp;Z291</f>
        <v/>
      </c>
    </row>
    <row r="292" ht="15" customHeight="1" s="39">
      <c r="A292" s="67" t="inlineStr">
        <is>
          <t>E-Mutabakat</t>
        </is>
      </c>
      <c r="B292" s="67" t="n">
        <v>5</v>
      </c>
      <c r="C292" s="67" t="n">
        <v>3</v>
      </c>
      <c r="D292" s="67" t="n">
        <v>0</v>
      </c>
      <c r="E292" s="67" t="n">
        <v>3</v>
      </c>
      <c r="F292" s="67" t="n">
        <v>3</v>
      </c>
      <c r="G292" s="67" t="n">
        <v>1</v>
      </c>
      <c r="H292" s="67" t="n">
        <v>0</v>
      </c>
      <c r="I292" s="67" t="n">
        <v>3</v>
      </c>
      <c r="J292" s="67" t="n">
        <v>3</v>
      </c>
      <c r="K292" s="67" t="n">
        <v>0</v>
      </c>
      <c r="L292" s="67" t="n">
        <v>2</v>
      </c>
      <c r="M292" s="67" t="n">
        <v>1</v>
      </c>
      <c r="N292" s="67" t="n">
        <v>0</v>
      </c>
      <c r="O292" s="67" t="n">
        <v>0</v>
      </c>
      <c r="P292" s="67" t="n">
        <v>0</v>
      </c>
      <c r="Q292" s="66" t="inlineStr">
        <is>
          <t>Greenfield</t>
        </is>
      </c>
      <c r="Z292" s="66">
        <f>"X-LARGE|"&amp;A292</f>
        <v/>
      </c>
      <c r="AA292" s="66">
        <f>Q292&amp;"|"&amp;Z292</f>
        <v/>
      </c>
    </row>
    <row r="293" ht="15" customHeight="1" s="39">
      <c r="A293" s="67" t="inlineStr">
        <is>
          <t>E-Beyanname</t>
        </is>
      </c>
      <c r="B293" s="67" t="n">
        <v>6</v>
      </c>
      <c r="C293" s="67" t="n">
        <v>3</v>
      </c>
      <c r="D293" s="67" t="n">
        <v>0</v>
      </c>
      <c r="E293" s="67" t="n">
        <v>6</v>
      </c>
      <c r="F293" s="67" t="n">
        <v>3</v>
      </c>
      <c r="G293" s="67" t="n">
        <v>2</v>
      </c>
      <c r="H293" s="67" t="n">
        <v>0</v>
      </c>
      <c r="I293" s="67" t="n">
        <v>0</v>
      </c>
      <c r="J293" s="67" t="n">
        <v>0</v>
      </c>
      <c r="K293" s="67" t="n">
        <v>0</v>
      </c>
      <c r="L293" s="67" t="n">
        <v>4</v>
      </c>
      <c r="M293" s="67" t="n">
        <v>2</v>
      </c>
      <c r="N293" s="67" t="n">
        <v>0</v>
      </c>
      <c r="O293" s="67" t="n">
        <v>0</v>
      </c>
      <c r="P293" s="67" t="n">
        <v>0</v>
      </c>
      <c r="Q293" s="66" t="inlineStr">
        <is>
          <t>Greenfield</t>
        </is>
      </c>
      <c r="Z293" s="66">
        <f>"X-LARGE|"&amp;A293</f>
        <v/>
      </c>
      <c r="AA293" s="66">
        <f>Q293&amp;"|"&amp;Z293</f>
        <v/>
      </c>
    </row>
    <row r="294" ht="15" customHeight="1" s="39">
      <c r="A294" s="67" t="inlineStr">
        <is>
          <t>Gelen Fatura Otomasyon</t>
        </is>
      </c>
      <c r="B294" s="67" t="n">
        <v>5</v>
      </c>
      <c r="C294" s="67" t="n">
        <v>2</v>
      </c>
      <c r="D294" s="67" t="n">
        <v>0</v>
      </c>
      <c r="E294" s="67" t="n">
        <v>3</v>
      </c>
      <c r="F294" s="67" t="n">
        <v>4</v>
      </c>
      <c r="G294" s="67" t="n">
        <v>2</v>
      </c>
      <c r="H294" s="67" t="n">
        <v>0</v>
      </c>
      <c r="I294" s="67" t="n">
        <v>2</v>
      </c>
      <c r="J294" s="67" t="n">
        <v>2</v>
      </c>
      <c r="K294" s="67" t="n">
        <v>0</v>
      </c>
      <c r="L294" s="67" t="n">
        <v>4</v>
      </c>
      <c r="M294" s="67" t="n">
        <v>1</v>
      </c>
      <c r="N294" s="67" t="n">
        <v>0</v>
      </c>
      <c r="O294" s="67" t="n">
        <v>0</v>
      </c>
      <c r="P294" s="67" t="n">
        <v>0</v>
      </c>
      <c r="Q294" s="66" t="inlineStr">
        <is>
          <t>Greenfield</t>
        </is>
      </c>
      <c r="Z294" s="66">
        <f>"X-LARGE|"&amp;A294</f>
        <v/>
      </c>
      <c r="AA294" s="66">
        <f>Q294&amp;"|"&amp;Z294</f>
        <v/>
      </c>
    </row>
    <row r="295" ht="15" customHeight="1" s="39">
      <c r="A295" s="67" t="inlineStr">
        <is>
          <t>GLASSWING</t>
        </is>
      </c>
      <c r="B295" s="67" t="n">
        <v>60</v>
      </c>
      <c r="C295" s="67" t="n">
        <v>6</v>
      </c>
      <c r="D295" s="67" t="n">
        <v>2</v>
      </c>
      <c r="E295" s="67" t="n">
        <v>15</v>
      </c>
      <c r="F295" s="67" t="n">
        <v>10</v>
      </c>
      <c r="G295" s="67" t="n">
        <v>2</v>
      </c>
      <c r="H295" s="67" t="n">
        <v>0</v>
      </c>
      <c r="I295" s="67" t="n">
        <v>25</v>
      </c>
      <c r="J295" s="67" t="n">
        <v>25</v>
      </c>
      <c r="K295" s="67" t="n">
        <v>13</v>
      </c>
      <c r="L295" s="67" t="n">
        <v>2</v>
      </c>
      <c r="M295" s="67" t="n">
        <v>5</v>
      </c>
      <c r="N295" s="67" t="n">
        <v>10</v>
      </c>
      <c r="O295" s="67" t="n">
        <v>0</v>
      </c>
      <c r="P295" s="67" t="n">
        <v>0</v>
      </c>
      <c r="Q295" s="66" t="inlineStr">
        <is>
          <t>Greenfield</t>
        </is>
      </c>
      <c r="Z295" s="66">
        <f>"X-LARGE|"&amp;A295</f>
        <v/>
      </c>
      <c r="AA295" s="66">
        <f>Q295&amp;"|"&amp;Z295</f>
        <v/>
      </c>
    </row>
    <row r="296" ht="15" customHeight="1" s="39">
      <c r="A296" s="67" t="inlineStr">
        <is>
          <t>COMMODITY</t>
        </is>
      </c>
      <c r="B296" s="67" t="n">
        <v>100</v>
      </c>
      <c r="C296" s="67" t="n">
        <v>9</v>
      </c>
      <c r="D296" s="67" t="n">
        <v>3</v>
      </c>
      <c r="E296" s="67" t="n">
        <v>15</v>
      </c>
      <c r="F296" s="67" t="n">
        <v>15</v>
      </c>
      <c r="G296" s="67" t="n">
        <v>2</v>
      </c>
      <c r="H296" s="67" t="n">
        <v>1</v>
      </c>
      <c r="I296" s="67" t="n">
        <v>30</v>
      </c>
      <c r="J296" s="67" t="n">
        <v>30</v>
      </c>
      <c r="K296" s="67" t="n">
        <v>10</v>
      </c>
      <c r="L296" s="67" t="n">
        <v>2</v>
      </c>
      <c r="M296" s="67" t="n">
        <v>8</v>
      </c>
      <c r="N296" s="67" t="n">
        <v>15</v>
      </c>
      <c r="O296" s="67" t="n">
        <v>0</v>
      </c>
      <c r="P296" s="67" t="n">
        <v>0</v>
      </c>
      <c r="Q296" s="66" t="inlineStr">
        <is>
          <t>Greenfield</t>
        </is>
      </c>
      <c r="Z296" s="66">
        <f>"X-LARGE|"&amp;A296</f>
        <v/>
      </c>
      <c r="AA296" s="66">
        <f>Q296&amp;"|"&amp;Z296</f>
        <v/>
      </c>
    </row>
    <row r="297" ht="15" customHeight="1" s="39">
      <c r="A297" s="67" t="inlineStr">
        <is>
          <t>Dış Ticaret Çözümü</t>
        </is>
      </c>
      <c r="B297" s="67" t="n">
        <v>0</v>
      </c>
      <c r="C297" s="67" t="n">
        <v>0</v>
      </c>
      <c r="D297" s="67" t="n">
        <v>0</v>
      </c>
      <c r="E297" s="67" t="n">
        <v>0</v>
      </c>
      <c r="F297" s="67" t="n">
        <v>0</v>
      </c>
      <c r="G297" s="67" t="n">
        <v>0</v>
      </c>
      <c r="H297" s="67" t="n">
        <v>0</v>
      </c>
      <c r="I297" s="67" t="n">
        <v>0</v>
      </c>
      <c r="J297" s="67" t="n">
        <v>0</v>
      </c>
      <c r="K297" s="67" t="n">
        <v>0</v>
      </c>
      <c r="L297" s="67" t="n">
        <v>0</v>
      </c>
      <c r="M297" s="67" t="n">
        <v>0</v>
      </c>
      <c r="N297" s="67" t="n">
        <v>0</v>
      </c>
      <c r="O297" s="67" t="n">
        <v>0</v>
      </c>
      <c r="P297" s="67" t="n">
        <v>0</v>
      </c>
      <c r="Q297" s="66" t="inlineStr">
        <is>
          <t>Greenfield</t>
        </is>
      </c>
      <c r="Z297" s="66">
        <f>"X-LARGE|"&amp;A297</f>
        <v/>
      </c>
      <c r="AA297" s="66">
        <f>Q297&amp;"|"&amp;Z297</f>
        <v/>
      </c>
    </row>
    <row r="298" ht="15" customHeight="1" s="39">
      <c r="A298" s="67" t="inlineStr">
        <is>
          <t>Seyahat ve Masraf Yönetimi</t>
        </is>
      </c>
      <c r="B298" s="67" t="n">
        <v>0</v>
      </c>
      <c r="C298" s="67" t="n">
        <v>0</v>
      </c>
      <c r="D298" s="67" t="n">
        <v>0</v>
      </c>
      <c r="E298" s="67" t="n">
        <v>0</v>
      </c>
      <c r="F298" s="67" t="n">
        <v>0</v>
      </c>
      <c r="G298" s="67" t="n">
        <v>0</v>
      </c>
      <c r="H298" s="67" t="n">
        <v>0</v>
      </c>
      <c r="I298" s="67" t="n">
        <v>0</v>
      </c>
      <c r="J298" s="67" t="n">
        <v>0</v>
      </c>
      <c r="K298" s="67" t="n">
        <v>0</v>
      </c>
      <c r="L298" s="67" t="n">
        <v>0</v>
      </c>
      <c r="M298" s="67" t="n">
        <v>0</v>
      </c>
      <c r="N298" s="67" t="n">
        <v>0</v>
      </c>
      <c r="O298" s="67" t="n">
        <v>0</v>
      </c>
      <c r="P298" s="67" t="n">
        <v>0</v>
      </c>
      <c r="Q298" s="66" t="inlineStr">
        <is>
          <t>Greenfield</t>
        </is>
      </c>
      <c r="Z298" s="66">
        <f>"X-LARGE|"&amp;A298</f>
        <v/>
      </c>
      <c r="AA298" s="66">
        <f>Q298&amp;"|"&amp;Z298</f>
        <v/>
      </c>
    </row>
    <row r="299" ht="15" customHeight="1" s="39">
      <c r="A299" s="67" t="inlineStr">
        <is>
          <t>NTT Data POS</t>
        </is>
      </c>
      <c r="B299" s="67" t="n">
        <v>0</v>
      </c>
      <c r="C299" s="67" t="n">
        <v>0</v>
      </c>
      <c r="D299" s="67" t="n">
        <v>0</v>
      </c>
      <c r="E299" s="67" t="n">
        <v>0</v>
      </c>
      <c r="F299" s="67" t="n">
        <v>0</v>
      </c>
      <c r="G299" s="67" t="n">
        <v>0</v>
      </c>
      <c r="H299" s="67" t="n">
        <v>0</v>
      </c>
      <c r="I299" s="67" t="n">
        <v>0</v>
      </c>
      <c r="J299" s="67" t="n">
        <v>0</v>
      </c>
      <c r="K299" s="67" t="n">
        <v>0</v>
      </c>
      <c r="L299" s="67" t="n">
        <v>0</v>
      </c>
      <c r="M299" s="67" t="n">
        <v>0</v>
      </c>
      <c r="N299" s="67" t="n">
        <v>0</v>
      </c>
      <c r="O299" s="67" t="n">
        <v>0</v>
      </c>
      <c r="P299" s="67" t="n">
        <v>0</v>
      </c>
      <c r="Q299" s="66" t="inlineStr">
        <is>
          <t>Greenfield</t>
        </is>
      </c>
      <c r="Z299" s="66">
        <f>"X-LARGE|"&amp;A299</f>
        <v/>
      </c>
      <c r="AA299" s="66">
        <f>Q299&amp;"|"&amp;Z299</f>
        <v/>
      </c>
    </row>
    <row r="302" ht="15" customHeight="1" s="39">
      <c r="A302" s="68" t="inlineStr">
        <is>
          <t>Implementation Type: Brownfield</t>
        </is>
      </c>
      <c r="Q302" s="68" t="inlineStr">
        <is>
          <t>Brownfield</t>
        </is>
      </c>
    </row>
    <row r="303" ht="15" customHeight="1" s="39">
      <c r="A303" s="68" t="inlineStr">
        <is>
          <t>SMALL</t>
        </is>
      </c>
      <c r="Q303" s="68" t="inlineStr">
        <is>
          <t>Brownfield</t>
        </is>
      </c>
    </row>
    <row r="304" ht="15" customHeight="1" s="39">
      <c r="A304" s="67">
        <f>INDEX(Translations!$D:$ZZ, MATCH(74,Translations!$A:$A,0), MATCH('Project Information'!$C$4,Translations!$D$1:$ZZ$1,0))</f>
        <v/>
      </c>
      <c r="B304" s="67">
        <f>INDEX(Translations!$D:$ZZ, MATCH(75,Translations!$A:$A,0), MATCH('Project Information'!$C$4,Translations!$D$1:$ZZ$1,0))</f>
        <v/>
      </c>
      <c r="C304" s="67">
        <f>INDEX(Translations!$D:$ZZ, MATCH(76,Translations!$A:$A,0), MATCH('Project Information'!$C$4,Translations!$D$1:$ZZ$1,0))</f>
        <v/>
      </c>
      <c r="D304" s="67">
        <f>INDEX(Translations!$D:$ZZ, MATCH(77,Translations!$A:$A,0), MATCH('Project Information'!$C$4,Translations!$D$1:$ZZ$1,0))</f>
        <v/>
      </c>
      <c r="E304" s="67">
        <f>INDEX(Translations!$D:$ZZ, MATCH(78,Translations!$A:$A,0), MATCH('Project Information'!$C$4,Translations!$D$1:$ZZ$1,0))</f>
        <v/>
      </c>
      <c r="F304" s="67">
        <f>INDEX(Translations!$D:$ZZ, MATCH(79,Translations!$A:$A,0), MATCH('Project Information'!$C$4,Translations!$D$1:$ZZ$1,0))</f>
        <v/>
      </c>
      <c r="G304" s="67">
        <f>INDEX(Translations!$D:$ZZ, MATCH(80,Translations!$A:$A,0), MATCH('Project Information'!$C$4,Translations!$D$1:$ZZ$1,0))</f>
        <v/>
      </c>
      <c r="H304" s="67">
        <f>INDEX(Translations!$D:$ZZ, MATCH(81,Translations!$A:$A,0), MATCH('Project Information'!$C$4,Translations!$D$1:$ZZ$1,0))</f>
        <v/>
      </c>
      <c r="I304" s="67">
        <f>INDEX(Translations!$D:$ZZ, MATCH(82,Translations!$A:$A,0), MATCH('Project Information'!$C$4,Translations!$D$1:$ZZ$1,0))</f>
        <v/>
      </c>
      <c r="J304" s="67">
        <f>INDEX(Translations!$D:$ZZ, MATCH(83,Translations!$A:$A,0), MATCH('Project Information'!$C$4,Translations!$D$1:$ZZ$1,0))</f>
        <v/>
      </c>
      <c r="K304" s="67">
        <f>INDEX(Translations!$D:$ZZ, MATCH(84,Translations!$A:$A,0), MATCH('Project Information'!$C$4,Translations!$D$1:$ZZ$1,0))</f>
        <v/>
      </c>
      <c r="L304" s="67">
        <f>INDEX(Translations!$D:$ZZ, MATCH(85,Translations!$A:$A,0), MATCH('Project Information'!$C$4,Translations!$D$1:$ZZ$1,0))</f>
        <v/>
      </c>
      <c r="M304" s="67">
        <f>INDEX(Translations!$D:$ZZ, MATCH(86,Translations!$A:$A,0), MATCH('Project Information'!$C$4,Translations!$D$1:$ZZ$1,0))</f>
        <v/>
      </c>
      <c r="N304" s="67">
        <f>INDEX(Translations!$D:$ZZ, MATCH(87,Translations!$A:$A,0), MATCH('Project Information'!$C$4,Translations!$D$1:$ZZ$1,0))</f>
        <v/>
      </c>
      <c r="O304" s="67">
        <f>INDEX(Translations!$D:$ZZ, MATCH(88,Translations!$A:$A,0), MATCH('Project Information'!$C$4,Translations!$D$1:$ZZ$1,0))</f>
        <v/>
      </c>
      <c r="P304" s="67">
        <f>INDEX(Translations!$D:$ZZ, MATCH(89,Translations!$A:$A,0), MATCH('Project Information'!$C$4,Translations!$D$1:$ZZ$1,0))</f>
        <v/>
      </c>
      <c r="Q304" s="67" t="inlineStr">
        <is>
          <t>Implementation Type</t>
        </is>
      </c>
      <c r="Z304" s="67">
        <f>INDEX(Translations!$D:$ZZ, MATCH(93,Translations!$A:$A,0), MATCH('Project Information'!$C$4,Translations!$D$1:$ZZ$1,0))</f>
        <v/>
      </c>
      <c r="AA304" s="67" t="inlineStr">
        <is>
          <t>Implementation Key</t>
        </is>
      </c>
    </row>
    <row r="305" ht="15" customHeight="1" s="39">
      <c r="A305" s="67" t="inlineStr">
        <is>
          <t>FI</t>
        </is>
      </c>
      <c r="B305" s="67" t="n">
        <v>20</v>
      </c>
      <c r="C305" s="67" t="n">
        <v>3</v>
      </c>
      <c r="D305" s="67" t="n">
        <v>2</v>
      </c>
      <c r="E305" s="67" t="n">
        <v>3</v>
      </c>
      <c r="F305" s="67" t="n">
        <v>2</v>
      </c>
      <c r="G305" s="67" t="n">
        <v>1</v>
      </c>
      <c r="H305" s="67" t="n">
        <v>1</v>
      </c>
      <c r="I305" s="67" t="n">
        <v>5</v>
      </c>
      <c r="J305" s="67" t="n">
        <v>5</v>
      </c>
      <c r="K305" s="67" t="n">
        <v>1</v>
      </c>
      <c r="L305" s="67" t="n">
        <v>1</v>
      </c>
      <c r="M305" s="67" t="n">
        <v>4</v>
      </c>
      <c r="N305" s="67" t="n">
        <v>4</v>
      </c>
      <c r="O305" s="67" t="n">
        <v>0</v>
      </c>
      <c r="P305" s="67" t="n">
        <v>0</v>
      </c>
      <c r="Q305" s="66" t="inlineStr">
        <is>
          <t>Brownfield</t>
        </is>
      </c>
      <c r="Z305" s="66">
        <f>"SMALL|"&amp;A305</f>
        <v/>
      </c>
      <c r="AA305" s="66">
        <f>Q305&amp;"|"&amp;Z305</f>
        <v/>
      </c>
    </row>
    <row r="306" ht="15" customHeight="1" s="39">
      <c r="A306" s="67" t="inlineStr">
        <is>
          <t>CO</t>
        </is>
      </c>
      <c r="B306" s="67" t="n">
        <v>20</v>
      </c>
      <c r="C306" s="67" t="n">
        <v>3</v>
      </c>
      <c r="D306" s="67" t="n">
        <v>2</v>
      </c>
      <c r="E306" s="67" t="n">
        <v>3</v>
      </c>
      <c r="F306" s="67" t="n">
        <v>2</v>
      </c>
      <c r="G306" s="67" t="n">
        <v>1</v>
      </c>
      <c r="H306" s="67" t="n">
        <v>1</v>
      </c>
      <c r="I306" s="67" t="n">
        <v>5</v>
      </c>
      <c r="J306" s="67" t="n">
        <v>5</v>
      </c>
      <c r="K306" s="67" t="n">
        <v>1</v>
      </c>
      <c r="L306" s="67" t="n">
        <v>1</v>
      </c>
      <c r="M306" s="67" t="n">
        <v>4</v>
      </c>
      <c r="N306" s="67" t="n">
        <v>4</v>
      </c>
      <c r="O306" s="67" t="n">
        <v>0</v>
      </c>
      <c r="P306" s="67" t="n">
        <v>0</v>
      </c>
      <c r="Q306" s="66" t="inlineStr">
        <is>
          <t>Brownfield</t>
        </is>
      </c>
      <c r="Z306" s="66">
        <f>"SMALL|"&amp;A306</f>
        <v/>
      </c>
      <c r="AA306" s="66">
        <f>Q306&amp;"|"&amp;Z306</f>
        <v/>
      </c>
    </row>
    <row r="307" ht="15" customHeight="1" s="39">
      <c r="A307" s="67" t="inlineStr">
        <is>
          <t>TRM</t>
        </is>
      </c>
      <c r="B307" s="67" t="n">
        <v>10</v>
      </c>
      <c r="C307" s="67" t="n">
        <v>2</v>
      </c>
      <c r="D307" s="67" t="n">
        <v>1</v>
      </c>
      <c r="E307" s="67" t="n">
        <v>2</v>
      </c>
      <c r="F307" s="67" t="n">
        <v>1</v>
      </c>
      <c r="G307" s="67" t="n">
        <v>0.5</v>
      </c>
      <c r="H307" s="67" t="n">
        <v>0.5</v>
      </c>
      <c r="I307" s="67" t="n">
        <v>3</v>
      </c>
      <c r="J307" s="67" t="n">
        <v>3</v>
      </c>
      <c r="K307" s="67" t="n">
        <v>0.5</v>
      </c>
      <c r="L307" s="67" t="n">
        <v>0.5</v>
      </c>
      <c r="M307" s="67" t="n">
        <v>3</v>
      </c>
      <c r="N307" s="67" t="n">
        <v>3</v>
      </c>
      <c r="O307" s="67" t="n">
        <v>0</v>
      </c>
      <c r="P307" s="67" t="n">
        <v>0</v>
      </c>
      <c r="Q307" s="66" t="inlineStr">
        <is>
          <t>Brownfield</t>
        </is>
      </c>
      <c r="Z307" s="66">
        <f>"SMALL|"&amp;A307</f>
        <v/>
      </c>
      <c r="AA307" s="66">
        <f>Q307&amp;"|"&amp;Z307</f>
        <v/>
      </c>
    </row>
    <row r="308" ht="15" customHeight="1" s="39">
      <c r="A308" s="67" t="inlineStr">
        <is>
          <t>CM</t>
        </is>
      </c>
      <c r="B308" s="67" t="n">
        <v>5</v>
      </c>
      <c r="C308" s="67" t="n">
        <v>1</v>
      </c>
      <c r="D308" s="67" t="n">
        <v>1</v>
      </c>
      <c r="E308" s="67" t="n">
        <v>1</v>
      </c>
      <c r="F308" s="67" t="n">
        <v>1</v>
      </c>
      <c r="G308" s="67" t="n">
        <v>0.5</v>
      </c>
      <c r="H308" s="67" t="n">
        <v>0.5</v>
      </c>
      <c r="I308" s="67" t="n">
        <v>1</v>
      </c>
      <c r="J308" s="67" t="n">
        <v>1</v>
      </c>
      <c r="K308" s="67" t="n">
        <v>0.5</v>
      </c>
      <c r="L308" s="67" t="n">
        <v>0.5</v>
      </c>
      <c r="M308" s="67" t="n">
        <v>2</v>
      </c>
      <c r="N308" s="67" t="n">
        <v>2</v>
      </c>
      <c r="O308" s="67" t="n">
        <v>0</v>
      </c>
      <c r="P308" s="67" t="n">
        <v>0</v>
      </c>
      <c r="Q308" s="66" t="inlineStr">
        <is>
          <t>Brownfield</t>
        </is>
      </c>
      <c r="Z308" s="66">
        <f>"SMALL|"&amp;A308</f>
        <v/>
      </c>
      <c r="AA308" s="66">
        <f>Q308&amp;"|"&amp;Z308</f>
        <v/>
      </c>
    </row>
    <row r="309" ht="15" customHeight="1" s="39">
      <c r="A309" s="67" t="inlineStr">
        <is>
          <t>FM</t>
        </is>
      </c>
      <c r="B309" s="67" t="n">
        <v>5</v>
      </c>
      <c r="C309" s="67" t="n">
        <v>1</v>
      </c>
      <c r="D309" s="67" t="n">
        <v>1</v>
      </c>
      <c r="E309" s="67" t="n">
        <v>1</v>
      </c>
      <c r="F309" s="67" t="n">
        <v>1</v>
      </c>
      <c r="G309" s="67" t="n">
        <v>0.5</v>
      </c>
      <c r="H309" s="67" t="n">
        <v>0.5</v>
      </c>
      <c r="I309" s="67" t="n">
        <v>1</v>
      </c>
      <c r="J309" s="67" t="n">
        <v>1</v>
      </c>
      <c r="K309" s="67" t="n">
        <v>0.5</v>
      </c>
      <c r="L309" s="67" t="n">
        <v>0.5</v>
      </c>
      <c r="M309" s="67" t="n">
        <v>2</v>
      </c>
      <c r="N309" s="67" t="n">
        <v>2</v>
      </c>
      <c r="O309" s="67" t="n">
        <v>0</v>
      </c>
      <c r="P309" s="67" t="n">
        <v>0</v>
      </c>
      <c r="Q309" s="66" t="inlineStr">
        <is>
          <t>Brownfield</t>
        </is>
      </c>
      <c r="Z309" s="66">
        <f>"SMALL|"&amp;A309</f>
        <v/>
      </c>
      <c r="AA309" s="66">
        <f>Q309&amp;"|"&amp;Z309</f>
        <v/>
      </c>
    </row>
    <row r="310" ht="15" customHeight="1" s="39">
      <c r="A310" s="67" t="inlineStr">
        <is>
          <t>RM</t>
        </is>
      </c>
      <c r="B310" s="67" t="n">
        <v>0</v>
      </c>
      <c r="C310" s="67" t="n">
        <v>0</v>
      </c>
      <c r="D310" s="67" t="n">
        <v>0</v>
      </c>
      <c r="E310" s="67" t="n">
        <v>0</v>
      </c>
      <c r="F310" s="67" t="n">
        <v>0</v>
      </c>
      <c r="G310" s="67" t="n">
        <v>0</v>
      </c>
      <c r="H310" s="67" t="n">
        <v>0</v>
      </c>
      <c r="I310" s="67" t="n">
        <v>0</v>
      </c>
      <c r="J310" s="67" t="n">
        <v>0</v>
      </c>
      <c r="K310" s="67" t="n">
        <v>0</v>
      </c>
      <c r="L310" s="67" t="n">
        <v>0</v>
      </c>
      <c r="M310" s="67" t="n">
        <v>0</v>
      </c>
      <c r="N310" s="67" t="n">
        <v>0</v>
      </c>
      <c r="O310" s="67" t="n">
        <v>0</v>
      </c>
      <c r="P310" s="67" t="n">
        <v>0</v>
      </c>
      <c r="Q310" s="66" t="inlineStr">
        <is>
          <t>Brownfield</t>
        </is>
      </c>
      <c r="Z310" s="66">
        <f>"SMALL|"&amp;A310</f>
        <v/>
      </c>
      <c r="AA310" s="66">
        <f>Q310&amp;"|"&amp;Z310</f>
        <v/>
      </c>
    </row>
    <row r="311" ht="15" customHeight="1" s="39">
      <c r="A311" s="67" t="inlineStr">
        <is>
          <t>RE/FX</t>
        </is>
      </c>
      <c r="B311" s="67" t="n">
        <v>0</v>
      </c>
      <c r="C311" s="67" t="n">
        <v>0</v>
      </c>
      <c r="D311" s="67" t="n">
        <v>0</v>
      </c>
      <c r="E311" s="67" t="n">
        <v>0</v>
      </c>
      <c r="F311" s="67" t="n">
        <v>0</v>
      </c>
      <c r="G311" s="67" t="n">
        <v>0</v>
      </c>
      <c r="H311" s="67" t="n">
        <v>0</v>
      </c>
      <c r="I311" s="67" t="n">
        <v>0</v>
      </c>
      <c r="J311" s="67" t="n">
        <v>0</v>
      </c>
      <c r="K311" s="67" t="n">
        <v>0</v>
      </c>
      <c r="L311" s="67" t="n">
        <v>0</v>
      </c>
      <c r="M311" s="67" t="n">
        <v>0</v>
      </c>
      <c r="N311" s="67" t="n">
        <v>0</v>
      </c>
      <c r="O311" s="67" t="n">
        <v>0</v>
      </c>
      <c r="P311" s="67" t="n">
        <v>0</v>
      </c>
      <c r="Q311" s="66" t="inlineStr">
        <is>
          <t>Brownfield</t>
        </is>
      </c>
      <c r="Z311" s="66">
        <f>"SMALL|"&amp;A311</f>
        <v/>
      </c>
      <c r="AA311" s="66">
        <f>Q311&amp;"|"&amp;Z311</f>
        <v/>
      </c>
    </row>
    <row r="312" ht="15" customHeight="1" s="39">
      <c r="A312" s="67" t="inlineStr">
        <is>
          <t>MM</t>
        </is>
      </c>
      <c r="B312" s="67" t="n">
        <v>24</v>
      </c>
      <c r="C312" s="67" t="n">
        <v>3</v>
      </c>
      <c r="D312" s="67" t="n">
        <v>2</v>
      </c>
      <c r="E312" s="67" t="n">
        <v>3</v>
      </c>
      <c r="F312" s="67" t="n">
        <v>2</v>
      </c>
      <c r="G312" s="67" t="n">
        <v>1</v>
      </c>
      <c r="H312" s="67" t="n">
        <v>1</v>
      </c>
      <c r="I312" s="67" t="n">
        <v>5</v>
      </c>
      <c r="J312" s="67" t="n">
        <v>5</v>
      </c>
      <c r="K312" s="67" t="n">
        <v>1</v>
      </c>
      <c r="L312" s="67" t="n">
        <v>1</v>
      </c>
      <c r="M312" s="67" t="n">
        <v>4</v>
      </c>
      <c r="N312" s="67" t="n">
        <v>4</v>
      </c>
      <c r="O312" s="67" t="n">
        <v>0</v>
      </c>
      <c r="P312" s="67" t="n">
        <v>0</v>
      </c>
      <c r="Q312" s="66" t="inlineStr">
        <is>
          <t>Brownfield</t>
        </is>
      </c>
      <c r="Z312" s="66">
        <f>"SMALL|"&amp;A312</f>
        <v/>
      </c>
      <c r="AA312" s="66">
        <f>Q312&amp;"|"&amp;Z312</f>
        <v/>
      </c>
    </row>
    <row r="313" ht="15" customHeight="1" s="39">
      <c r="A313" s="67" t="inlineStr">
        <is>
          <t>PP</t>
        </is>
      </c>
      <c r="B313" s="67" t="n">
        <v>24</v>
      </c>
      <c r="C313" s="67" t="n">
        <v>3</v>
      </c>
      <c r="D313" s="67" t="n">
        <v>2</v>
      </c>
      <c r="E313" s="67" t="n">
        <v>3</v>
      </c>
      <c r="F313" s="67" t="n">
        <v>2</v>
      </c>
      <c r="G313" s="67" t="n">
        <v>1</v>
      </c>
      <c r="H313" s="67" t="n">
        <v>1</v>
      </c>
      <c r="I313" s="67" t="n">
        <v>5</v>
      </c>
      <c r="J313" s="67" t="n">
        <v>5</v>
      </c>
      <c r="K313" s="67" t="n">
        <v>1</v>
      </c>
      <c r="L313" s="67" t="n">
        <v>1</v>
      </c>
      <c r="M313" s="67" t="n">
        <v>4</v>
      </c>
      <c r="N313" s="67" t="n">
        <v>4</v>
      </c>
      <c r="O313" s="67" t="n">
        <v>0</v>
      </c>
      <c r="P313" s="67" t="n">
        <v>0</v>
      </c>
      <c r="Q313" s="66" t="inlineStr">
        <is>
          <t>Brownfield</t>
        </is>
      </c>
      <c r="Z313" s="66">
        <f>"SMALL|"&amp;A313</f>
        <v/>
      </c>
      <c r="AA313" s="66">
        <f>Q313&amp;"|"&amp;Z313</f>
        <v/>
      </c>
    </row>
    <row r="314" ht="15" customHeight="1" s="39">
      <c r="A314" s="67" t="inlineStr">
        <is>
          <t>SD</t>
        </is>
      </c>
      <c r="B314" s="67" t="n">
        <v>24</v>
      </c>
      <c r="C314" s="67" t="n">
        <v>3</v>
      </c>
      <c r="D314" s="67" t="n">
        <v>2</v>
      </c>
      <c r="E314" s="67" t="n">
        <v>3</v>
      </c>
      <c r="F314" s="67" t="n">
        <v>2</v>
      </c>
      <c r="G314" s="67" t="n">
        <v>1</v>
      </c>
      <c r="H314" s="67" t="n">
        <v>1</v>
      </c>
      <c r="I314" s="67" t="n">
        <v>5</v>
      </c>
      <c r="J314" s="67" t="n">
        <v>5</v>
      </c>
      <c r="K314" s="67" t="n">
        <v>1</v>
      </c>
      <c r="L314" s="67" t="n">
        <v>1</v>
      </c>
      <c r="M314" s="67" t="n">
        <v>4</v>
      </c>
      <c r="N314" s="67" t="n">
        <v>4</v>
      </c>
      <c r="O314" s="67" t="n">
        <v>0</v>
      </c>
      <c r="P314" s="67" t="n">
        <v>0</v>
      </c>
      <c r="Q314" s="66" t="inlineStr">
        <is>
          <t>Brownfield</t>
        </is>
      </c>
      <c r="Z314" s="66">
        <f>"SMALL|"&amp;A314</f>
        <v/>
      </c>
      <c r="AA314" s="66">
        <f>Q314&amp;"|"&amp;Z314</f>
        <v/>
      </c>
    </row>
    <row r="315" ht="15" customHeight="1" s="39">
      <c r="A315" s="67" t="inlineStr">
        <is>
          <t>QM</t>
        </is>
      </c>
      <c r="B315" s="67" t="n">
        <v>15</v>
      </c>
      <c r="C315" s="67" t="n">
        <v>2</v>
      </c>
      <c r="D315" s="67" t="n">
        <v>1</v>
      </c>
      <c r="E315" s="67" t="n">
        <v>2</v>
      </c>
      <c r="F315" s="67" t="n">
        <v>2</v>
      </c>
      <c r="G315" s="67" t="n">
        <v>0.5</v>
      </c>
      <c r="H315" s="67" t="n">
        <v>1</v>
      </c>
      <c r="I315" s="67" t="n">
        <v>3</v>
      </c>
      <c r="J315" s="67" t="n">
        <v>3</v>
      </c>
      <c r="K315" s="67" t="n">
        <v>1</v>
      </c>
      <c r="L315" s="67" t="n">
        <v>0.5</v>
      </c>
      <c r="M315" s="67" t="n">
        <v>4</v>
      </c>
      <c r="N315" s="67" t="n">
        <v>4</v>
      </c>
      <c r="O315" s="67" t="n">
        <v>0</v>
      </c>
      <c r="P315" s="67" t="n">
        <v>0</v>
      </c>
      <c r="Q315" s="66" t="inlineStr">
        <is>
          <t>Brownfield</t>
        </is>
      </c>
      <c r="Z315" s="66">
        <f>"SMALL|"&amp;A315</f>
        <v/>
      </c>
      <c r="AA315" s="66">
        <f>Q315&amp;"|"&amp;Z315</f>
        <v/>
      </c>
    </row>
    <row r="316" ht="15" customHeight="1" s="39">
      <c r="A316" s="67" t="inlineStr">
        <is>
          <t>PM</t>
        </is>
      </c>
      <c r="B316" s="67" t="n">
        <v>12</v>
      </c>
      <c r="C316" s="67" t="n">
        <v>2</v>
      </c>
      <c r="D316" s="67" t="n">
        <v>1</v>
      </c>
      <c r="E316" s="67" t="n">
        <v>2</v>
      </c>
      <c r="F316" s="67" t="n">
        <v>2</v>
      </c>
      <c r="G316" s="67" t="n">
        <v>0.5</v>
      </c>
      <c r="H316" s="67" t="n">
        <v>1</v>
      </c>
      <c r="I316" s="67" t="n">
        <v>3</v>
      </c>
      <c r="J316" s="67" t="n">
        <v>3</v>
      </c>
      <c r="K316" s="67" t="n">
        <v>1</v>
      </c>
      <c r="L316" s="67" t="n">
        <v>0.5</v>
      </c>
      <c r="M316" s="67" t="n">
        <v>4</v>
      </c>
      <c r="N316" s="67" t="n">
        <v>4</v>
      </c>
      <c r="O316" s="67" t="n">
        <v>0</v>
      </c>
      <c r="P316" s="67" t="n">
        <v>0</v>
      </c>
      <c r="Q316" s="66" t="inlineStr">
        <is>
          <t>Brownfield</t>
        </is>
      </c>
      <c r="Z316" s="66">
        <f>"SMALL|"&amp;A316</f>
        <v/>
      </c>
      <c r="AA316" s="66">
        <f>Q316&amp;"|"&amp;Z316</f>
        <v/>
      </c>
    </row>
    <row r="317" ht="15" customHeight="1" s="39">
      <c r="A317" s="67" t="inlineStr">
        <is>
          <t>PS</t>
        </is>
      </c>
      <c r="B317" s="67" t="n">
        <v>12</v>
      </c>
      <c r="C317" s="67" t="n">
        <v>2</v>
      </c>
      <c r="D317" s="67" t="n">
        <v>1</v>
      </c>
      <c r="E317" s="67" t="n">
        <v>2</v>
      </c>
      <c r="F317" s="67" t="n">
        <v>2</v>
      </c>
      <c r="G317" s="67" t="n">
        <v>0.5</v>
      </c>
      <c r="H317" s="67" t="n">
        <v>1</v>
      </c>
      <c r="I317" s="67" t="n">
        <v>3</v>
      </c>
      <c r="J317" s="67" t="n">
        <v>3</v>
      </c>
      <c r="K317" s="67" t="n">
        <v>1</v>
      </c>
      <c r="L317" s="67" t="n">
        <v>0.5</v>
      </c>
      <c r="M317" s="67" t="n">
        <v>4</v>
      </c>
      <c r="N317" s="67" t="n">
        <v>4</v>
      </c>
      <c r="O317" s="67" t="n">
        <v>0</v>
      </c>
      <c r="P317" s="67" t="n">
        <v>0</v>
      </c>
      <c r="Q317" s="66" t="inlineStr">
        <is>
          <t>Brownfield</t>
        </is>
      </c>
      <c r="Z317" s="66">
        <f>"SMALL|"&amp;A317</f>
        <v/>
      </c>
      <c r="AA317" s="66">
        <f>Q317&amp;"|"&amp;Z317</f>
        <v/>
      </c>
    </row>
    <row r="318" ht="15" customHeight="1" s="39">
      <c r="A318" s="67" t="inlineStr">
        <is>
          <t>MII/DM</t>
        </is>
      </c>
      <c r="B318" s="67" t="n">
        <v>0</v>
      </c>
      <c r="C318" s="67" t="n">
        <v>0</v>
      </c>
      <c r="D318" s="67" t="n">
        <v>0</v>
      </c>
      <c r="E318" s="67" t="n">
        <v>0</v>
      </c>
      <c r="F318" s="67" t="n">
        <v>0</v>
      </c>
      <c r="G318" s="67" t="n">
        <v>0</v>
      </c>
      <c r="H318" s="67" t="n">
        <v>0</v>
      </c>
      <c r="I318" s="67" t="n">
        <v>0</v>
      </c>
      <c r="J318" s="67" t="n">
        <v>0</v>
      </c>
      <c r="K318" s="67" t="n">
        <v>0</v>
      </c>
      <c r="L318" s="67" t="n">
        <v>0</v>
      </c>
      <c r="M318" s="67" t="n">
        <v>0</v>
      </c>
      <c r="N318" s="67" t="n">
        <v>0</v>
      </c>
      <c r="O318" s="67" t="n">
        <v>0</v>
      </c>
      <c r="P318" s="67" t="n">
        <v>0</v>
      </c>
      <c r="Q318" s="66" t="inlineStr">
        <is>
          <t>Brownfield</t>
        </is>
      </c>
      <c r="Z318" s="66">
        <f>"SMALL|"&amp;A318</f>
        <v/>
      </c>
      <c r="AA318" s="66">
        <f>Q318&amp;"|"&amp;Z318</f>
        <v/>
      </c>
    </row>
    <row r="319" ht="15" customHeight="1" s="39">
      <c r="A319" s="67" t="inlineStr">
        <is>
          <t>PM Mobility</t>
        </is>
      </c>
      <c r="B319" s="67" t="n">
        <v>0</v>
      </c>
      <c r="C319" s="67" t="n">
        <v>0</v>
      </c>
      <c r="D319" s="67" t="n">
        <v>0</v>
      </c>
      <c r="E319" s="67" t="n">
        <v>0</v>
      </c>
      <c r="F319" s="67" t="n">
        <v>0</v>
      </c>
      <c r="G319" s="67" t="n">
        <v>0</v>
      </c>
      <c r="H319" s="67" t="n">
        <v>0</v>
      </c>
      <c r="I319" s="67" t="n">
        <v>0</v>
      </c>
      <c r="J319" s="67" t="n">
        <v>0</v>
      </c>
      <c r="K319" s="67" t="n">
        <v>0</v>
      </c>
      <c r="L319" s="67" t="n">
        <v>0</v>
      </c>
      <c r="M319" s="67" t="n">
        <v>0</v>
      </c>
      <c r="N319" s="67" t="n">
        <v>0</v>
      </c>
      <c r="O319" s="67" t="n">
        <v>0</v>
      </c>
      <c r="P319" s="67" t="n">
        <v>0</v>
      </c>
      <c r="Q319" s="66" t="inlineStr">
        <is>
          <t>Brownfield</t>
        </is>
      </c>
      <c r="Z319" s="66">
        <f>"SMALL|"&amp;A319</f>
        <v/>
      </c>
      <c r="AA319" s="66">
        <f>Q319&amp;"|"&amp;Z319</f>
        <v/>
      </c>
    </row>
    <row r="320" ht="15" customHeight="1" s="39">
      <c r="A320" s="67" t="inlineStr">
        <is>
          <t>Basic EWM</t>
        </is>
      </c>
      <c r="B320" s="67" t="n">
        <v>24</v>
      </c>
      <c r="C320" s="67" t="n">
        <v>3</v>
      </c>
      <c r="D320" s="67" t="n">
        <v>2</v>
      </c>
      <c r="E320" s="67" t="n">
        <v>3</v>
      </c>
      <c r="F320" s="67" t="n">
        <v>2</v>
      </c>
      <c r="G320" s="67" t="n">
        <v>1</v>
      </c>
      <c r="H320" s="67" t="n">
        <v>1</v>
      </c>
      <c r="I320" s="67" t="n">
        <v>5</v>
      </c>
      <c r="J320" s="67" t="n">
        <v>5</v>
      </c>
      <c r="K320" s="67" t="n">
        <v>1</v>
      </c>
      <c r="L320" s="67" t="n">
        <v>1</v>
      </c>
      <c r="M320" s="67" t="n">
        <v>4</v>
      </c>
      <c r="N320" s="67" t="n">
        <v>4</v>
      </c>
      <c r="O320" s="67" t="n">
        <v>0</v>
      </c>
      <c r="P320" s="67" t="n">
        <v>0</v>
      </c>
      <c r="Q320" s="66" t="inlineStr">
        <is>
          <t>Brownfield</t>
        </is>
      </c>
      <c r="Z320" s="66">
        <f>"SMALL|"&amp;A320</f>
        <v/>
      </c>
      <c r="AA320" s="66">
        <f>Q320&amp;"|"&amp;Z320</f>
        <v/>
      </c>
    </row>
    <row r="321" ht="15" customHeight="1" s="39">
      <c r="A321" s="67" t="inlineStr">
        <is>
          <t>Advanced EWM</t>
        </is>
      </c>
      <c r="B321" s="67" t="n">
        <v>0</v>
      </c>
      <c r="C321" s="67" t="n">
        <v>0</v>
      </c>
      <c r="D321" s="67" t="n">
        <v>0</v>
      </c>
      <c r="E321" s="67" t="n">
        <v>0</v>
      </c>
      <c r="F321" s="67" t="n">
        <v>0</v>
      </c>
      <c r="G321" s="67" t="n">
        <v>0</v>
      </c>
      <c r="H321" s="67" t="n">
        <v>0</v>
      </c>
      <c r="I321" s="67" t="n">
        <v>0</v>
      </c>
      <c r="J321" s="67" t="n">
        <v>0</v>
      </c>
      <c r="K321" s="67" t="n">
        <v>0</v>
      </c>
      <c r="L321" s="67" t="n">
        <v>0</v>
      </c>
      <c r="M321" s="67" t="n">
        <v>0</v>
      </c>
      <c r="N321" s="67" t="n">
        <v>0</v>
      </c>
      <c r="O321" s="67" t="n">
        <v>0</v>
      </c>
      <c r="P321" s="67" t="n">
        <v>0</v>
      </c>
      <c r="Q321" s="66" t="inlineStr">
        <is>
          <t>Brownfield</t>
        </is>
      </c>
      <c r="Z321" s="66">
        <f>"SMALL|"&amp;A321</f>
        <v/>
      </c>
      <c r="AA321" s="66">
        <f>Q321&amp;"|"&amp;Z321</f>
        <v/>
      </c>
    </row>
    <row r="322" ht="15" customHeight="1" s="39">
      <c r="A322" s="67" t="inlineStr">
        <is>
          <t>TM</t>
        </is>
      </c>
      <c r="B322" s="67" t="n">
        <v>15</v>
      </c>
      <c r="C322" s="67" t="n">
        <v>3</v>
      </c>
      <c r="D322" s="67" t="n">
        <v>1</v>
      </c>
      <c r="E322" s="67" t="n">
        <v>2</v>
      </c>
      <c r="F322" s="67" t="n">
        <v>2</v>
      </c>
      <c r="G322" s="67" t="n">
        <v>0.5</v>
      </c>
      <c r="H322" s="67" t="n">
        <v>1</v>
      </c>
      <c r="I322" s="67" t="n">
        <v>4</v>
      </c>
      <c r="J322" s="67" t="n">
        <v>4</v>
      </c>
      <c r="K322" s="67" t="n">
        <v>1</v>
      </c>
      <c r="L322" s="67" t="n">
        <v>1</v>
      </c>
      <c r="M322" s="67" t="n">
        <v>4</v>
      </c>
      <c r="N322" s="67" t="n">
        <v>4</v>
      </c>
      <c r="O322" s="67" t="n">
        <v>0</v>
      </c>
      <c r="P322" s="67" t="n">
        <v>0</v>
      </c>
      <c r="Q322" s="66" t="inlineStr">
        <is>
          <t>Brownfield</t>
        </is>
      </c>
      <c r="Z322" s="66">
        <f>"SMALL|"&amp;A322</f>
        <v/>
      </c>
      <c r="AA322" s="66">
        <f>Q322&amp;"|"&amp;Z322</f>
        <v/>
      </c>
    </row>
    <row r="323" ht="15" customHeight="1" s="39">
      <c r="A323" s="67" t="inlineStr">
        <is>
          <t>PPDS</t>
        </is>
      </c>
      <c r="B323" s="67" t="n">
        <v>16</v>
      </c>
      <c r="C323" s="67" t="n">
        <v>2</v>
      </c>
      <c r="D323" s="67" t="n">
        <v>2</v>
      </c>
      <c r="E323" s="67" t="n">
        <v>3</v>
      </c>
      <c r="F323" s="67" t="n">
        <v>3</v>
      </c>
      <c r="G323" s="67" t="n">
        <v>0.5</v>
      </c>
      <c r="H323" s="67" t="n">
        <v>0.5</v>
      </c>
      <c r="I323" s="67" t="n">
        <v>3</v>
      </c>
      <c r="J323" s="67" t="n">
        <v>3</v>
      </c>
      <c r="K323" s="67" t="n">
        <v>0.5</v>
      </c>
      <c r="L323" s="67" t="n">
        <v>0.5</v>
      </c>
      <c r="M323" s="67" t="n">
        <v>2</v>
      </c>
      <c r="N323" s="67" t="n">
        <v>2</v>
      </c>
      <c r="O323" s="67" t="n">
        <v>0</v>
      </c>
      <c r="P323" s="67" t="n">
        <v>0</v>
      </c>
      <c r="Q323" s="66" t="inlineStr">
        <is>
          <t>Brownfield</t>
        </is>
      </c>
      <c r="Z323" s="66">
        <f>"SMALL|"&amp;A323</f>
        <v/>
      </c>
      <c r="AA323" s="66">
        <f>Q323&amp;"|"&amp;Z323</f>
        <v/>
      </c>
    </row>
    <row r="324" ht="15" customHeight="1" s="39">
      <c r="A324" s="67" t="inlineStr">
        <is>
          <t>ABAP</t>
        </is>
      </c>
      <c r="B324" s="67" t="n">
        <v>0</v>
      </c>
      <c r="C324" s="67" t="n">
        <v>0</v>
      </c>
      <c r="D324" s="67" t="n">
        <v>0</v>
      </c>
      <c r="E324" s="67" t="n">
        <v>0</v>
      </c>
      <c r="F324" s="67" t="n">
        <v>0</v>
      </c>
      <c r="G324" s="67" t="n">
        <v>0</v>
      </c>
      <c r="H324" s="67" t="n">
        <v>0</v>
      </c>
      <c r="I324" s="67" t="n">
        <v>0</v>
      </c>
      <c r="J324" s="67" t="n">
        <v>0</v>
      </c>
      <c r="K324" s="67" t="n">
        <v>0</v>
      </c>
      <c r="L324" s="67" t="n">
        <v>0</v>
      </c>
      <c r="M324" s="67" t="n">
        <v>0</v>
      </c>
      <c r="N324" s="67" t="n">
        <v>0</v>
      </c>
      <c r="O324" s="67" t="n">
        <v>0</v>
      </c>
      <c r="P324" s="67" t="n">
        <v>0</v>
      </c>
      <c r="Q324" s="66" t="inlineStr">
        <is>
          <t>Brownfield</t>
        </is>
      </c>
      <c r="Z324" s="66">
        <f>"SMALL|"&amp;A324</f>
        <v/>
      </c>
      <c r="AA324" s="66">
        <f>Q324&amp;"|"&amp;Z324</f>
        <v/>
      </c>
    </row>
    <row r="325" ht="15" customHeight="1" s="39">
      <c r="A325" s="67" t="inlineStr">
        <is>
          <t>BASIS</t>
        </is>
      </c>
      <c r="B325" s="67" t="n">
        <v>0</v>
      </c>
      <c r="C325" s="67" t="n">
        <v>0</v>
      </c>
      <c r="D325" s="67" t="n">
        <v>0</v>
      </c>
      <c r="E325" s="67" t="n">
        <v>0</v>
      </c>
      <c r="F325" s="67" t="n">
        <v>0</v>
      </c>
      <c r="G325" s="67" t="n">
        <v>0</v>
      </c>
      <c r="H325" s="67" t="n">
        <v>0</v>
      </c>
      <c r="I325" s="67" t="n">
        <v>0</v>
      </c>
      <c r="J325" s="67" t="n">
        <v>0</v>
      </c>
      <c r="K325" s="67" t="n">
        <v>0</v>
      </c>
      <c r="L325" s="67" t="n">
        <v>0</v>
      </c>
      <c r="M325" s="67" t="n">
        <v>0</v>
      </c>
      <c r="N325" s="67" t="n">
        <v>0</v>
      </c>
      <c r="O325" s="67" t="n">
        <v>0</v>
      </c>
      <c r="P325" s="67" t="n">
        <v>0</v>
      </c>
      <c r="Q325" s="66" t="inlineStr">
        <is>
          <t>Brownfield</t>
        </is>
      </c>
      <c r="Z325" s="66">
        <f>"SMALL|"&amp;A325</f>
        <v/>
      </c>
      <c r="AA325" s="66">
        <f>Q325&amp;"|"&amp;Z325</f>
        <v/>
      </c>
    </row>
    <row r="326" ht="15" customHeight="1" s="39">
      <c r="A326" s="67" t="inlineStr">
        <is>
          <t>E-Fatura/Arşiv</t>
        </is>
      </c>
      <c r="B326" s="67" t="n">
        <v>3</v>
      </c>
      <c r="C326" s="67" t="n">
        <v>1</v>
      </c>
      <c r="D326" s="67" t="n">
        <v>0</v>
      </c>
      <c r="E326" s="67" t="n">
        <v>1</v>
      </c>
      <c r="F326" s="67" t="n">
        <v>2</v>
      </c>
      <c r="G326" s="67" t="n">
        <v>1</v>
      </c>
      <c r="H326" s="67" t="n">
        <v>1</v>
      </c>
      <c r="I326" s="67" t="n">
        <v>3</v>
      </c>
      <c r="J326" s="67" t="n">
        <v>3</v>
      </c>
      <c r="K326" s="67" t="n">
        <v>0</v>
      </c>
      <c r="L326" s="67" t="n">
        <v>1</v>
      </c>
      <c r="M326" s="67" t="n">
        <v>1</v>
      </c>
      <c r="N326" s="67" t="n">
        <v>0</v>
      </c>
      <c r="O326" s="67" t="n">
        <v>0</v>
      </c>
      <c r="P326" s="67" t="n">
        <v>0</v>
      </c>
      <c r="Q326" s="66" t="inlineStr">
        <is>
          <t>Brownfield</t>
        </is>
      </c>
      <c r="Z326" s="66">
        <f>"SMALL|"&amp;A326</f>
        <v/>
      </c>
      <c r="AA326" s="66">
        <f>Q326&amp;"|"&amp;Z326</f>
        <v/>
      </c>
    </row>
    <row r="327" ht="15" customHeight="1" s="39">
      <c r="A327" s="67" t="inlineStr">
        <is>
          <t>E-İrsaliye</t>
        </is>
      </c>
      <c r="B327" s="67" t="n">
        <v>3</v>
      </c>
      <c r="C327" s="67" t="n">
        <v>1</v>
      </c>
      <c r="D327" s="67" t="n">
        <v>0</v>
      </c>
      <c r="E327" s="67" t="n">
        <v>1</v>
      </c>
      <c r="F327" s="67" t="n">
        <v>2</v>
      </c>
      <c r="G327" s="67" t="n">
        <v>1</v>
      </c>
      <c r="H327" s="67" t="n">
        <v>1</v>
      </c>
      <c r="I327" s="67" t="n">
        <v>3</v>
      </c>
      <c r="J327" s="67" t="n">
        <v>3</v>
      </c>
      <c r="K327" s="67" t="n">
        <v>0</v>
      </c>
      <c r="L327" s="67" t="n">
        <v>1</v>
      </c>
      <c r="M327" s="67" t="n">
        <v>1</v>
      </c>
      <c r="N327" s="67" t="n">
        <v>0</v>
      </c>
      <c r="O327" s="67" t="n">
        <v>0</v>
      </c>
      <c r="P327" s="67" t="n">
        <v>0</v>
      </c>
      <c r="Q327" s="66" t="inlineStr">
        <is>
          <t>Brownfield</t>
        </is>
      </c>
      <c r="Z327" s="66">
        <f>"SMALL|"&amp;A327</f>
        <v/>
      </c>
      <c r="AA327" s="66">
        <f>Q327&amp;"|"&amp;Z327</f>
        <v/>
      </c>
    </row>
    <row r="328" ht="15" customHeight="1" s="39">
      <c r="A328" s="67" t="inlineStr">
        <is>
          <t>E-Defter</t>
        </is>
      </c>
      <c r="B328" s="67" t="n">
        <v>2</v>
      </c>
      <c r="C328" s="67" t="n">
        <v>1</v>
      </c>
      <c r="D328" s="67" t="n">
        <v>0</v>
      </c>
      <c r="E328" s="67" t="n">
        <v>1</v>
      </c>
      <c r="F328" s="67" t="n">
        <v>2</v>
      </c>
      <c r="G328" s="67" t="n">
        <v>1</v>
      </c>
      <c r="H328" s="67" t="n">
        <v>1</v>
      </c>
      <c r="I328" s="67" t="n">
        <v>0</v>
      </c>
      <c r="J328" s="67" t="n">
        <v>0</v>
      </c>
      <c r="K328" s="67" t="n">
        <v>0</v>
      </c>
      <c r="L328" s="67" t="n">
        <v>2</v>
      </c>
      <c r="M328" s="67" t="n">
        <v>1</v>
      </c>
      <c r="N328" s="67" t="n">
        <v>0</v>
      </c>
      <c r="O328" s="67" t="n">
        <v>0</v>
      </c>
      <c r="P328" s="67" t="n">
        <v>0</v>
      </c>
      <c r="Q328" s="66" t="inlineStr">
        <is>
          <t>Brownfield</t>
        </is>
      </c>
      <c r="Z328" s="66">
        <f>"SMALL|"&amp;A328</f>
        <v/>
      </c>
      <c r="AA328" s="66">
        <f>Q328&amp;"|"&amp;Z328</f>
        <v/>
      </c>
    </row>
    <row r="329" ht="15" customHeight="1" s="39">
      <c r="A329" s="67" t="inlineStr">
        <is>
          <t>E-Hesap Özeti</t>
        </is>
      </c>
      <c r="B329" s="67" t="n">
        <v>4</v>
      </c>
      <c r="C329" s="67" t="n">
        <v>1</v>
      </c>
      <c r="D329" s="67" t="n">
        <v>0</v>
      </c>
      <c r="E329" s="67" t="n">
        <v>3</v>
      </c>
      <c r="F329" s="67" t="n">
        <v>3</v>
      </c>
      <c r="G329" s="67" t="n">
        <v>1</v>
      </c>
      <c r="H329" s="67" t="n">
        <v>0</v>
      </c>
      <c r="I329" s="67" t="n">
        <v>2</v>
      </c>
      <c r="J329" s="67" t="n">
        <v>2</v>
      </c>
      <c r="K329" s="67" t="n">
        <v>0</v>
      </c>
      <c r="L329" s="67" t="n">
        <v>1</v>
      </c>
      <c r="M329" s="67" t="n">
        <v>1</v>
      </c>
      <c r="N329" s="67" t="n">
        <v>0</v>
      </c>
      <c r="O329" s="67" t="n">
        <v>0</v>
      </c>
      <c r="P329" s="67" t="n">
        <v>0</v>
      </c>
      <c r="Q329" s="66" t="inlineStr">
        <is>
          <t>Brownfield</t>
        </is>
      </c>
      <c r="Z329" s="66">
        <f>"SMALL|"&amp;A329</f>
        <v/>
      </c>
      <c r="AA329" s="66">
        <f>Q329&amp;"|"&amp;Z329</f>
        <v/>
      </c>
    </row>
    <row r="330" ht="15" customHeight="1" s="39">
      <c r="A330" s="67" t="inlineStr">
        <is>
          <t>E-Ödeme</t>
        </is>
      </c>
      <c r="B330" s="67" t="n">
        <v>4</v>
      </c>
      <c r="C330" s="67" t="n">
        <v>1</v>
      </c>
      <c r="D330" s="67" t="n">
        <v>0</v>
      </c>
      <c r="E330" s="67" t="n">
        <v>3</v>
      </c>
      <c r="F330" s="67" t="n">
        <v>3</v>
      </c>
      <c r="G330" s="67" t="n">
        <v>1</v>
      </c>
      <c r="H330" s="67" t="n">
        <v>0</v>
      </c>
      <c r="I330" s="67" t="n">
        <v>2</v>
      </c>
      <c r="J330" s="67" t="n">
        <v>2</v>
      </c>
      <c r="K330" s="67" t="n">
        <v>0</v>
      </c>
      <c r="L330" s="67" t="n">
        <v>1</v>
      </c>
      <c r="M330" s="67" t="n">
        <v>1</v>
      </c>
      <c r="N330" s="67" t="n">
        <v>0</v>
      </c>
      <c r="O330" s="67" t="n">
        <v>0</v>
      </c>
      <c r="P330" s="67" t="n">
        <v>0</v>
      </c>
      <c r="Q330" s="66" t="inlineStr">
        <is>
          <t>Brownfield</t>
        </is>
      </c>
      <c r="Z330" s="66">
        <f>"SMALL|"&amp;A330</f>
        <v/>
      </c>
      <c r="AA330" s="66">
        <f>Q330&amp;"|"&amp;Z330</f>
        <v/>
      </c>
    </row>
    <row r="331" ht="15" customHeight="1" s="39">
      <c r="A331" s="67" t="inlineStr">
        <is>
          <t>E-Mutabakat</t>
        </is>
      </c>
      <c r="B331" s="67" t="n">
        <v>2</v>
      </c>
      <c r="C331" s="67" t="n">
        <v>1</v>
      </c>
      <c r="D331" s="67" t="n">
        <v>0</v>
      </c>
      <c r="E331" s="67" t="n">
        <v>3</v>
      </c>
      <c r="F331" s="67" t="n">
        <v>3</v>
      </c>
      <c r="G331" s="67" t="n">
        <v>1</v>
      </c>
      <c r="H331" s="67" t="n">
        <v>0</v>
      </c>
      <c r="I331" s="67" t="n">
        <v>2</v>
      </c>
      <c r="J331" s="67" t="n">
        <v>2</v>
      </c>
      <c r="K331" s="67" t="n">
        <v>0</v>
      </c>
      <c r="L331" s="67" t="n">
        <v>1</v>
      </c>
      <c r="M331" s="67" t="n">
        <v>1</v>
      </c>
      <c r="N331" s="67" t="n">
        <v>0</v>
      </c>
      <c r="O331" s="67" t="n">
        <v>0</v>
      </c>
      <c r="P331" s="67" t="n">
        <v>0</v>
      </c>
      <c r="Q331" s="66" t="inlineStr">
        <is>
          <t>Brownfield</t>
        </is>
      </c>
      <c r="Z331" s="66">
        <f>"SMALL|"&amp;A331</f>
        <v/>
      </c>
      <c r="AA331" s="66">
        <f>Q331&amp;"|"&amp;Z331</f>
        <v/>
      </c>
    </row>
    <row r="332" ht="15" customHeight="1" s="39">
      <c r="A332" s="67" t="inlineStr">
        <is>
          <t>E-Beyanname</t>
        </is>
      </c>
      <c r="B332" s="67" t="n">
        <v>4</v>
      </c>
      <c r="C332" s="67" t="n">
        <v>2</v>
      </c>
      <c r="D332" s="67" t="n">
        <v>0</v>
      </c>
      <c r="E332" s="67" t="n">
        <v>4</v>
      </c>
      <c r="F332" s="67" t="n">
        <v>3</v>
      </c>
      <c r="G332" s="67" t="n">
        <v>1</v>
      </c>
      <c r="H332" s="67" t="n">
        <v>0</v>
      </c>
      <c r="I332" s="67" t="n">
        <v>0</v>
      </c>
      <c r="J332" s="67" t="n">
        <v>0</v>
      </c>
      <c r="K332" s="67" t="n">
        <v>0</v>
      </c>
      <c r="L332" s="67" t="n">
        <v>1</v>
      </c>
      <c r="M332" s="67" t="n">
        <v>1</v>
      </c>
      <c r="N332" s="67" t="n">
        <v>0</v>
      </c>
      <c r="O332" s="67" t="n">
        <v>0</v>
      </c>
      <c r="P332" s="67" t="n">
        <v>0</v>
      </c>
      <c r="Q332" s="66" t="inlineStr">
        <is>
          <t>Brownfield</t>
        </is>
      </c>
      <c r="Z332" s="66">
        <f>"SMALL|"&amp;A332</f>
        <v/>
      </c>
      <c r="AA332" s="66">
        <f>Q332&amp;"|"&amp;Z332</f>
        <v/>
      </c>
    </row>
    <row r="333" ht="15" customHeight="1" s="39">
      <c r="A333" s="67" t="inlineStr">
        <is>
          <t>Gelen Fatura Otomasyon</t>
        </is>
      </c>
      <c r="B333" s="67" t="n">
        <v>4</v>
      </c>
      <c r="C333" s="67" t="n">
        <v>1</v>
      </c>
      <c r="D333" s="67" t="n">
        <v>0</v>
      </c>
      <c r="E333" s="67" t="n">
        <v>3</v>
      </c>
      <c r="F333" s="67" t="n">
        <v>3</v>
      </c>
      <c r="G333" s="67" t="n">
        <v>1</v>
      </c>
      <c r="H333" s="67" t="n">
        <v>0</v>
      </c>
      <c r="I333" s="67" t="n">
        <v>2</v>
      </c>
      <c r="J333" s="67" t="n">
        <v>2</v>
      </c>
      <c r="K333" s="67" t="n">
        <v>0</v>
      </c>
      <c r="L333" s="67" t="n">
        <v>1</v>
      </c>
      <c r="M333" s="67" t="n">
        <v>1</v>
      </c>
      <c r="N333" s="67" t="n">
        <v>0</v>
      </c>
      <c r="O333" s="67" t="n">
        <v>0</v>
      </c>
      <c r="P333" s="67" t="n">
        <v>0</v>
      </c>
      <c r="Q333" s="66" t="inlineStr">
        <is>
          <t>Brownfield</t>
        </is>
      </c>
      <c r="Z333" s="66">
        <f>"SMALL|"&amp;A333</f>
        <v/>
      </c>
      <c r="AA333" s="66">
        <f>Q333&amp;"|"&amp;Z333</f>
        <v/>
      </c>
    </row>
    <row r="334" ht="15" customHeight="1" s="39">
      <c r="A334" s="67" t="inlineStr">
        <is>
          <t>GLASSWING</t>
        </is>
      </c>
      <c r="B334" s="67" t="n">
        <v>20</v>
      </c>
      <c r="C334" s="67" t="n">
        <v>2</v>
      </c>
      <c r="D334" s="67" t="n">
        <v>1</v>
      </c>
      <c r="E334" s="67" t="n">
        <v>5</v>
      </c>
      <c r="F334" s="67" t="n">
        <v>4</v>
      </c>
      <c r="G334" s="67" t="n">
        <v>1</v>
      </c>
      <c r="H334" s="67" t="n">
        <v>0</v>
      </c>
      <c r="I334" s="67" t="n">
        <v>8</v>
      </c>
      <c r="J334" s="67" t="n">
        <v>10</v>
      </c>
      <c r="K334" s="67" t="n">
        <v>4</v>
      </c>
      <c r="L334" s="67" t="n">
        <v>1</v>
      </c>
      <c r="M334" s="67" t="n">
        <v>1</v>
      </c>
      <c r="N334" s="67" t="n">
        <v>3</v>
      </c>
      <c r="O334" s="67" t="n">
        <v>0</v>
      </c>
      <c r="P334" s="67" t="n">
        <v>0</v>
      </c>
      <c r="Q334" s="66" t="inlineStr">
        <is>
          <t>Brownfield</t>
        </is>
      </c>
      <c r="Z334" s="66">
        <f>"SMALL|"&amp;A334</f>
        <v/>
      </c>
      <c r="AA334" s="66">
        <f>Q334&amp;"|"&amp;Z334</f>
        <v/>
      </c>
    </row>
    <row r="335" ht="15" customHeight="1" s="39">
      <c r="A335" s="67" t="inlineStr">
        <is>
          <t>COMMODITY</t>
        </is>
      </c>
      <c r="B335" s="67" t="n">
        <v>42</v>
      </c>
      <c r="C335" s="67" t="n">
        <v>6</v>
      </c>
      <c r="D335" s="67" t="n">
        <v>2</v>
      </c>
      <c r="E335" s="67" t="n">
        <v>5</v>
      </c>
      <c r="F335" s="67" t="n">
        <v>6</v>
      </c>
      <c r="G335" s="67" t="n">
        <v>2</v>
      </c>
      <c r="H335" s="67" t="n">
        <v>1</v>
      </c>
      <c r="I335" s="67" t="n">
        <v>12</v>
      </c>
      <c r="J335" s="67" t="n">
        <v>12</v>
      </c>
      <c r="K335" s="67" t="n">
        <v>2</v>
      </c>
      <c r="L335" s="67" t="n">
        <v>2</v>
      </c>
      <c r="M335" s="67" t="n">
        <v>3</v>
      </c>
      <c r="N335" s="67" t="n">
        <v>5</v>
      </c>
      <c r="O335" s="67" t="n">
        <v>0</v>
      </c>
      <c r="P335" s="67" t="n">
        <v>0</v>
      </c>
      <c r="Q335" s="66" t="inlineStr">
        <is>
          <t>Brownfield</t>
        </is>
      </c>
      <c r="Z335" s="66">
        <f>"SMALL|"&amp;A335</f>
        <v/>
      </c>
      <c r="AA335" s="66">
        <f>Q335&amp;"|"&amp;Z335</f>
        <v/>
      </c>
    </row>
    <row r="336" ht="15" customHeight="1" s="39">
      <c r="A336" s="67" t="inlineStr">
        <is>
          <t>Dış Ticaret Çözümü</t>
        </is>
      </c>
      <c r="B336" s="67" t="n">
        <v>0</v>
      </c>
      <c r="C336" s="67" t="n">
        <v>0</v>
      </c>
      <c r="D336" s="67" t="n">
        <v>0</v>
      </c>
      <c r="E336" s="67" t="n">
        <v>0</v>
      </c>
      <c r="F336" s="67" t="n">
        <v>0</v>
      </c>
      <c r="G336" s="67" t="n">
        <v>0</v>
      </c>
      <c r="H336" s="67" t="n">
        <v>0</v>
      </c>
      <c r="I336" s="67" t="n">
        <v>0</v>
      </c>
      <c r="J336" s="67" t="n">
        <v>0</v>
      </c>
      <c r="K336" s="67" t="n">
        <v>0</v>
      </c>
      <c r="L336" s="67" t="n">
        <v>0</v>
      </c>
      <c r="M336" s="67" t="n">
        <v>0</v>
      </c>
      <c r="N336" s="67" t="n">
        <v>0</v>
      </c>
      <c r="O336" s="67" t="n">
        <v>0</v>
      </c>
      <c r="P336" s="67" t="n">
        <v>0</v>
      </c>
      <c r="Q336" s="66" t="inlineStr">
        <is>
          <t>Brownfield</t>
        </is>
      </c>
      <c r="Z336" s="66">
        <f>"SMALL|"&amp;A336</f>
        <v/>
      </c>
      <c r="AA336" s="66">
        <f>Q336&amp;"|"&amp;Z336</f>
        <v/>
      </c>
    </row>
    <row r="337" ht="15" customHeight="1" s="39">
      <c r="A337" s="67" t="inlineStr">
        <is>
          <t>Seyahat ve Masraf Yönetimi</t>
        </is>
      </c>
      <c r="B337" s="67" t="n">
        <v>0</v>
      </c>
      <c r="C337" s="67" t="n">
        <v>0</v>
      </c>
      <c r="D337" s="67" t="n">
        <v>0</v>
      </c>
      <c r="E337" s="67" t="n">
        <v>0</v>
      </c>
      <c r="F337" s="67" t="n">
        <v>0</v>
      </c>
      <c r="G337" s="67" t="n">
        <v>0</v>
      </c>
      <c r="H337" s="67" t="n">
        <v>0</v>
      </c>
      <c r="I337" s="67" t="n">
        <v>0</v>
      </c>
      <c r="J337" s="67" t="n">
        <v>0</v>
      </c>
      <c r="K337" s="67" t="n">
        <v>0</v>
      </c>
      <c r="L337" s="67" t="n">
        <v>0</v>
      </c>
      <c r="M337" s="67" t="n">
        <v>0</v>
      </c>
      <c r="N337" s="67" t="n">
        <v>0</v>
      </c>
      <c r="O337" s="67" t="n">
        <v>0</v>
      </c>
      <c r="P337" s="67" t="n">
        <v>0</v>
      </c>
      <c r="Q337" s="66" t="inlineStr">
        <is>
          <t>Brownfield</t>
        </is>
      </c>
      <c r="Z337" s="66">
        <f>"SMALL|"&amp;A337</f>
        <v/>
      </c>
      <c r="AA337" s="66">
        <f>Q337&amp;"|"&amp;Z337</f>
        <v/>
      </c>
    </row>
    <row r="338" ht="15" customHeight="1" s="39">
      <c r="A338" s="67" t="inlineStr">
        <is>
          <t>NTT Data POS</t>
        </is>
      </c>
      <c r="B338" s="67" t="n">
        <v>0</v>
      </c>
      <c r="C338" s="67" t="n">
        <v>0</v>
      </c>
      <c r="D338" s="67" t="n">
        <v>0</v>
      </c>
      <c r="E338" s="67" t="n">
        <v>0</v>
      </c>
      <c r="F338" s="67" t="n">
        <v>0</v>
      </c>
      <c r="G338" s="67" t="n">
        <v>0</v>
      </c>
      <c r="H338" s="67" t="n">
        <v>0</v>
      </c>
      <c r="I338" s="67" t="n">
        <v>0</v>
      </c>
      <c r="J338" s="67" t="n">
        <v>0</v>
      </c>
      <c r="K338" s="67" t="n">
        <v>0</v>
      </c>
      <c r="L338" s="67" t="n">
        <v>0</v>
      </c>
      <c r="M338" s="67" t="n">
        <v>0</v>
      </c>
      <c r="N338" s="67" t="n">
        <v>0</v>
      </c>
      <c r="O338" s="67" t="n">
        <v>0</v>
      </c>
      <c r="P338" s="67" t="n">
        <v>0</v>
      </c>
      <c r="Q338" s="66" t="inlineStr">
        <is>
          <t>Brownfield</t>
        </is>
      </c>
      <c r="Z338" s="66">
        <f>"SMALL|"&amp;A338</f>
        <v/>
      </c>
      <c r="AA338" s="66">
        <f>Q338&amp;"|"&amp;Z338</f>
        <v/>
      </c>
    </row>
    <row r="340" ht="15" customHeight="1" s="39">
      <c r="A340" s="68" t="inlineStr">
        <is>
          <t>MEDIUM</t>
        </is>
      </c>
      <c r="Q340" s="68" t="inlineStr">
        <is>
          <t>Brownfield</t>
        </is>
      </c>
    </row>
    <row r="341" ht="15" customHeight="1" s="39">
      <c r="A341" s="67">
        <f>INDEX(Translations!$D:$ZZ, MATCH(74,Translations!$A:$A,0), MATCH('Project Information'!$C$4,Translations!$D$1:$ZZ$1,0))</f>
        <v/>
      </c>
      <c r="B341" s="67">
        <f>INDEX(Translations!$D:$ZZ, MATCH(75,Translations!$A:$A,0), MATCH('Project Information'!$C$4,Translations!$D$1:$ZZ$1,0))</f>
        <v/>
      </c>
      <c r="C341" s="67">
        <f>INDEX(Translations!$D:$ZZ, MATCH(76,Translations!$A:$A,0), MATCH('Project Information'!$C$4,Translations!$D$1:$ZZ$1,0))</f>
        <v/>
      </c>
      <c r="D341" s="67">
        <f>INDEX(Translations!$D:$ZZ, MATCH(77,Translations!$A:$A,0), MATCH('Project Information'!$C$4,Translations!$D$1:$ZZ$1,0))</f>
        <v/>
      </c>
      <c r="E341" s="67">
        <f>INDEX(Translations!$D:$ZZ, MATCH(78,Translations!$A:$A,0), MATCH('Project Information'!$C$4,Translations!$D$1:$ZZ$1,0))</f>
        <v/>
      </c>
      <c r="F341" s="67">
        <f>INDEX(Translations!$D:$ZZ, MATCH(79,Translations!$A:$A,0), MATCH('Project Information'!$C$4,Translations!$D$1:$ZZ$1,0))</f>
        <v/>
      </c>
      <c r="G341" s="67">
        <f>INDEX(Translations!$D:$ZZ, MATCH(80,Translations!$A:$A,0), MATCH('Project Information'!$C$4,Translations!$D$1:$ZZ$1,0))</f>
        <v/>
      </c>
      <c r="H341" s="67">
        <f>INDEX(Translations!$D:$ZZ, MATCH(81,Translations!$A:$A,0), MATCH('Project Information'!$C$4,Translations!$D$1:$ZZ$1,0))</f>
        <v/>
      </c>
      <c r="I341" s="67">
        <f>INDEX(Translations!$D:$ZZ, MATCH(82,Translations!$A:$A,0), MATCH('Project Information'!$C$4,Translations!$D$1:$ZZ$1,0))</f>
        <v/>
      </c>
      <c r="J341" s="67">
        <f>INDEX(Translations!$D:$ZZ, MATCH(83,Translations!$A:$A,0), MATCH('Project Information'!$C$4,Translations!$D$1:$ZZ$1,0))</f>
        <v/>
      </c>
      <c r="K341" s="67">
        <f>INDEX(Translations!$D:$ZZ, MATCH(84,Translations!$A:$A,0), MATCH('Project Information'!$C$4,Translations!$D$1:$ZZ$1,0))</f>
        <v/>
      </c>
      <c r="L341" s="67">
        <f>INDEX(Translations!$D:$ZZ, MATCH(85,Translations!$A:$A,0), MATCH('Project Information'!$C$4,Translations!$D$1:$ZZ$1,0))</f>
        <v/>
      </c>
      <c r="M341" s="67">
        <f>INDEX(Translations!$D:$ZZ, MATCH(86,Translations!$A:$A,0), MATCH('Project Information'!$C$4,Translations!$D$1:$ZZ$1,0))</f>
        <v/>
      </c>
      <c r="N341" s="67">
        <f>INDEX(Translations!$D:$ZZ, MATCH(87,Translations!$A:$A,0), MATCH('Project Information'!$C$4,Translations!$D$1:$ZZ$1,0))</f>
        <v/>
      </c>
      <c r="O341" s="67">
        <f>INDEX(Translations!$D:$ZZ, MATCH(88,Translations!$A:$A,0), MATCH('Project Information'!$C$4,Translations!$D$1:$ZZ$1,0))</f>
        <v/>
      </c>
      <c r="P341" s="67">
        <f>INDEX(Translations!$D:$ZZ, MATCH(89,Translations!$A:$A,0), MATCH('Project Information'!$C$4,Translations!$D$1:$ZZ$1,0))</f>
        <v/>
      </c>
      <c r="Q341" s="67" t="inlineStr">
        <is>
          <t>Implementation Type</t>
        </is>
      </c>
      <c r="Z341" s="67">
        <f>INDEX(Translations!$D:$ZZ, MATCH(93,Translations!$A:$A,0), MATCH('Project Information'!$C$4,Translations!$D$1:$ZZ$1,0))</f>
        <v/>
      </c>
      <c r="AA341" s="67" t="inlineStr">
        <is>
          <t>Implementation Key</t>
        </is>
      </c>
    </row>
    <row r="342" ht="15" customHeight="1" s="39">
      <c r="A342" s="67" t="inlineStr">
        <is>
          <t>FI</t>
        </is>
      </c>
      <c r="B342" s="67" t="n">
        <v>36</v>
      </c>
      <c r="C342" s="67" t="n">
        <v>3</v>
      </c>
      <c r="D342" s="67" t="n">
        <v>2</v>
      </c>
      <c r="E342" s="67" t="n">
        <v>3</v>
      </c>
      <c r="F342" s="67" t="n">
        <v>2</v>
      </c>
      <c r="G342" s="67" t="n">
        <v>1</v>
      </c>
      <c r="H342" s="67" t="n">
        <v>2</v>
      </c>
      <c r="I342" s="67" t="n">
        <v>18</v>
      </c>
      <c r="J342" s="67" t="n">
        <v>18</v>
      </c>
      <c r="K342" s="67" t="n">
        <v>1</v>
      </c>
      <c r="L342" s="67" t="n">
        <v>1</v>
      </c>
      <c r="M342" s="67" t="n">
        <v>8</v>
      </c>
      <c r="N342" s="67" t="n">
        <v>8</v>
      </c>
      <c r="O342" s="67" t="n">
        <v>0</v>
      </c>
      <c r="P342" s="67" t="n">
        <v>0</v>
      </c>
      <c r="Q342" s="66" t="inlineStr">
        <is>
          <t>Brownfield</t>
        </is>
      </c>
      <c r="Z342" s="66">
        <f>"MEDIUM|"&amp;A342</f>
        <v/>
      </c>
      <c r="AA342" s="66">
        <f>Q342&amp;"|"&amp;Z342</f>
        <v/>
      </c>
    </row>
    <row r="343" ht="15" customHeight="1" s="39">
      <c r="A343" s="67" t="inlineStr">
        <is>
          <t>CO</t>
        </is>
      </c>
      <c r="B343" s="67" t="n">
        <v>32</v>
      </c>
      <c r="C343" s="67" t="n">
        <v>3</v>
      </c>
      <c r="D343" s="67" t="n">
        <v>2</v>
      </c>
      <c r="E343" s="67" t="n">
        <v>3</v>
      </c>
      <c r="F343" s="67" t="n">
        <v>2</v>
      </c>
      <c r="G343" s="67" t="n">
        <v>1</v>
      </c>
      <c r="H343" s="67" t="n">
        <v>1</v>
      </c>
      <c r="I343" s="67" t="n">
        <v>18</v>
      </c>
      <c r="J343" s="67" t="n">
        <v>18</v>
      </c>
      <c r="K343" s="67" t="n">
        <v>1</v>
      </c>
      <c r="L343" s="67" t="n">
        <v>1</v>
      </c>
      <c r="M343" s="67" t="n">
        <v>5</v>
      </c>
      <c r="N343" s="67" t="n">
        <v>5</v>
      </c>
      <c r="O343" s="67" t="n">
        <v>0</v>
      </c>
      <c r="P343" s="67" t="n">
        <v>0</v>
      </c>
      <c r="Q343" s="66" t="inlineStr">
        <is>
          <t>Brownfield</t>
        </is>
      </c>
      <c r="Z343" s="66">
        <f>"MEDIUM|"&amp;A343</f>
        <v/>
      </c>
      <c r="AA343" s="66">
        <f>Q343&amp;"|"&amp;Z343</f>
        <v/>
      </c>
    </row>
    <row r="344" ht="15" customHeight="1" s="39">
      <c r="A344" s="67" t="inlineStr">
        <is>
          <t>TRM</t>
        </is>
      </c>
      <c r="B344" s="67" t="n">
        <v>12</v>
      </c>
      <c r="C344" s="67" t="n">
        <v>2</v>
      </c>
      <c r="D344" s="67" t="n">
        <v>1</v>
      </c>
      <c r="E344" s="67" t="n">
        <v>2</v>
      </c>
      <c r="F344" s="67" t="n">
        <v>1</v>
      </c>
      <c r="G344" s="67" t="n">
        <v>0.5</v>
      </c>
      <c r="H344" s="67" t="n">
        <v>0.5</v>
      </c>
      <c r="I344" s="67" t="n">
        <v>6</v>
      </c>
      <c r="J344" s="67" t="n">
        <v>6</v>
      </c>
      <c r="K344" s="67" t="n">
        <v>0.5</v>
      </c>
      <c r="L344" s="67" t="n">
        <v>0.5</v>
      </c>
      <c r="M344" s="67" t="n">
        <v>5</v>
      </c>
      <c r="N344" s="67" t="n">
        <v>5</v>
      </c>
      <c r="O344" s="67" t="n">
        <v>0</v>
      </c>
      <c r="P344" s="67" t="n">
        <v>0</v>
      </c>
      <c r="Q344" s="66" t="inlineStr">
        <is>
          <t>Brownfield</t>
        </is>
      </c>
      <c r="Z344" s="66">
        <f>"MEDIUM|"&amp;A344</f>
        <v/>
      </c>
      <c r="AA344" s="66">
        <f>Q344&amp;"|"&amp;Z344</f>
        <v/>
      </c>
    </row>
    <row r="345" ht="15" customHeight="1" s="39">
      <c r="A345" s="67" t="inlineStr">
        <is>
          <t>CM</t>
        </is>
      </c>
      <c r="B345" s="67" t="n">
        <v>8</v>
      </c>
      <c r="C345" s="67" t="n">
        <v>1</v>
      </c>
      <c r="D345" s="67" t="n">
        <v>1</v>
      </c>
      <c r="E345" s="67" t="n">
        <v>1</v>
      </c>
      <c r="F345" s="67" t="n">
        <v>1</v>
      </c>
      <c r="G345" s="67" t="n">
        <v>0.5</v>
      </c>
      <c r="H345" s="67" t="n">
        <v>0.5</v>
      </c>
      <c r="I345" s="67" t="n">
        <v>2</v>
      </c>
      <c r="J345" s="67" t="n">
        <v>2</v>
      </c>
      <c r="K345" s="67" t="n">
        <v>0.5</v>
      </c>
      <c r="L345" s="67" t="n">
        <v>0.5</v>
      </c>
      <c r="M345" s="67" t="n">
        <v>2</v>
      </c>
      <c r="N345" s="67" t="n">
        <v>2</v>
      </c>
      <c r="O345" s="67" t="n">
        <v>0</v>
      </c>
      <c r="P345" s="67" t="n">
        <v>0</v>
      </c>
      <c r="Q345" s="66" t="inlineStr">
        <is>
          <t>Brownfield</t>
        </is>
      </c>
      <c r="Z345" s="66">
        <f>"MEDIUM|"&amp;A345</f>
        <v/>
      </c>
      <c r="AA345" s="66">
        <f>Q345&amp;"|"&amp;Z345</f>
        <v/>
      </c>
    </row>
    <row r="346" ht="15" customHeight="1" s="39">
      <c r="A346" s="67" t="inlineStr">
        <is>
          <t>FM</t>
        </is>
      </c>
      <c r="B346" s="67" t="n">
        <v>8</v>
      </c>
      <c r="C346" s="67" t="n">
        <v>1</v>
      </c>
      <c r="D346" s="67" t="n">
        <v>1</v>
      </c>
      <c r="E346" s="67" t="n">
        <v>1</v>
      </c>
      <c r="F346" s="67" t="n">
        <v>1</v>
      </c>
      <c r="G346" s="67" t="n">
        <v>0.5</v>
      </c>
      <c r="H346" s="67" t="n">
        <v>0.5</v>
      </c>
      <c r="I346" s="67" t="n">
        <v>2</v>
      </c>
      <c r="J346" s="67" t="n">
        <v>2</v>
      </c>
      <c r="K346" s="67" t="n">
        <v>0.5</v>
      </c>
      <c r="L346" s="67" t="n">
        <v>0.5</v>
      </c>
      <c r="M346" s="67" t="n">
        <v>2</v>
      </c>
      <c r="N346" s="67" t="n">
        <v>2</v>
      </c>
      <c r="O346" s="67" t="n">
        <v>0</v>
      </c>
      <c r="P346" s="67" t="n">
        <v>0</v>
      </c>
      <c r="Q346" s="66" t="inlineStr">
        <is>
          <t>Brownfield</t>
        </is>
      </c>
      <c r="Z346" s="66">
        <f>"MEDIUM|"&amp;A346</f>
        <v/>
      </c>
      <c r="AA346" s="66">
        <f>Q346&amp;"|"&amp;Z346</f>
        <v/>
      </c>
    </row>
    <row r="347" ht="15" customHeight="1" s="39">
      <c r="A347" s="67" t="inlineStr">
        <is>
          <t>RM</t>
        </is>
      </c>
      <c r="B347" s="67" t="n">
        <v>0</v>
      </c>
      <c r="C347" s="67" t="n">
        <v>0</v>
      </c>
      <c r="D347" s="67" t="n">
        <v>0</v>
      </c>
      <c r="E347" s="67" t="n">
        <v>0</v>
      </c>
      <c r="F347" s="67" t="n">
        <v>0</v>
      </c>
      <c r="G347" s="67" t="n">
        <v>0</v>
      </c>
      <c r="H347" s="67" t="n">
        <v>0</v>
      </c>
      <c r="I347" s="67" t="n">
        <v>0</v>
      </c>
      <c r="J347" s="67" t="n">
        <v>0</v>
      </c>
      <c r="K347" s="67" t="n">
        <v>0</v>
      </c>
      <c r="L347" s="67" t="n">
        <v>0</v>
      </c>
      <c r="M347" s="67" t="n">
        <v>0</v>
      </c>
      <c r="N347" s="67" t="n">
        <v>0</v>
      </c>
      <c r="O347" s="67" t="n">
        <v>0</v>
      </c>
      <c r="P347" s="67" t="n">
        <v>0</v>
      </c>
      <c r="Q347" s="66" t="inlineStr">
        <is>
          <t>Brownfield</t>
        </is>
      </c>
      <c r="Z347" s="66">
        <f>"MEDIUM|"&amp;A347</f>
        <v/>
      </c>
      <c r="AA347" s="66">
        <f>Q347&amp;"|"&amp;Z347</f>
        <v/>
      </c>
    </row>
    <row r="348" ht="15" customHeight="1" s="39">
      <c r="A348" s="67" t="inlineStr">
        <is>
          <t>RE/FX</t>
        </is>
      </c>
      <c r="B348" s="67" t="n">
        <v>0</v>
      </c>
      <c r="C348" s="67" t="n">
        <v>0</v>
      </c>
      <c r="D348" s="67" t="n">
        <v>0</v>
      </c>
      <c r="E348" s="67" t="n">
        <v>0</v>
      </c>
      <c r="F348" s="67" t="n">
        <v>0</v>
      </c>
      <c r="G348" s="67" t="n">
        <v>0</v>
      </c>
      <c r="H348" s="67" t="n">
        <v>0</v>
      </c>
      <c r="I348" s="67" t="n">
        <v>0</v>
      </c>
      <c r="J348" s="67" t="n">
        <v>0</v>
      </c>
      <c r="K348" s="67" t="n">
        <v>0</v>
      </c>
      <c r="L348" s="67" t="n">
        <v>0</v>
      </c>
      <c r="M348" s="67" t="n">
        <v>0</v>
      </c>
      <c r="N348" s="67" t="n">
        <v>0</v>
      </c>
      <c r="O348" s="67" t="n">
        <v>0</v>
      </c>
      <c r="P348" s="67" t="n">
        <v>0</v>
      </c>
      <c r="Q348" s="66" t="inlineStr">
        <is>
          <t>Brownfield</t>
        </is>
      </c>
      <c r="Z348" s="66">
        <f>"MEDIUM|"&amp;A348</f>
        <v/>
      </c>
      <c r="AA348" s="66">
        <f>Q348&amp;"|"&amp;Z348</f>
        <v/>
      </c>
    </row>
    <row r="349" ht="15" customHeight="1" s="39">
      <c r="A349" s="67" t="inlineStr">
        <is>
          <t>MM</t>
        </is>
      </c>
      <c r="B349" s="67" t="n">
        <v>42</v>
      </c>
      <c r="C349" s="67" t="n">
        <v>3</v>
      </c>
      <c r="D349" s="67" t="n">
        <v>2</v>
      </c>
      <c r="E349" s="67" t="n">
        <v>3</v>
      </c>
      <c r="F349" s="67" t="n">
        <v>2</v>
      </c>
      <c r="G349" s="67" t="n">
        <v>1</v>
      </c>
      <c r="H349" s="67" t="n">
        <v>3</v>
      </c>
      <c r="I349" s="67" t="n">
        <v>18</v>
      </c>
      <c r="J349" s="67" t="n">
        <v>18</v>
      </c>
      <c r="K349" s="67" t="n">
        <v>1</v>
      </c>
      <c r="L349" s="67" t="n">
        <v>1</v>
      </c>
      <c r="M349" s="67" t="n">
        <v>10</v>
      </c>
      <c r="N349" s="67" t="n">
        <v>10</v>
      </c>
      <c r="O349" s="67" t="n">
        <v>0</v>
      </c>
      <c r="P349" s="67" t="n">
        <v>0</v>
      </c>
      <c r="Q349" s="66" t="inlineStr">
        <is>
          <t>Brownfield</t>
        </is>
      </c>
      <c r="Z349" s="66">
        <f>"MEDIUM|"&amp;A349</f>
        <v/>
      </c>
      <c r="AA349" s="66">
        <f>Q349&amp;"|"&amp;Z349</f>
        <v/>
      </c>
    </row>
    <row r="350" ht="15" customHeight="1" s="39">
      <c r="A350" s="67" t="inlineStr">
        <is>
          <t>PP</t>
        </is>
      </c>
      <c r="B350" s="67" t="n">
        <v>42</v>
      </c>
      <c r="C350" s="67" t="n">
        <v>3</v>
      </c>
      <c r="D350" s="67" t="n">
        <v>2</v>
      </c>
      <c r="E350" s="67" t="n">
        <v>3</v>
      </c>
      <c r="F350" s="67" t="n">
        <v>2</v>
      </c>
      <c r="G350" s="67" t="n">
        <v>1</v>
      </c>
      <c r="H350" s="67" t="n">
        <v>3</v>
      </c>
      <c r="I350" s="67" t="n">
        <v>18</v>
      </c>
      <c r="J350" s="67" t="n">
        <v>18</v>
      </c>
      <c r="K350" s="67" t="n">
        <v>1</v>
      </c>
      <c r="L350" s="67" t="n">
        <v>1</v>
      </c>
      <c r="M350" s="67" t="n">
        <v>10</v>
      </c>
      <c r="N350" s="67" t="n">
        <v>10</v>
      </c>
      <c r="O350" s="67" t="n">
        <v>0</v>
      </c>
      <c r="P350" s="67" t="n">
        <v>0</v>
      </c>
      <c r="Q350" s="66" t="inlineStr">
        <is>
          <t>Brownfield</t>
        </is>
      </c>
      <c r="Z350" s="66">
        <f>"MEDIUM|"&amp;A350</f>
        <v/>
      </c>
      <c r="AA350" s="66">
        <f>Q350&amp;"|"&amp;Z350</f>
        <v/>
      </c>
    </row>
    <row r="351" ht="15" customHeight="1" s="39">
      <c r="A351" s="67" t="inlineStr">
        <is>
          <t>SD</t>
        </is>
      </c>
      <c r="B351" s="67" t="n">
        <v>42</v>
      </c>
      <c r="C351" s="67" t="n">
        <v>3</v>
      </c>
      <c r="D351" s="67" t="n">
        <v>2</v>
      </c>
      <c r="E351" s="67" t="n">
        <v>3</v>
      </c>
      <c r="F351" s="67" t="n">
        <v>2</v>
      </c>
      <c r="G351" s="67" t="n">
        <v>1</v>
      </c>
      <c r="H351" s="67" t="n">
        <v>2</v>
      </c>
      <c r="I351" s="67" t="n">
        <v>18</v>
      </c>
      <c r="J351" s="67" t="n">
        <v>18</v>
      </c>
      <c r="K351" s="67" t="n">
        <v>1</v>
      </c>
      <c r="L351" s="67" t="n">
        <v>1</v>
      </c>
      <c r="M351" s="67" t="n">
        <v>8</v>
      </c>
      <c r="N351" s="67" t="n">
        <v>8</v>
      </c>
      <c r="O351" s="67" t="n">
        <v>0</v>
      </c>
      <c r="P351" s="67" t="n">
        <v>0</v>
      </c>
      <c r="Q351" s="66" t="inlineStr">
        <is>
          <t>Brownfield</t>
        </is>
      </c>
      <c r="Z351" s="66">
        <f>"MEDIUM|"&amp;A351</f>
        <v/>
      </c>
      <c r="AA351" s="66">
        <f>Q351&amp;"|"&amp;Z351</f>
        <v/>
      </c>
    </row>
    <row r="352" ht="15" customHeight="1" s="39">
      <c r="A352" s="67" t="inlineStr">
        <is>
          <t>QM</t>
        </is>
      </c>
      <c r="B352" s="67" t="n">
        <v>32</v>
      </c>
      <c r="C352" s="67" t="n">
        <v>2</v>
      </c>
      <c r="D352" s="67" t="n">
        <v>1</v>
      </c>
      <c r="E352" s="67" t="n">
        <v>2</v>
      </c>
      <c r="F352" s="67" t="n">
        <v>2</v>
      </c>
      <c r="G352" s="67" t="n">
        <v>0.5</v>
      </c>
      <c r="H352" s="67" t="n">
        <v>3</v>
      </c>
      <c r="I352" s="67" t="n">
        <v>18</v>
      </c>
      <c r="J352" s="67" t="n">
        <v>18</v>
      </c>
      <c r="K352" s="67" t="n">
        <v>1</v>
      </c>
      <c r="L352" s="67" t="n">
        <v>0.5</v>
      </c>
      <c r="M352" s="67" t="n">
        <v>8</v>
      </c>
      <c r="N352" s="67" t="n">
        <v>8</v>
      </c>
      <c r="O352" s="67" t="n">
        <v>0</v>
      </c>
      <c r="P352" s="67" t="n">
        <v>0</v>
      </c>
      <c r="Q352" s="66" t="inlineStr">
        <is>
          <t>Brownfield</t>
        </is>
      </c>
      <c r="Z352" s="66">
        <f>"MEDIUM|"&amp;A352</f>
        <v/>
      </c>
      <c r="AA352" s="66">
        <f>Q352&amp;"|"&amp;Z352</f>
        <v/>
      </c>
    </row>
    <row r="353" ht="15" customHeight="1" s="39">
      <c r="A353" s="67" t="inlineStr">
        <is>
          <t>PM</t>
        </is>
      </c>
      <c r="B353" s="67" t="n">
        <v>24</v>
      </c>
      <c r="C353" s="67" t="n">
        <v>2</v>
      </c>
      <c r="D353" s="67" t="n">
        <v>1</v>
      </c>
      <c r="E353" s="67" t="n">
        <v>2</v>
      </c>
      <c r="F353" s="67" t="n">
        <v>2</v>
      </c>
      <c r="G353" s="67" t="n">
        <v>0.5</v>
      </c>
      <c r="H353" s="67" t="n">
        <v>2</v>
      </c>
      <c r="I353" s="67" t="n">
        <v>8</v>
      </c>
      <c r="J353" s="67" t="n">
        <v>8</v>
      </c>
      <c r="K353" s="67" t="n">
        <v>1</v>
      </c>
      <c r="L353" s="67" t="n">
        <v>0.5</v>
      </c>
      <c r="M353" s="67" t="n">
        <v>4</v>
      </c>
      <c r="N353" s="67" t="n">
        <v>4</v>
      </c>
      <c r="O353" s="67" t="n">
        <v>0</v>
      </c>
      <c r="P353" s="67" t="n">
        <v>0</v>
      </c>
      <c r="Q353" s="66" t="inlineStr">
        <is>
          <t>Brownfield</t>
        </is>
      </c>
      <c r="Z353" s="66">
        <f>"MEDIUM|"&amp;A353</f>
        <v/>
      </c>
      <c r="AA353" s="66">
        <f>Q353&amp;"|"&amp;Z353</f>
        <v/>
      </c>
    </row>
    <row r="354" ht="15" customHeight="1" s="39">
      <c r="A354" s="67" t="inlineStr">
        <is>
          <t>PS</t>
        </is>
      </c>
      <c r="B354" s="67" t="n">
        <v>24</v>
      </c>
      <c r="C354" s="67" t="n">
        <v>2</v>
      </c>
      <c r="D354" s="67" t="n">
        <v>1</v>
      </c>
      <c r="E354" s="67" t="n">
        <v>2</v>
      </c>
      <c r="F354" s="67" t="n">
        <v>2</v>
      </c>
      <c r="G354" s="67" t="n">
        <v>0.5</v>
      </c>
      <c r="H354" s="67" t="n">
        <v>2</v>
      </c>
      <c r="I354" s="67" t="n">
        <v>6</v>
      </c>
      <c r="J354" s="67" t="n">
        <v>6</v>
      </c>
      <c r="K354" s="67" t="n">
        <v>1</v>
      </c>
      <c r="L354" s="67" t="n">
        <v>0.5</v>
      </c>
      <c r="M354" s="67" t="n">
        <v>4</v>
      </c>
      <c r="N354" s="67" t="n">
        <v>4</v>
      </c>
      <c r="O354" s="67" t="n">
        <v>0</v>
      </c>
      <c r="P354" s="67" t="n">
        <v>0</v>
      </c>
      <c r="Q354" s="66" t="inlineStr">
        <is>
          <t>Brownfield</t>
        </is>
      </c>
      <c r="Z354" s="66">
        <f>"MEDIUM|"&amp;A354</f>
        <v/>
      </c>
      <c r="AA354" s="66">
        <f>Q354&amp;"|"&amp;Z354</f>
        <v/>
      </c>
    </row>
    <row r="355" ht="15" customHeight="1" s="39">
      <c r="A355" s="67" t="inlineStr">
        <is>
          <t>MII/DM</t>
        </is>
      </c>
      <c r="B355" s="67" t="n">
        <v>0</v>
      </c>
      <c r="C355" s="67" t="n">
        <v>0</v>
      </c>
      <c r="D355" s="67" t="n">
        <v>0</v>
      </c>
      <c r="E355" s="67" t="n">
        <v>0</v>
      </c>
      <c r="F355" s="67" t="n">
        <v>0</v>
      </c>
      <c r="G355" s="67" t="n">
        <v>0</v>
      </c>
      <c r="H355" s="67" t="n">
        <v>0</v>
      </c>
      <c r="I355" s="67" t="n">
        <v>0</v>
      </c>
      <c r="J355" s="67" t="n">
        <v>0</v>
      </c>
      <c r="K355" s="67" t="n">
        <v>0</v>
      </c>
      <c r="L355" s="67" t="n">
        <v>0</v>
      </c>
      <c r="M355" s="67" t="n">
        <v>0</v>
      </c>
      <c r="N355" s="67" t="n">
        <v>0</v>
      </c>
      <c r="O355" s="67" t="n">
        <v>0</v>
      </c>
      <c r="P355" s="67" t="n">
        <v>0</v>
      </c>
      <c r="Q355" s="66" t="inlineStr">
        <is>
          <t>Brownfield</t>
        </is>
      </c>
      <c r="Z355" s="66">
        <f>"MEDIUM|"&amp;A355</f>
        <v/>
      </c>
      <c r="AA355" s="66">
        <f>Q355&amp;"|"&amp;Z355</f>
        <v/>
      </c>
    </row>
    <row r="356" ht="15" customHeight="1" s="39">
      <c r="A356" s="67" t="inlineStr">
        <is>
          <t>PM Mobility</t>
        </is>
      </c>
      <c r="B356" s="67" t="n">
        <v>0</v>
      </c>
      <c r="C356" s="67" t="n">
        <v>0</v>
      </c>
      <c r="D356" s="67" t="n">
        <v>0</v>
      </c>
      <c r="E356" s="67" t="n">
        <v>0</v>
      </c>
      <c r="F356" s="67" t="n">
        <v>0</v>
      </c>
      <c r="G356" s="67" t="n">
        <v>0</v>
      </c>
      <c r="H356" s="67" t="n">
        <v>0</v>
      </c>
      <c r="I356" s="67" t="n">
        <v>0</v>
      </c>
      <c r="J356" s="67" t="n">
        <v>0</v>
      </c>
      <c r="K356" s="67" t="n">
        <v>0</v>
      </c>
      <c r="L356" s="67" t="n">
        <v>0</v>
      </c>
      <c r="M356" s="67" t="n">
        <v>0</v>
      </c>
      <c r="N356" s="67" t="n">
        <v>0</v>
      </c>
      <c r="O356" s="67" t="n">
        <v>0</v>
      </c>
      <c r="P356" s="67" t="n">
        <v>0</v>
      </c>
      <c r="Q356" s="66" t="inlineStr">
        <is>
          <t>Brownfield</t>
        </is>
      </c>
      <c r="Z356" s="66">
        <f>"MEDIUM|"&amp;A356</f>
        <v/>
      </c>
      <c r="AA356" s="66">
        <f>Q356&amp;"|"&amp;Z356</f>
        <v/>
      </c>
    </row>
    <row r="357" ht="15" customHeight="1" s="39">
      <c r="A357" s="67" t="inlineStr">
        <is>
          <t>Basic EWM</t>
        </is>
      </c>
      <c r="B357" s="67" t="n">
        <v>40</v>
      </c>
      <c r="C357" s="67" t="n">
        <v>3</v>
      </c>
      <c r="D357" s="67" t="n">
        <v>2</v>
      </c>
      <c r="E357" s="67" t="n">
        <v>3</v>
      </c>
      <c r="F357" s="67" t="n">
        <v>2</v>
      </c>
      <c r="G357" s="67" t="n">
        <v>1</v>
      </c>
      <c r="H357" s="67" t="n">
        <v>2</v>
      </c>
      <c r="I357" s="67" t="n">
        <v>18</v>
      </c>
      <c r="J357" s="67" t="n">
        <v>18</v>
      </c>
      <c r="K357" s="67" t="n">
        <v>1</v>
      </c>
      <c r="L357" s="67" t="n">
        <v>1</v>
      </c>
      <c r="M357" s="67" t="n">
        <v>8</v>
      </c>
      <c r="N357" s="67" t="n">
        <v>8</v>
      </c>
      <c r="O357" s="67" t="n">
        <v>0</v>
      </c>
      <c r="P357" s="67" t="n">
        <v>0</v>
      </c>
      <c r="Q357" s="66" t="inlineStr">
        <is>
          <t>Brownfield</t>
        </is>
      </c>
      <c r="Z357" s="66">
        <f>"MEDIUM|"&amp;A357</f>
        <v/>
      </c>
      <c r="AA357" s="66">
        <f>Q357&amp;"|"&amp;Z357</f>
        <v/>
      </c>
    </row>
    <row r="358" ht="15" customHeight="1" s="39">
      <c r="A358" s="67" t="inlineStr">
        <is>
          <t>Advanced EWM</t>
        </is>
      </c>
      <c r="B358" s="67" t="n">
        <v>0</v>
      </c>
      <c r="C358" s="67" t="n">
        <v>0</v>
      </c>
      <c r="D358" s="67" t="n">
        <v>0</v>
      </c>
      <c r="E358" s="67" t="n">
        <v>0</v>
      </c>
      <c r="F358" s="67" t="n">
        <v>0</v>
      </c>
      <c r="G358" s="67" t="n">
        <v>0</v>
      </c>
      <c r="H358" s="67" t="n">
        <v>0</v>
      </c>
      <c r="I358" s="67" t="n">
        <v>0</v>
      </c>
      <c r="J358" s="67" t="n">
        <v>0</v>
      </c>
      <c r="K358" s="67" t="n">
        <v>0</v>
      </c>
      <c r="L358" s="67" t="n">
        <v>0</v>
      </c>
      <c r="M358" s="67" t="n">
        <v>0</v>
      </c>
      <c r="N358" s="67" t="n">
        <v>0</v>
      </c>
      <c r="O358" s="67" t="n">
        <v>0</v>
      </c>
      <c r="P358" s="67" t="n">
        <v>0</v>
      </c>
      <c r="Q358" s="66" t="inlineStr">
        <is>
          <t>Brownfield</t>
        </is>
      </c>
      <c r="Z358" s="66">
        <f>"MEDIUM|"&amp;A358</f>
        <v/>
      </c>
      <c r="AA358" s="66">
        <f>Q358&amp;"|"&amp;Z358</f>
        <v/>
      </c>
    </row>
    <row r="359" ht="15" customHeight="1" s="39">
      <c r="A359" s="67" t="inlineStr">
        <is>
          <t>TM</t>
        </is>
      </c>
      <c r="B359" s="67" t="n">
        <v>24</v>
      </c>
      <c r="C359" s="67" t="n">
        <v>3</v>
      </c>
      <c r="D359" s="67" t="n">
        <v>2</v>
      </c>
      <c r="E359" s="67" t="n">
        <v>2</v>
      </c>
      <c r="F359" s="67" t="n">
        <v>2</v>
      </c>
      <c r="G359" s="67" t="n">
        <v>1</v>
      </c>
      <c r="H359" s="67" t="n">
        <v>2</v>
      </c>
      <c r="I359" s="67" t="n">
        <v>15</v>
      </c>
      <c r="J359" s="67" t="n">
        <v>15</v>
      </c>
      <c r="K359" s="67" t="n">
        <v>1</v>
      </c>
      <c r="L359" s="67" t="n">
        <v>1</v>
      </c>
      <c r="M359" s="67" t="n">
        <v>4</v>
      </c>
      <c r="N359" s="67" t="n">
        <v>6</v>
      </c>
      <c r="O359" s="67" t="n">
        <v>0</v>
      </c>
      <c r="P359" s="67" t="n">
        <v>0</v>
      </c>
      <c r="Q359" s="66" t="inlineStr">
        <is>
          <t>Brownfield</t>
        </is>
      </c>
      <c r="Z359" s="66">
        <f>"MEDIUM|"&amp;A359</f>
        <v/>
      </c>
      <c r="AA359" s="66">
        <f>Q359&amp;"|"&amp;Z359</f>
        <v/>
      </c>
    </row>
    <row r="360" ht="15" customHeight="1" s="39">
      <c r="A360" s="67" t="inlineStr">
        <is>
          <t>PPDS</t>
        </is>
      </c>
      <c r="B360" s="67" t="n">
        <v>25</v>
      </c>
      <c r="C360" s="67" t="n">
        <v>2</v>
      </c>
      <c r="D360" s="67" t="n">
        <v>2</v>
      </c>
      <c r="E360" s="67" t="n">
        <v>3</v>
      </c>
      <c r="F360" s="67" t="n">
        <v>3</v>
      </c>
      <c r="G360" s="67" t="n">
        <v>0.5</v>
      </c>
      <c r="H360" s="67" t="n">
        <v>0.5</v>
      </c>
      <c r="I360" s="67" t="n">
        <v>7</v>
      </c>
      <c r="J360" s="67" t="n">
        <v>7</v>
      </c>
      <c r="K360" s="67" t="n">
        <v>0.5</v>
      </c>
      <c r="L360" s="67" t="n">
        <v>0.5</v>
      </c>
      <c r="M360" s="67" t="n">
        <v>2</v>
      </c>
      <c r="N360" s="67" t="n">
        <v>2</v>
      </c>
      <c r="O360" s="67" t="n">
        <v>0</v>
      </c>
      <c r="P360" s="67" t="n">
        <v>0</v>
      </c>
      <c r="Q360" s="66" t="inlineStr">
        <is>
          <t>Brownfield</t>
        </is>
      </c>
      <c r="Z360" s="66">
        <f>"MEDIUM|"&amp;A360</f>
        <v/>
      </c>
      <c r="AA360" s="66">
        <f>Q360&amp;"|"&amp;Z360</f>
        <v/>
      </c>
    </row>
    <row r="361" ht="15" customHeight="1" s="39">
      <c r="A361" s="67" t="inlineStr">
        <is>
          <t>ABAP</t>
        </is>
      </c>
      <c r="B361" s="67" t="n">
        <v>0</v>
      </c>
      <c r="C361" s="67" t="n">
        <v>0</v>
      </c>
      <c r="D361" s="67" t="n">
        <v>0</v>
      </c>
      <c r="E361" s="67" t="n">
        <v>0</v>
      </c>
      <c r="F361" s="67" t="n">
        <v>0</v>
      </c>
      <c r="G361" s="67" t="n">
        <v>0</v>
      </c>
      <c r="H361" s="67" t="n">
        <v>0</v>
      </c>
      <c r="I361" s="67" t="n">
        <v>0</v>
      </c>
      <c r="J361" s="67" t="n">
        <v>0</v>
      </c>
      <c r="K361" s="67" t="n">
        <v>0</v>
      </c>
      <c r="L361" s="67" t="n">
        <v>0</v>
      </c>
      <c r="M361" s="67" t="n">
        <v>0</v>
      </c>
      <c r="N361" s="67" t="n">
        <v>0</v>
      </c>
      <c r="O361" s="67" t="n">
        <v>0</v>
      </c>
      <c r="P361" s="67" t="n">
        <v>0</v>
      </c>
      <c r="Q361" s="66" t="inlineStr">
        <is>
          <t>Brownfield</t>
        </is>
      </c>
      <c r="Z361" s="66">
        <f>"MEDIUM|"&amp;A361</f>
        <v/>
      </c>
      <c r="AA361" s="66">
        <f>Q361&amp;"|"&amp;Z361</f>
        <v/>
      </c>
    </row>
    <row r="362" ht="15" customHeight="1" s="39">
      <c r="A362" s="67" t="inlineStr">
        <is>
          <t>BASIS</t>
        </is>
      </c>
      <c r="B362" s="67" t="n">
        <v>0</v>
      </c>
      <c r="C362" s="67" t="n">
        <v>0</v>
      </c>
      <c r="D362" s="67" t="n">
        <v>0</v>
      </c>
      <c r="E362" s="67" t="n">
        <v>0</v>
      </c>
      <c r="F362" s="67" t="n">
        <v>0</v>
      </c>
      <c r="G362" s="67" t="n">
        <v>0</v>
      </c>
      <c r="H362" s="67" t="n">
        <v>0</v>
      </c>
      <c r="I362" s="67" t="n">
        <v>0</v>
      </c>
      <c r="J362" s="67" t="n">
        <v>0</v>
      </c>
      <c r="K362" s="67" t="n">
        <v>0</v>
      </c>
      <c r="L362" s="67" t="n">
        <v>0</v>
      </c>
      <c r="M362" s="67" t="n">
        <v>0</v>
      </c>
      <c r="N362" s="67" t="n">
        <v>0</v>
      </c>
      <c r="O362" s="67" t="n">
        <v>0</v>
      </c>
      <c r="P362" s="67" t="n">
        <v>0</v>
      </c>
      <c r="Q362" s="66" t="inlineStr">
        <is>
          <t>Brownfield</t>
        </is>
      </c>
      <c r="Z362" s="66">
        <f>"MEDIUM|"&amp;A362</f>
        <v/>
      </c>
      <c r="AA362" s="66">
        <f>Q362&amp;"|"&amp;Z362</f>
        <v/>
      </c>
    </row>
    <row r="363" ht="15" customHeight="1" s="39">
      <c r="A363" s="67" t="inlineStr">
        <is>
          <t>E-Fatura/Arşiv</t>
        </is>
      </c>
      <c r="B363" s="67" t="n">
        <v>4</v>
      </c>
      <c r="C363" s="67" t="n">
        <v>1</v>
      </c>
      <c r="D363" s="67" t="n">
        <v>0</v>
      </c>
      <c r="E363" s="67" t="n">
        <v>2</v>
      </c>
      <c r="F363" s="67" t="n">
        <v>2</v>
      </c>
      <c r="G363" s="67" t="n">
        <v>1</v>
      </c>
      <c r="H363" s="67" t="n">
        <v>1</v>
      </c>
      <c r="I363" s="67" t="n">
        <v>3</v>
      </c>
      <c r="J363" s="67" t="n">
        <v>3</v>
      </c>
      <c r="K363" s="67" t="n">
        <v>0</v>
      </c>
      <c r="L363" s="67" t="n">
        <v>1</v>
      </c>
      <c r="M363" s="67" t="n">
        <v>1</v>
      </c>
      <c r="N363" s="67" t="n">
        <v>0</v>
      </c>
      <c r="O363" s="67" t="n">
        <v>0</v>
      </c>
      <c r="P363" s="67" t="n">
        <v>0</v>
      </c>
      <c r="Q363" s="66" t="inlineStr">
        <is>
          <t>Brownfield</t>
        </is>
      </c>
      <c r="Z363" s="66">
        <f>"MEDIUM|"&amp;A363</f>
        <v/>
      </c>
      <c r="AA363" s="66">
        <f>Q363&amp;"|"&amp;Z363</f>
        <v/>
      </c>
    </row>
    <row r="364" ht="15" customHeight="1" s="39">
      <c r="A364" s="67" t="inlineStr">
        <is>
          <t>E-İrsaliye</t>
        </is>
      </c>
      <c r="B364" s="67" t="n">
        <v>4</v>
      </c>
      <c r="C364" s="67" t="n">
        <v>1</v>
      </c>
      <c r="D364" s="67" t="n">
        <v>0</v>
      </c>
      <c r="E364" s="67" t="n">
        <v>2</v>
      </c>
      <c r="F364" s="67" t="n">
        <v>2</v>
      </c>
      <c r="G364" s="67" t="n">
        <v>1</v>
      </c>
      <c r="H364" s="67" t="n">
        <v>1</v>
      </c>
      <c r="I364" s="67" t="n">
        <v>3</v>
      </c>
      <c r="J364" s="67" t="n">
        <v>3</v>
      </c>
      <c r="K364" s="67" t="n">
        <v>0</v>
      </c>
      <c r="L364" s="67" t="n">
        <v>1</v>
      </c>
      <c r="M364" s="67" t="n">
        <v>1</v>
      </c>
      <c r="N364" s="67" t="n">
        <v>0</v>
      </c>
      <c r="O364" s="67" t="n">
        <v>0</v>
      </c>
      <c r="P364" s="67" t="n">
        <v>0</v>
      </c>
      <c r="Q364" s="66" t="inlineStr">
        <is>
          <t>Brownfield</t>
        </is>
      </c>
      <c r="Z364" s="66">
        <f>"MEDIUM|"&amp;A364</f>
        <v/>
      </c>
      <c r="AA364" s="66">
        <f>Q364&amp;"|"&amp;Z364</f>
        <v/>
      </c>
    </row>
    <row r="365" ht="15" customHeight="1" s="39">
      <c r="A365" s="67" t="inlineStr">
        <is>
          <t>E-Defter</t>
        </is>
      </c>
      <c r="B365" s="67" t="n">
        <v>3</v>
      </c>
      <c r="C365" s="67" t="n">
        <v>1</v>
      </c>
      <c r="D365" s="67" t="n">
        <v>0</v>
      </c>
      <c r="E365" s="67" t="n">
        <v>2</v>
      </c>
      <c r="F365" s="67" t="n">
        <v>2</v>
      </c>
      <c r="G365" s="67" t="n">
        <v>1</v>
      </c>
      <c r="H365" s="67" t="n">
        <v>1</v>
      </c>
      <c r="I365" s="67" t="n">
        <v>0</v>
      </c>
      <c r="J365" s="67" t="n">
        <v>0</v>
      </c>
      <c r="K365" s="67" t="n">
        <v>0</v>
      </c>
      <c r="L365" s="67" t="n">
        <v>3</v>
      </c>
      <c r="M365" s="67" t="n">
        <v>1</v>
      </c>
      <c r="N365" s="67" t="n">
        <v>0</v>
      </c>
      <c r="O365" s="67" t="n">
        <v>0</v>
      </c>
      <c r="P365" s="67" t="n">
        <v>0</v>
      </c>
      <c r="Q365" s="66" t="inlineStr">
        <is>
          <t>Brownfield</t>
        </is>
      </c>
      <c r="Z365" s="66">
        <f>"MEDIUM|"&amp;A365</f>
        <v/>
      </c>
      <c r="AA365" s="66">
        <f>Q365&amp;"|"&amp;Z365</f>
        <v/>
      </c>
    </row>
    <row r="366" ht="15" customHeight="1" s="39">
      <c r="A366" s="67" t="inlineStr">
        <is>
          <t>E-Hesap Özeti</t>
        </is>
      </c>
      <c r="B366" s="67" t="n">
        <v>5</v>
      </c>
      <c r="C366" s="67" t="n">
        <v>1</v>
      </c>
      <c r="D366" s="67" t="n">
        <v>0</v>
      </c>
      <c r="E366" s="67" t="n">
        <v>4</v>
      </c>
      <c r="F366" s="67" t="n">
        <v>3</v>
      </c>
      <c r="G366" s="67" t="n">
        <v>1</v>
      </c>
      <c r="H366" s="67" t="n">
        <v>0</v>
      </c>
      <c r="I366" s="67" t="n">
        <v>2</v>
      </c>
      <c r="J366" s="67" t="n">
        <v>2</v>
      </c>
      <c r="K366" s="67" t="n">
        <v>0</v>
      </c>
      <c r="L366" s="67" t="n">
        <v>2</v>
      </c>
      <c r="M366" s="67" t="n">
        <v>1</v>
      </c>
      <c r="N366" s="67" t="n">
        <v>0</v>
      </c>
      <c r="O366" s="67" t="n">
        <v>0</v>
      </c>
      <c r="P366" s="67" t="n">
        <v>0</v>
      </c>
      <c r="Q366" s="66" t="inlineStr">
        <is>
          <t>Brownfield</t>
        </is>
      </c>
      <c r="Z366" s="66">
        <f>"MEDIUM|"&amp;A366</f>
        <v/>
      </c>
      <c r="AA366" s="66">
        <f>Q366&amp;"|"&amp;Z366</f>
        <v/>
      </c>
    </row>
    <row r="367" ht="15" customHeight="1" s="39">
      <c r="A367" s="67" t="inlineStr">
        <is>
          <t>E-Ödeme</t>
        </is>
      </c>
      <c r="B367" s="67" t="n">
        <v>5</v>
      </c>
      <c r="C367" s="67" t="n">
        <v>1</v>
      </c>
      <c r="D367" s="67" t="n">
        <v>0</v>
      </c>
      <c r="E367" s="67" t="n">
        <v>4</v>
      </c>
      <c r="F367" s="67" t="n">
        <v>3</v>
      </c>
      <c r="G367" s="67" t="n">
        <v>1</v>
      </c>
      <c r="H367" s="67" t="n">
        <v>0</v>
      </c>
      <c r="I367" s="67" t="n">
        <v>2</v>
      </c>
      <c r="J367" s="67" t="n">
        <v>2</v>
      </c>
      <c r="K367" s="67" t="n">
        <v>0</v>
      </c>
      <c r="L367" s="67" t="n">
        <v>2</v>
      </c>
      <c r="M367" s="67" t="n">
        <v>1</v>
      </c>
      <c r="N367" s="67" t="n">
        <v>0</v>
      </c>
      <c r="O367" s="67" t="n">
        <v>0</v>
      </c>
      <c r="P367" s="67" t="n">
        <v>0</v>
      </c>
      <c r="Q367" s="66" t="inlineStr">
        <is>
          <t>Brownfield</t>
        </is>
      </c>
      <c r="Z367" s="66">
        <f>"MEDIUM|"&amp;A367</f>
        <v/>
      </c>
      <c r="AA367" s="66">
        <f>Q367&amp;"|"&amp;Z367</f>
        <v/>
      </c>
    </row>
    <row r="368" ht="15" customHeight="1" s="39">
      <c r="A368" s="67" t="inlineStr">
        <is>
          <t>E-Mutabakat</t>
        </is>
      </c>
      <c r="B368" s="67" t="n">
        <v>4</v>
      </c>
      <c r="C368" s="67" t="n">
        <v>1</v>
      </c>
      <c r="D368" s="67" t="n">
        <v>0</v>
      </c>
      <c r="E368" s="67" t="n">
        <v>3</v>
      </c>
      <c r="F368" s="67" t="n">
        <v>3</v>
      </c>
      <c r="G368" s="67" t="n">
        <v>1</v>
      </c>
      <c r="H368" s="67" t="n">
        <v>0</v>
      </c>
      <c r="I368" s="67" t="n">
        <v>2</v>
      </c>
      <c r="J368" s="67" t="n">
        <v>2</v>
      </c>
      <c r="K368" s="67" t="n">
        <v>0</v>
      </c>
      <c r="L368" s="67" t="n">
        <v>2</v>
      </c>
      <c r="M368" s="67" t="n">
        <v>1</v>
      </c>
      <c r="N368" s="67" t="n">
        <v>0</v>
      </c>
      <c r="O368" s="67" t="n">
        <v>0</v>
      </c>
      <c r="P368" s="67" t="n">
        <v>0</v>
      </c>
      <c r="Q368" s="66" t="inlineStr">
        <is>
          <t>Brownfield</t>
        </is>
      </c>
      <c r="Z368" s="66">
        <f>"MEDIUM|"&amp;A368</f>
        <v/>
      </c>
      <c r="AA368" s="66">
        <f>Q368&amp;"|"&amp;Z368</f>
        <v/>
      </c>
    </row>
    <row r="369" ht="15" customHeight="1" s="39">
      <c r="A369" s="67" t="inlineStr">
        <is>
          <t>E-Beyanname</t>
        </is>
      </c>
      <c r="B369" s="67" t="n">
        <v>5</v>
      </c>
      <c r="C369" s="67" t="n">
        <v>2</v>
      </c>
      <c r="D369" s="67" t="n">
        <v>0</v>
      </c>
      <c r="E369" s="67" t="n">
        <v>5</v>
      </c>
      <c r="F369" s="67" t="n">
        <v>3</v>
      </c>
      <c r="G369" s="67" t="n">
        <v>1</v>
      </c>
      <c r="H369" s="67" t="n">
        <v>0</v>
      </c>
      <c r="I369" s="67" t="n">
        <v>0</v>
      </c>
      <c r="J369" s="67" t="n">
        <v>0</v>
      </c>
      <c r="K369" s="67" t="n">
        <v>0</v>
      </c>
      <c r="L369" s="67" t="n">
        <v>4</v>
      </c>
      <c r="M369" s="67" t="n">
        <v>1</v>
      </c>
      <c r="N369" s="67" t="n">
        <v>0</v>
      </c>
      <c r="O369" s="67" t="n">
        <v>0</v>
      </c>
      <c r="P369" s="67" t="n">
        <v>0</v>
      </c>
      <c r="Q369" s="66" t="inlineStr">
        <is>
          <t>Brownfield</t>
        </is>
      </c>
      <c r="Z369" s="66">
        <f>"MEDIUM|"&amp;A369</f>
        <v/>
      </c>
      <c r="AA369" s="66">
        <f>Q369&amp;"|"&amp;Z369</f>
        <v/>
      </c>
    </row>
    <row r="370" ht="15" customHeight="1" s="39">
      <c r="A370" s="67" t="inlineStr">
        <is>
          <t>Gelen Fatura Otomasyon</t>
        </is>
      </c>
      <c r="B370" s="67" t="n">
        <v>5</v>
      </c>
      <c r="C370" s="67" t="n">
        <v>1</v>
      </c>
      <c r="D370" s="67" t="n">
        <v>0</v>
      </c>
      <c r="E370" s="67" t="n">
        <v>3</v>
      </c>
      <c r="F370" s="67" t="n">
        <v>3</v>
      </c>
      <c r="G370" s="67" t="n">
        <v>1</v>
      </c>
      <c r="H370" s="67" t="n">
        <v>0</v>
      </c>
      <c r="I370" s="67" t="n">
        <v>2</v>
      </c>
      <c r="J370" s="67" t="n">
        <v>2</v>
      </c>
      <c r="K370" s="67" t="n">
        <v>0</v>
      </c>
      <c r="L370" s="67" t="n">
        <v>2</v>
      </c>
      <c r="M370" s="67" t="n">
        <v>1</v>
      </c>
      <c r="N370" s="67" t="n">
        <v>0</v>
      </c>
      <c r="O370" s="67" t="n">
        <v>0</v>
      </c>
      <c r="P370" s="67" t="n">
        <v>0</v>
      </c>
      <c r="Q370" s="66" t="inlineStr">
        <is>
          <t>Brownfield</t>
        </is>
      </c>
      <c r="Z370" s="66">
        <f>"MEDIUM|"&amp;A370</f>
        <v/>
      </c>
      <c r="AA370" s="66">
        <f>Q370&amp;"|"&amp;Z370</f>
        <v/>
      </c>
    </row>
    <row r="371" ht="15" customHeight="1" s="39">
      <c r="A371" s="67" t="inlineStr">
        <is>
          <t>GLASSWING</t>
        </is>
      </c>
      <c r="B371" s="67" t="n">
        <v>35</v>
      </c>
      <c r="C371" s="67" t="n">
        <v>3</v>
      </c>
      <c r="D371" s="67" t="n">
        <v>1</v>
      </c>
      <c r="E371" s="67" t="n">
        <v>8</v>
      </c>
      <c r="F371" s="67" t="n">
        <v>6</v>
      </c>
      <c r="G371" s="67" t="n">
        <v>1</v>
      </c>
      <c r="H371" s="67" t="n">
        <v>0</v>
      </c>
      <c r="I371" s="67" t="n">
        <v>15</v>
      </c>
      <c r="J371" s="67" t="n">
        <v>15</v>
      </c>
      <c r="K371" s="67" t="n">
        <v>8</v>
      </c>
      <c r="L371" s="67" t="n">
        <v>1</v>
      </c>
      <c r="M371" s="67" t="n">
        <v>2</v>
      </c>
      <c r="N371" s="67" t="n">
        <v>5</v>
      </c>
      <c r="O371" s="67" t="n">
        <v>0</v>
      </c>
      <c r="P371" s="67" t="n">
        <v>0</v>
      </c>
      <c r="Q371" s="66" t="inlineStr">
        <is>
          <t>Brownfield</t>
        </is>
      </c>
      <c r="Z371" s="66">
        <f>"MEDIUM|"&amp;A371</f>
        <v/>
      </c>
      <c r="AA371" s="66">
        <f>Q371&amp;"|"&amp;Z371</f>
        <v/>
      </c>
    </row>
    <row r="372" ht="15" customHeight="1" s="39">
      <c r="A372" s="67" t="inlineStr">
        <is>
          <t>COMMODITY</t>
        </is>
      </c>
      <c r="B372" s="67" t="n">
        <v>65</v>
      </c>
      <c r="C372" s="67" t="n">
        <v>7</v>
      </c>
      <c r="D372" s="67" t="n">
        <v>2</v>
      </c>
      <c r="E372" s="67" t="n">
        <v>8</v>
      </c>
      <c r="F372" s="67" t="n">
        <v>7</v>
      </c>
      <c r="G372" s="67" t="n">
        <v>2</v>
      </c>
      <c r="H372" s="67" t="n">
        <v>1</v>
      </c>
      <c r="I372" s="67" t="n">
        <v>20</v>
      </c>
      <c r="J372" s="67" t="n">
        <v>20</v>
      </c>
      <c r="K372" s="67" t="n">
        <v>3</v>
      </c>
      <c r="L372" s="67" t="n">
        <v>2</v>
      </c>
      <c r="M372" s="67" t="n">
        <v>4</v>
      </c>
      <c r="N372" s="67" t="n">
        <v>9</v>
      </c>
      <c r="O372" s="67" t="n">
        <v>0</v>
      </c>
      <c r="P372" s="67" t="n">
        <v>0</v>
      </c>
      <c r="Q372" s="66" t="inlineStr">
        <is>
          <t>Brownfield</t>
        </is>
      </c>
      <c r="Z372" s="66">
        <f>"MEDIUM|"&amp;A372</f>
        <v/>
      </c>
      <c r="AA372" s="66">
        <f>Q372&amp;"|"&amp;Z372</f>
        <v/>
      </c>
    </row>
    <row r="373" ht="15" customHeight="1" s="39">
      <c r="A373" s="67" t="inlineStr">
        <is>
          <t>Dış Ticaret Çözümü</t>
        </is>
      </c>
      <c r="B373" s="67" t="n">
        <v>0</v>
      </c>
      <c r="C373" s="67" t="n">
        <v>0</v>
      </c>
      <c r="D373" s="67" t="n">
        <v>0</v>
      </c>
      <c r="E373" s="67" t="n">
        <v>0</v>
      </c>
      <c r="F373" s="67" t="n">
        <v>0</v>
      </c>
      <c r="G373" s="67" t="n">
        <v>0</v>
      </c>
      <c r="H373" s="67" t="n">
        <v>0</v>
      </c>
      <c r="I373" s="67" t="n">
        <v>0</v>
      </c>
      <c r="J373" s="67" t="n">
        <v>0</v>
      </c>
      <c r="K373" s="67" t="n">
        <v>0</v>
      </c>
      <c r="L373" s="67" t="n">
        <v>0</v>
      </c>
      <c r="M373" s="67" t="n">
        <v>0</v>
      </c>
      <c r="N373" s="67" t="n">
        <v>0</v>
      </c>
      <c r="O373" s="67" t="n">
        <v>0</v>
      </c>
      <c r="P373" s="67" t="n">
        <v>0</v>
      </c>
      <c r="Q373" s="66" t="inlineStr">
        <is>
          <t>Brownfield</t>
        </is>
      </c>
      <c r="Z373" s="66">
        <f>"MEDIUM|"&amp;A373</f>
        <v/>
      </c>
      <c r="AA373" s="66">
        <f>Q373&amp;"|"&amp;Z373</f>
        <v/>
      </c>
    </row>
    <row r="374" ht="15" customHeight="1" s="39">
      <c r="A374" s="67" t="inlineStr">
        <is>
          <t>Seyahat ve Masraf Yönetimi</t>
        </is>
      </c>
      <c r="B374" s="67" t="n">
        <v>0</v>
      </c>
      <c r="C374" s="67" t="n">
        <v>0</v>
      </c>
      <c r="D374" s="67" t="n">
        <v>0</v>
      </c>
      <c r="E374" s="67" t="n">
        <v>0</v>
      </c>
      <c r="F374" s="67" t="n">
        <v>0</v>
      </c>
      <c r="G374" s="67" t="n">
        <v>0</v>
      </c>
      <c r="H374" s="67" t="n">
        <v>0</v>
      </c>
      <c r="I374" s="67" t="n">
        <v>0</v>
      </c>
      <c r="J374" s="67" t="n">
        <v>0</v>
      </c>
      <c r="K374" s="67" t="n">
        <v>0</v>
      </c>
      <c r="L374" s="67" t="n">
        <v>0</v>
      </c>
      <c r="M374" s="67" t="n">
        <v>0</v>
      </c>
      <c r="N374" s="67" t="n">
        <v>0</v>
      </c>
      <c r="O374" s="67" t="n">
        <v>0</v>
      </c>
      <c r="P374" s="67" t="n">
        <v>0</v>
      </c>
      <c r="Q374" s="66" t="inlineStr">
        <is>
          <t>Brownfield</t>
        </is>
      </c>
      <c r="Z374" s="66">
        <f>"MEDIUM|"&amp;A374</f>
        <v/>
      </c>
      <c r="AA374" s="66">
        <f>Q374&amp;"|"&amp;Z374</f>
        <v/>
      </c>
    </row>
    <row r="375" ht="15" customHeight="1" s="39">
      <c r="A375" s="67" t="inlineStr">
        <is>
          <t>NTT Data POS</t>
        </is>
      </c>
      <c r="B375" s="67" t="n">
        <v>0</v>
      </c>
      <c r="C375" s="67" t="n">
        <v>0</v>
      </c>
      <c r="D375" s="67" t="n">
        <v>0</v>
      </c>
      <c r="E375" s="67" t="n">
        <v>0</v>
      </c>
      <c r="F375" s="67" t="n">
        <v>0</v>
      </c>
      <c r="G375" s="67" t="n">
        <v>0</v>
      </c>
      <c r="H375" s="67" t="n">
        <v>0</v>
      </c>
      <c r="I375" s="67" t="n">
        <v>0</v>
      </c>
      <c r="J375" s="67" t="n">
        <v>0</v>
      </c>
      <c r="K375" s="67" t="n">
        <v>0</v>
      </c>
      <c r="L375" s="67" t="n">
        <v>0</v>
      </c>
      <c r="M375" s="67" t="n">
        <v>0</v>
      </c>
      <c r="N375" s="67" t="n">
        <v>0</v>
      </c>
      <c r="O375" s="67" t="n">
        <v>0</v>
      </c>
      <c r="P375" s="67" t="n">
        <v>0</v>
      </c>
      <c r="Q375" s="66" t="inlineStr">
        <is>
          <t>Brownfield</t>
        </is>
      </c>
      <c r="Z375" s="66">
        <f>"MEDIUM|"&amp;A375</f>
        <v/>
      </c>
      <c r="AA375" s="66">
        <f>Q375&amp;"|"&amp;Z375</f>
        <v/>
      </c>
    </row>
    <row r="377" ht="15" customHeight="1" s="39">
      <c r="A377" s="68" t="inlineStr">
        <is>
          <t>LARGE</t>
        </is>
      </c>
      <c r="Q377" s="68" t="inlineStr">
        <is>
          <t>Brownfield</t>
        </is>
      </c>
    </row>
    <row r="378" ht="15" customHeight="1" s="39">
      <c r="A378" s="67">
        <f>INDEX(Translations!$D:$ZZ, MATCH(74,Translations!$A:$A,0), MATCH('Project Information'!$C$4,Translations!$D$1:$ZZ$1,0))</f>
        <v/>
      </c>
      <c r="B378" s="67">
        <f>INDEX(Translations!$D:$ZZ, MATCH(75,Translations!$A:$A,0), MATCH('Project Information'!$C$4,Translations!$D$1:$ZZ$1,0))</f>
        <v/>
      </c>
      <c r="C378" s="67">
        <f>INDEX(Translations!$D:$ZZ, MATCH(76,Translations!$A:$A,0), MATCH('Project Information'!$C$4,Translations!$D$1:$ZZ$1,0))</f>
        <v/>
      </c>
      <c r="D378" s="67">
        <f>INDEX(Translations!$D:$ZZ, MATCH(77,Translations!$A:$A,0), MATCH('Project Information'!$C$4,Translations!$D$1:$ZZ$1,0))</f>
        <v/>
      </c>
      <c r="E378" s="67">
        <f>INDEX(Translations!$D:$ZZ, MATCH(78,Translations!$A:$A,0), MATCH('Project Information'!$C$4,Translations!$D$1:$ZZ$1,0))</f>
        <v/>
      </c>
      <c r="F378" s="67">
        <f>INDEX(Translations!$D:$ZZ, MATCH(79,Translations!$A:$A,0), MATCH('Project Information'!$C$4,Translations!$D$1:$ZZ$1,0))</f>
        <v/>
      </c>
      <c r="G378" s="67">
        <f>INDEX(Translations!$D:$ZZ, MATCH(80,Translations!$A:$A,0), MATCH('Project Information'!$C$4,Translations!$D$1:$ZZ$1,0))</f>
        <v/>
      </c>
      <c r="H378" s="67">
        <f>INDEX(Translations!$D:$ZZ, MATCH(81,Translations!$A:$A,0), MATCH('Project Information'!$C$4,Translations!$D$1:$ZZ$1,0))</f>
        <v/>
      </c>
      <c r="I378" s="67">
        <f>INDEX(Translations!$D:$ZZ, MATCH(82,Translations!$A:$A,0), MATCH('Project Information'!$C$4,Translations!$D$1:$ZZ$1,0))</f>
        <v/>
      </c>
      <c r="J378" s="67">
        <f>INDEX(Translations!$D:$ZZ, MATCH(83,Translations!$A:$A,0), MATCH('Project Information'!$C$4,Translations!$D$1:$ZZ$1,0))</f>
        <v/>
      </c>
      <c r="K378" s="67">
        <f>INDEX(Translations!$D:$ZZ, MATCH(84,Translations!$A:$A,0), MATCH('Project Information'!$C$4,Translations!$D$1:$ZZ$1,0))</f>
        <v/>
      </c>
      <c r="L378" s="67">
        <f>INDEX(Translations!$D:$ZZ, MATCH(85,Translations!$A:$A,0), MATCH('Project Information'!$C$4,Translations!$D$1:$ZZ$1,0))</f>
        <v/>
      </c>
      <c r="M378" s="67">
        <f>INDEX(Translations!$D:$ZZ, MATCH(86,Translations!$A:$A,0), MATCH('Project Information'!$C$4,Translations!$D$1:$ZZ$1,0))</f>
        <v/>
      </c>
      <c r="N378" s="67">
        <f>INDEX(Translations!$D:$ZZ, MATCH(87,Translations!$A:$A,0), MATCH('Project Information'!$C$4,Translations!$D$1:$ZZ$1,0))</f>
        <v/>
      </c>
      <c r="O378" s="67">
        <f>INDEX(Translations!$D:$ZZ, MATCH(88,Translations!$A:$A,0), MATCH('Project Information'!$C$4,Translations!$D$1:$ZZ$1,0))</f>
        <v/>
      </c>
      <c r="P378" s="67">
        <f>INDEX(Translations!$D:$ZZ, MATCH(89,Translations!$A:$A,0), MATCH('Project Information'!$C$4,Translations!$D$1:$ZZ$1,0))</f>
        <v/>
      </c>
      <c r="Q378" s="67" t="inlineStr">
        <is>
          <t>Implementation Type</t>
        </is>
      </c>
      <c r="Z378" s="67">
        <f>INDEX(Translations!$D:$ZZ, MATCH(93,Translations!$A:$A,0), MATCH('Project Information'!$C$4,Translations!$D$1:$ZZ$1,0))</f>
        <v/>
      </c>
      <c r="AA378" s="67" t="inlineStr">
        <is>
          <t>Implementation Key</t>
        </is>
      </c>
    </row>
    <row r="379" ht="15" customHeight="1" s="39">
      <c r="A379" s="67" t="inlineStr">
        <is>
          <t>FI</t>
        </is>
      </c>
      <c r="B379" s="67" t="n">
        <v>245</v>
      </c>
      <c r="C379" s="67" t="n">
        <v>10</v>
      </c>
      <c r="D379" s="67" t="n">
        <v>5</v>
      </c>
      <c r="E379" s="67" t="n">
        <v>5</v>
      </c>
      <c r="F379" s="67" t="n">
        <v>5</v>
      </c>
      <c r="G379" s="67" t="n">
        <v>2</v>
      </c>
      <c r="H379" s="67" t="n">
        <v>3</v>
      </c>
      <c r="I379" s="67" t="n">
        <v>28</v>
      </c>
      <c r="J379" s="67" t="n">
        <v>28</v>
      </c>
      <c r="K379" s="67" t="n">
        <v>3</v>
      </c>
      <c r="L379" s="67" t="n">
        <v>2</v>
      </c>
      <c r="M379" s="67" t="n">
        <v>15</v>
      </c>
      <c r="N379" s="67" t="n">
        <v>15</v>
      </c>
      <c r="O379" s="67" t="n">
        <v>0</v>
      </c>
      <c r="P379" s="67" t="n">
        <v>0</v>
      </c>
      <c r="Q379" s="66" t="inlineStr">
        <is>
          <t>Brownfield</t>
        </is>
      </c>
      <c r="Z379" s="66">
        <f>"LARGE|"&amp;A379</f>
        <v/>
      </c>
      <c r="AA379" s="66">
        <f>Q379&amp;"|"&amp;Z379</f>
        <v/>
      </c>
    </row>
    <row r="380" ht="15" customHeight="1" s="39">
      <c r="A380" s="67" t="inlineStr">
        <is>
          <t>CO</t>
        </is>
      </c>
      <c r="B380" s="67" t="n">
        <v>245</v>
      </c>
      <c r="C380" s="67" t="n">
        <v>10</v>
      </c>
      <c r="D380" s="67" t="n">
        <v>5</v>
      </c>
      <c r="E380" s="67" t="n">
        <v>4</v>
      </c>
      <c r="F380" s="67" t="n">
        <v>5</v>
      </c>
      <c r="G380" s="67" t="n">
        <v>2</v>
      </c>
      <c r="H380" s="67" t="n">
        <v>2</v>
      </c>
      <c r="I380" s="67" t="n">
        <v>28</v>
      </c>
      <c r="J380" s="67" t="n">
        <v>28</v>
      </c>
      <c r="K380" s="67" t="n">
        <v>3</v>
      </c>
      <c r="L380" s="67" t="n">
        <v>2</v>
      </c>
      <c r="M380" s="67" t="n">
        <v>10</v>
      </c>
      <c r="N380" s="67" t="n">
        <v>10</v>
      </c>
      <c r="O380" s="67" t="n">
        <v>0</v>
      </c>
      <c r="P380" s="67" t="n">
        <v>0</v>
      </c>
      <c r="Q380" s="66" t="inlineStr">
        <is>
          <t>Brownfield</t>
        </is>
      </c>
      <c r="Z380" s="66">
        <f>"LARGE|"&amp;A380</f>
        <v/>
      </c>
      <c r="AA380" s="66">
        <f>Q380&amp;"|"&amp;Z380</f>
        <v/>
      </c>
    </row>
    <row r="381" ht="15" customHeight="1" s="39">
      <c r="A381" s="67" t="inlineStr">
        <is>
          <t>TRM</t>
        </is>
      </c>
      <c r="B381" s="67" t="n">
        <v>100</v>
      </c>
      <c r="C381" s="67" t="n">
        <v>4</v>
      </c>
      <c r="D381" s="67" t="n">
        <v>2</v>
      </c>
      <c r="E381" s="67" t="n">
        <v>2</v>
      </c>
      <c r="F381" s="67" t="n">
        <v>3</v>
      </c>
      <c r="G381" s="67" t="n">
        <v>1</v>
      </c>
      <c r="H381" s="67" t="n">
        <v>1</v>
      </c>
      <c r="I381" s="67" t="n">
        <v>10</v>
      </c>
      <c r="J381" s="67" t="n">
        <v>10</v>
      </c>
      <c r="K381" s="67" t="n">
        <v>1</v>
      </c>
      <c r="L381" s="67" t="n">
        <v>1</v>
      </c>
      <c r="M381" s="67" t="n">
        <v>10</v>
      </c>
      <c r="N381" s="67" t="n">
        <v>10</v>
      </c>
      <c r="O381" s="67" t="n">
        <v>0</v>
      </c>
      <c r="P381" s="67" t="n">
        <v>0</v>
      </c>
      <c r="Q381" s="66" t="inlineStr">
        <is>
          <t>Brownfield</t>
        </is>
      </c>
      <c r="Z381" s="66">
        <f>"LARGE|"&amp;A381</f>
        <v/>
      </c>
      <c r="AA381" s="66">
        <f>Q381&amp;"|"&amp;Z381</f>
        <v/>
      </c>
    </row>
    <row r="382" ht="15" customHeight="1" s="39">
      <c r="A382" s="67" t="inlineStr">
        <is>
          <t>CM</t>
        </is>
      </c>
      <c r="B382" s="67" t="n">
        <v>100</v>
      </c>
      <c r="C382" s="67" t="n">
        <v>3</v>
      </c>
      <c r="D382" s="67" t="n">
        <v>2</v>
      </c>
      <c r="E382" s="67" t="n">
        <v>2</v>
      </c>
      <c r="F382" s="67" t="n">
        <v>3</v>
      </c>
      <c r="G382" s="67" t="n">
        <v>1</v>
      </c>
      <c r="H382" s="67" t="n">
        <v>1</v>
      </c>
      <c r="I382" s="67" t="n">
        <v>10</v>
      </c>
      <c r="J382" s="67" t="n">
        <v>10</v>
      </c>
      <c r="K382" s="67" t="n">
        <v>1</v>
      </c>
      <c r="L382" s="67" t="n">
        <v>1</v>
      </c>
      <c r="M382" s="67" t="n">
        <v>5</v>
      </c>
      <c r="N382" s="67" t="n">
        <v>5</v>
      </c>
      <c r="O382" s="67" t="n">
        <v>0</v>
      </c>
      <c r="P382" s="67" t="n">
        <v>0</v>
      </c>
      <c r="Q382" s="66" t="inlineStr">
        <is>
          <t>Brownfield</t>
        </is>
      </c>
      <c r="Z382" s="66">
        <f>"LARGE|"&amp;A382</f>
        <v/>
      </c>
      <c r="AA382" s="66">
        <f>Q382&amp;"|"&amp;Z382</f>
        <v/>
      </c>
    </row>
    <row r="383" ht="15" customHeight="1" s="39">
      <c r="A383" s="67" t="inlineStr">
        <is>
          <t>FM</t>
        </is>
      </c>
      <c r="B383" s="67" t="n">
        <v>100</v>
      </c>
      <c r="C383" s="67" t="n">
        <v>3</v>
      </c>
      <c r="D383" s="67" t="n">
        <v>2</v>
      </c>
      <c r="E383" s="67" t="n">
        <v>2</v>
      </c>
      <c r="F383" s="67" t="n">
        <v>3</v>
      </c>
      <c r="G383" s="67" t="n">
        <v>1</v>
      </c>
      <c r="H383" s="67" t="n">
        <v>1</v>
      </c>
      <c r="I383" s="67" t="n">
        <v>10</v>
      </c>
      <c r="J383" s="67" t="n">
        <v>10</v>
      </c>
      <c r="K383" s="67" t="n">
        <v>1</v>
      </c>
      <c r="L383" s="67" t="n">
        <v>1</v>
      </c>
      <c r="M383" s="67" t="n">
        <v>5</v>
      </c>
      <c r="N383" s="67" t="n">
        <v>5</v>
      </c>
      <c r="O383" s="67" t="n">
        <v>0</v>
      </c>
      <c r="P383" s="67" t="n">
        <v>0</v>
      </c>
      <c r="Q383" s="66" t="inlineStr">
        <is>
          <t>Brownfield</t>
        </is>
      </c>
      <c r="Z383" s="66">
        <f>"LARGE|"&amp;A383</f>
        <v/>
      </c>
      <c r="AA383" s="66">
        <f>Q383&amp;"|"&amp;Z383</f>
        <v/>
      </c>
    </row>
    <row r="384" ht="15" customHeight="1" s="39">
      <c r="A384" s="67" t="inlineStr">
        <is>
          <t>RM</t>
        </is>
      </c>
      <c r="B384" s="67" t="n">
        <v>0</v>
      </c>
      <c r="C384" s="67" t="n">
        <v>0</v>
      </c>
      <c r="D384" s="67" t="n">
        <v>0</v>
      </c>
      <c r="E384" s="67" t="n">
        <v>0</v>
      </c>
      <c r="F384" s="67" t="n">
        <v>0</v>
      </c>
      <c r="G384" s="67" t="n">
        <v>0</v>
      </c>
      <c r="H384" s="67" t="n">
        <v>0</v>
      </c>
      <c r="I384" s="67" t="n">
        <v>0</v>
      </c>
      <c r="J384" s="67" t="n">
        <v>0</v>
      </c>
      <c r="K384" s="67" t="n">
        <v>0</v>
      </c>
      <c r="L384" s="67" t="n">
        <v>0</v>
      </c>
      <c r="M384" s="67" t="n">
        <v>0</v>
      </c>
      <c r="N384" s="67" t="n">
        <v>0</v>
      </c>
      <c r="O384" s="67" t="n">
        <v>0</v>
      </c>
      <c r="P384" s="67" t="n">
        <v>0</v>
      </c>
      <c r="Q384" s="66" t="inlineStr">
        <is>
          <t>Brownfield</t>
        </is>
      </c>
      <c r="Z384" s="66">
        <f>"LARGE|"&amp;A384</f>
        <v/>
      </c>
      <c r="AA384" s="66">
        <f>Q384&amp;"|"&amp;Z384</f>
        <v/>
      </c>
    </row>
    <row r="385" ht="15" customHeight="1" s="39">
      <c r="A385" s="67" t="inlineStr">
        <is>
          <t>RE/FX</t>
        </is>
      </c>
      <c r="B385" s="67" t="n">
        <v>0</v>
      </c>
      <c r="C385" s="67" t="n">
        <v>0</v>
      </c>
      <c r="D385" s="67" t="n">
        <v>0</v>
      </c>
      <c r="E385" s="67" t="n">
        <v>0</v>
      </c>
      <c r="F385" s="67" t="n">
        <v>0</v>
      </c>
      <c r="G385" s="67" t="n">
        <v>0</v>
      </c>
      <c r="H385" s="67" t="n">
        <v>0</v>
      </c>
      <c r="I385" s="67" t="n">
        <v>0</v>
      </c>
      <c r="J385" s="67" t="n">
        <v>0</v>
      </c>
      <c r="K385" s="67" t="n">
        <v>0</v>
      </c>
      <c r="L385" s="67" t="n">
        <v>0</v>
      </c>
      <c r="M385" s="67" t="n">
        <v>0</v>
      </c>
      <c r="N385" s="67" t="n">
        <v>0</v>
      </c>
      <c r="O385" s="67" t="n">
        <v>0</v>
      </c>
      <c r="P385" s="67" t="n">
        <v>0</v>
      </c>
      <c r="Q385" s="66" t="inlineStr">
        <is>
          <t>Brownfield</t>
        </is>
      </c>
      <c r="Z385" s="66">
        <f>"LARGE|"&amp;A385</f>
        <v/>
      </c>
      <c r="AA385" s="66">
        <f>Q385&amp;"|"&amp;Z385</f>
        <v/>
      </c>
    </row>
    <row r="386" ht="15" customHeight="1" s="39">
      <c r="A386" s="67" t="inlineStr">
        <is>
          <t>MM</t>
        </is>
      </c>
      <c r="B386" s="67" t="n">
        <v>245</v>
      </c>
      <c r="C386" s="67" t="n">
        <v>10</v>
      </c>
      <c r="D386" s="67" t="n">
        <v>5</v>
      </c>
      <c r="E386" s="67" t="n">
        <v>5</v>
      </c>
      <c r="F386" s="67" t="n">
        <v>5</v>
      </c>
      <c r="G386" s="67" t="n">
        <v>2</v>
      </c>
      <c r="H386" s="67" t="n">
        <v>7</v>
      </c>
      <c r="I386" s="67" t="n">
        <v>28</v>
      </c>
      <c r="J386" s="67" t="n">
        <v>28</v>
      </c>
      <c r="K386" s="67" t="n">
        <v>3</v>
      </c>
      <c r="L386" s="67" t="n">
        <v>2</v>
      </c>
      <c r="M386" s="67" t="n">
        <v>20</v>
      </c>
      <c r="N386" s="67" t="n">
        <v>20</v>
      </c>
      <c r="O386" s="67" t="n">
        <v>0</v>
      </c>
      <c r="P386" s="67" t="n">
        <v>0</v>
      </c>
      <c r="Q386" s="66" t="inlineStr">
        <is>
          <t>Brownfield</t>
        </is>
      </c>
      <c r="Z386" s="66">
        <f>"LARGE|"&amp;A386</f>
        <v/>
      </c>
      <c r="AA386" s="66">
        <f>Q386&amp;"|"&amp;Z386</f>
        <v/>
      </c>
    </row>
    <row r="387" ht="15" customHeight="1" s="39">
      <c r="A387" s="67" t="inlineStr">
        <is>
          <t>PP</t>
        </is>
      </c>
      <c r="B387" s="67" t="n">
        <v>245</v>
      </c>
      <c r="C387" s="67" t="n">
        <v>10</v>
      </c>
      <c r="D387" s="67" t="n">
        <v>5</v>
      </c>
      <c r="E387" s="67" t="n">
        <v>5</v>
      </c>
      <c r="F387" s="67" t="n">
        <v>5</v>
      </c>
      <c r="G387" s="67" t="n">
        <v>2</v>
      </c>
      <c r="H387" s="67" t="n">
        <v>7</v>
      </c>
      <c r="I387" s="67" t="n">
        <v>28</v>
      </c>
      <c r="J387" s="67" t="n">
        <v>28</v>
      </c>
      <c r="K387" s="67" t="n">
        <v>3</v>
      </c>
      <c r="L387" s="67" t="n">
        <v>2</v>
      </c>
      <c r="M387" s="67" t="n">
        <v>20</v>
      </c>
      <c r="N387" s="67" t="n">
        <v>20</v>
      </c>
      <c r="O387" s="67" t="n">
        <v>0</v>
      </c>
      <c r="P387" s="67" t="n">
        <v>0</v>
      </c>
      <c r="Q387" s="66" t="inlineStr">
        <is>
          <t>Brownfield</t>
        </is>
      </c>
      <c r="Z387" s="66">
        <f>"LARGE|"&amp;A387</f>
        <v/>
      </c>
      <c r="AA387" s="66">
        <f>Q387&amp;"|"&amp;Z387</f>
        <v/>
      </c>
    </row>
    <row r="388" ht="15" customHeight="1" s="39">
      <c r="A388" s="67" t="inlineStr">
        <is>
          <t>SD</t>
        </is>
      </c>
      <c r="B388" s="67" t="n">
        <v>245</v>
      </c>
      <c r="C388" s="67" t="n">
        <v>10</v>
      </c>
      <c r="D388" s="67" t="n">
        <v>5</v>
      </c>
      <c r="E388" s="67" t="n">
        <v>5</v>
      </c>
      <c r="F388" s="67" t="n">
        <v>5</v>
      </c>
      <c r="G388" s="67" t="n">
        <v>2</v>
      </c>
      <c r="H388" s="67" t="n">
        <v>5</v>
      </c>
      <c r="I388" s="67" t="n">
        <v>28</v>
      </c>
      <c r="J388" s="67" t="n">
        <v>28</v>
      </c>
      <c r="K388" s="67" t="n">
        <v>3</v>
      </c>
      <c r="L388" s="67" t="n">
        <v>2</v>
      </c>
      <c r="M388" s="67" t="n">
        <v>15</v>
      </c>
      <c r="N388" s="67" t="n">
        <v>15</v>
      </c>
      <c r="O388" s="67" t="n">
        <v>0</v>
      </c>
      <c r="P388" s="67" t="n">
        <v>0</v>
      </c>
      <c r="Q388" s="66" t="inlineStr">
        <is>
          <t>Brownfield</t>
        </is>
      </c>
      <c r="Z388" s="66">
        <f>"LARGE|"&amp;A388</f>
        <v/>
      </c>
      <c r="AA388" s="66">
        <f>Q388&amp;"|"&amp;Z388</f>
        <v/>
      </c>
    </row>
    <row r="389" ht="15" customHeight="1" s="39">
      <c r="A389" s="67" t="inlineStr">
        <is>
          <t>QM</t>
        </is>
      </c>
      <c r="B389" s="67" t="n">
        <v>245</v>
      </c>
      <c r="C389" s="67" t="n">
        <v>8</v>
      </c>
      <c r="D389" s="67" t="n">
        <v>5</v>
      </c>
      <c r="E389" s="67" t="n">
        <v>4</v>
      </c>
      <c r="F389" s="67" t="n">
        <v>5</v>
      </c>
      <c r="G389" s="67" t="n">
        <v>1</v>
      </c>
      <c r="H389" s="67" t="n">
        <v>6</v>
      </c>
      <c r="I389" s="67" t="n">
        <v>26</v>
      </c>
      <c r="J389" s="67" t="n">
        <v>26</v>
      </c>
      <c r="K389" s="67" t="n">
        <v>2</v>
      </c>
      <c r="L389" s="67" t="n">
        <v>1</v>
      </c>
      <c r="M389" s="67" t="n">
        <v>15</v>
      </c>
      <c r="N389" s="67" t="n">
        <v>15</v>
      </c>
      <c r="O389" s="67" t="n">
        <v>0</v>
      </c>
      <c r="P389" s="67" t="n">
        <v>0</v>
      </c>
      <c r="Q389" s="66" t="inlineStr">
        <is>
          <t>Brownfield</t>
        </is>
      </c>
      <c r="Z389" s="66">
        <f>"LARGE|"&amp;A389</f>
        <v/>
      </c>
      <c r="AA389" s="66">
        <f>Q389&amp;"|"&amp;Z389</f>
        <v/>
      </c>
    </row>
    <row r="390" ht="15" customHeight="1" s="39">
      <c r="A390" s="67" t="inlineStr">
        <is>
          <t>PM</t>
        </is>
      </c>
      <c r="B390" s="67" t="n">
        <v>196</v>
      </c>
      <c r="C390" s="67" t="n">
        <v>8</v>
      </c>
      <c r="D390" s="67" t="n">
        <v>3</v>
      </c>
      <c r="E390" s="67" t="n">
        <v>3</v>
      </c>
      <c r="F390" s="67" t="n">
        <v>5</v>
      </c>
      <c r="G390" s="67" t="n">
        <v>1</v>
      </c>
      <c r="H390" s="67" t="n">
        <v>4</v>
      </c>
      <c r="I390" s="67" t="n">
        <v>16</v>
      </c>
      <c r="J390" s="67" t="n">
        <v>16</v>
      </c>
      <c r="K390" s="67" t="n">
        <v>2</v>
      </c>
      <c r="L390" s="67" t="n">
        <v>1</v>
      </c>
      <c r="M390" s="67" t="n">
        <v>10</v>
      </c>
      <c r="N390" s="67" t="n">
        <v>10</v>
      </c>
      <c r="O390" s="67" t="n">
        <v>0</v>
      </c>
      <c r="P390" s="67" t="n">
        <v>0</v>
      </c>
      <c r="Q390" s="66" t="inlineStr">
        <is>
          <t>Brownfield</t>
        </is>
      </c>
      <c r="Z390" s="66">
        <f>"LARGE|"&amp;A390</f>
        <v/>
      </c>
      <c r="AA390" s="66">
        <f>Q390&amp;"|"&amp;Z390</f>
        <v/>
      </c>
    </row>
    <row r="391" ht="15" customHeight="1" s="39">
      <c r="A391" s="67" t="inlineStr">
        <is>
          <t>PS</t>
        </is>
      </c>
      <c r="B391" s="67" t="n">
        <v>196</v>
      </c>
      <c r="C391" s="67" t="n">
        <v>8</v>
      </c>
      <c r="D391" s="67" t="n">
        <v>3</v>
      </c>
      <c r="E391" s="67" t="n">
        <v>3</v>
      </c>
      <c r="F391" s="67" t="n">
        <v>5</v>
      </c>
      <c r="G391" s="67" t="n">
        <v>1</v>
      </c>
      <c r="H391" s="67" t="n">
        <v>4</v>
      </c>
      <c r="I391" s="67" t="n">
        <v>16</v>
      </c>
      <c r="J391" s="67" t="n">
        <v>16</v>
      </c>
      <c r="K391" s="67" t="n">
        <v>2</v>
      </c>
      <c r="L391" s="67" t="n">
        <v>1</v>
      </c>
      <c r="M391" s="67" t="n">
        <v>10</v>
      </c>
      <c r="N391" s="67" t="n">
        <v>10</v>
      </c>
      <c r="O391" s="67" t="n">
        <v>0</v>
      </c>
      <c r="P391" s="67" t="n">
        <v>0</v>
      </c>
      <c r="Q391" s="66" t="inlineStr">
        <is>
          <t>Brownfield</t>
        </is>
      </c>
      <c r="Z391" s="66">
        <f>"LARGE|"&amp;A391</f>
        <v/>
      </c>
      <c r="AA391" s="66">
        <f>Q391&amp;"|"&amp;Z391</f>
        <v/>
      </c>
    </row>
    <row r="392" ht="15" customHeight="1" s="39">
      <c r="A392" s="67" t="inlineStr">
        <is>
          <t>MII/DM</t>
        </is>
      </c>
      <c r="B392" s="67" t="n">
        <v>0</v>
      </c>
      <c r="C392" s="67" t="n">
        <v>0</v>
      </c>
      <c r="D392" s="67" t="n">
        <v>0</v>
      </c>
      <c r="E392" s="67" t="n">
        <v>0</v>
      </c>
      <c r="F392" s="67" t="n">
        <v>0</v>
      </c>
      <c r="G392" s="67" t="n">
        <v>0</v>
      </c>
      <c r="H392" s="67" t="n">
        <v>0</v>
      </c>
      <c r="I392" s="67" t="n">
        <v>0</v>
      </c>
      <c r="J392" s="67" t="n">
        <v>0</v>
      </c>
      <c r="K392" s="67" t="n">
        <v>0</v>
      </c>
      <c r="L392" s="67" t="n">
        <v>0</v>
      </c>
      <c r="M392" s="67" t="n">
        <v>0</v>
      </c>
      <c r="N392" s="67" t="n">
        <v>0</v>
      </c>
      <c r="O392" s="67" t="n">
        <v>0</v>
      </c>
      <c r="P392" s="67" t="n">
        <v>0</v>
      </c>
      <c r="Q392" s="66" t="inlineStr">
        <is>
          <t>Brownfield</t>
        </is>
      </c>
      <c r="Z392" s="66">
        <f>"LARGE|"&amp;A392</f>
        <v/>
      </c>
      <c r="AA392" s="66">
        <f>Q392&amp;"|"&amp;Z392</f>
        <v/>
      </c>
    </row>
    <row r="393" ht="15" customHeight="1" s="39">
      <c r="A393" s="67" t="inlineStr">
        <is>
          <t>PM Mobility</t>
        </is>
      </c>
      <c r="B393" s="67" t="n">
        <v>0</v>
      </c>
      <c r="C393" s="67" t="n">
        <v>0</v>
      </c>
      <c r="D393" s="67" t="n">
        <v>0</v>
      </c>
      <c r="E393" s="67" t="n">
        <v>0</v>
      </c>
      <c r="F393" s="67" t="n">
        <v>0</v>
      </c>
      <c r="G393" s="67" t="n">
        <v>0</v>
      </c>
      <c r="H393" s="67" t="n">
        <v>0</v>
      </c>
      <c r="I393" s="67" t="n">
        <v>0</v>
      </c>
      <c r="J393" s="67" t="n">
        <v>0</v>
      </c>
      <c r="K393" s="67" t="n">
        <v>0</v>
      </c>
      <c r="L393" s="67" t="n">
        <v>0</v>
      </c>
      <c r="M393" s="67" t="n">
        <v>0</v>
      </c>
      <c r="N393" s="67" t="n">
        <v>0</v>
      </c>
      <c r="O393" s="67" t="n">
        <v>0</v>
      </c>
      <c r="P393" s="67" t="n">
        <v>0</v>
      </c>
      <c r="Q393" s="66" t="inlineStr">
        <is>
          <t>Brownfield</t>
        </is>
      </c>
      <c r="Z393" s="66">
        <f>"LARGE|"&amp;A393</f>
        <v/>
      </c>
      <c r="AA393" s="66">
        <f>Q393&amp;"|"&amp;Z393</f>
        <v/>
      </c>
    </row>
    <row r="394" ht="15" customHeight="1" s="39">
      <c r="A394" s="67" t="inlineStr">
        <is>
          <t>Basic EWM</t>
        </is>
      </c>
      <c r="B394" s="67" t="n">
        <v>245</v>
      </c>
      <c r="C394" s="67" t="n">
        <v>10</v>
      </c>
      <c r="D394" s="67" t="n">
        <v>5</v>
      </c>
      <c r="E394" s="67" t="n">
        <v>5</v>
      </c>
      <c r="F394" s="67" t="n">
        <v>5</v>
      </c>
      <c r="G394" s="67" t="n">
        <v>2</v>
      </c>
      <c r="H394" s="67" t="n">
        <v>4</v>
      </c>
      <c r="I394" s="67" t="n">
        <v>28</v>
      </c>
      <c r="J394" s="67" t="n">
        <v>28</v>
      </c>
      <c r="K394" s="67" t="n">
        <v>2</v>
      </c>
      <c r="L394" s="67" t="n">
        <v>2</v>
      </c>
      <c r="M394" s="67" t="n">
        <v>10</v>
      </c>
      <c r="N394" s="67" t="n">
        <v>10</v>
      </c>
      <c r="O394" s="67" t="n">
        <v>0</v>
      </c>
      <c r="P394" s="67" t="n">
        <v>0</v>
      </c>
      <c r="Q394" s="66" t="inlineStr">
        <is>
          <t>Brownfield</t>
        </is>
      </c>
      <c r="Z394" s="66">
        <f>"LARGE|"&amp;A394</f>
        <v/>
      </c>
      <c r="AA394" s="66">
        <f>Q394&amp;"|"&amp;Z394</f>
        <v/>
      </c>
    </row>
    <row r="395" ht="15" customHeight="1" s="39">
      <c r="A395" s="67" t="inlineStr">
        <is>
          <t>Advanced EWM</t>
        </is>
      </c>
      <c r="B395" s="67" t="n">
        <v>0</v>
      </c>
      <c r="C395" s="67" t="n">
        <v>0</v>
      </c>
      <c r="D395" s="67" t="n">
        <v>0</v>
      </c>
      <c r="E395" s="67" t="n">
        <v>0</v>
      </c>
      <c r="F395" s="67" t="n">
        <v>0</v>
      </c>
      <c r="G395" s="67" t="n">
        <v>0</v>
      </c>
      <c r="H395" s="67" t="n">
        <v>0</v>
      </c>
      <c r="I395" s="67" t="n">
        <v>0</v>
      </c>
      <c r="J395" s="67" t="n">
        <v>0</v>
      </c>
      <c r="K395" s="67" t="n">
        <v>0</v>
      </c>
      <c r="L395" s="67" t="n">
        <v>0</v>
      </c>
      <c r="M395" s="67" t="n">
        <v>0</v>
      </c>
      <c r="N395" s="67" t="n">
        <v>0</v>
      </c>
      <c r="O395" s="67" t="n">
        <v>0</v>
      </c>
      <c r="P395" s="67" t="n">
        <v>0</v>
      </c>
      <c r="Q395" s="66" t="inlineStr">
        <is>
          <t>Brownfield</t>
        </is>
      </c>
      <c r="Z395" s="66">
        <f>"LARGE|"&amp;A395</f>
        <v/>
      </c>
      <c r="AA395" s="66">
        <f>Q395&amp;"|"&amp;Z395</f>
        <v/>
      </c>
    </row>
    <row r="396" ht="15" customHeight="1" s="39">
      <c r="A396" s="67" t="inlineStr">
        <is>
          <t>TM</t>
        </is>
      </c>
      <c r="B396" s="67" t="n">
        <v>147</v>
      </c>
      <c r="C396" s="67" t="n">
        <v>5</v>
      </c>
      <c r="D396" s="67" t="n">
        <v>4</v>
      </c>
      <c r="E396" s="67" t="n">
        <v>3</v>
      </c>
      <c r="F396" s="67" t="n">
        <v>6</v>
      </c>
      <c r="G396" s="67" t="n">
        <v>2</v>
      </c>
      <c r="H396" s="67" t="n">
        <v>4</v>
      </c>
      <c r="I396" s="67" t="n">
        <v>15</v>
      </c>
      <c r="J396" s="67" t="n">
        <v>15</v>
      </c>
      <c r="K396" s="67" t="n">
        <v>2</v>
      </c>
      <c r="L396" s="67" t="n">
        <v>2</v>
      </c>
      <c r="M396" s="67" t="n">
        <v>6</v>
      </c>
      <c r="N396" s="67" t="n">
        <v>8</v>
      </c>
      <c r="O396" s="67" t="n">
        <v>0</v>
      </c>
      <c r="P396" s="67" t="n">
        <v>0</v>
      </c>
      <c r="Q396" s="66" t="inlineStr">
        <is>
          <t>Brownfield</t>
        </is>
      </c>
      <c r="Z396" s="66">
        <f>"LARGE|"&amp;A396</f>
        <v/>
      </c>
      <c r="AA396" s="66">
        <f>Q396&amp;"|"&amp;Z396</f>
        <v/>
      </c>
    </row>
    <row r="397" ht="15" customHeight="1" s="39">
      <c r="A397" s="67" t="inlineStr">
        <is>
          <t>PPDS</t>
        </is>
      </c>
      <c r="B397" s="67" t="n">
        <v>147</v>
      </c>
      <c r="C397" s="67" t="n">
        <v>4</v>
      </c>
      <c r="D397" s="67" t="n">
        <v>3</v>
      </c>
      <c r="E397" s="67" t="n">
        <v>5</v>
      </c>
      <c r="F397" s="67" t="n">
        <v>5</v>
      </c>
      <c r="G397" s="67" t="n">
        <v>1</v>
      </c>
      <c r="H397" s="67" t="n">
        <v>2</v>
      </c>
      <c r="I397" s="67" t="n">
        <v>15</v>
      </c>
      <c r="J397" s="67" t="n">
        <v>15</v>
      </c>
      <c r="K397" s="67" t="n">
        <v>1</v>
      </c>
      <c r="L397" s="67" t="n">
        <v>1</v>
      </c>
      <c r="M397" s="67" t="n">
        <v>3</v>
      </c>
      <c r="N397" s="67" t="n">
        <v>3</v>
      </c>
      <c r="O397" s="67" t="n">
        <v>0</v>
      </c>
      <c r="P397" s="67" t="n">
        <v>0</v>
      </c>
      <c r="Q397" s="66" t="inlineStr">
        <is>
          <t>Brownfield</t>
        </is>
      </c>
      <c r="Z397" s="66">
        <f>"LARGE|"&amp;A397</f>
        <v/>
      </c>
      <c r="AA397" s="66">
        <f>Q397&amp;"|"&amp;Z397</f>
        <v/>
      </c>
    </row>
    <row r="398" ht="15" customHeight="1" s="39">
      <c r="A398" s="67" t="inlineStr">
        <is>
          <t>ABAP</t>
        </is>
      </c>
      <c r="B398" s="67" t="n">
        <v>0</v>
      </c>
      <c r="C398" s="67" t="n">
        <v>0</v>
      </c>
      <c r="D398" s="67" t="n">
        <v>0</v>
      </c>
      <c r="E398" s="67" t="n">
        <v>0</v>
      </c>
      <c r="F398" s="67" t="n">
        <v>0</v>
      </c>
      <c r="G398" s="67" t="n">
        <v>0</v>
      </c>
      <c r="H398" s="67" t="n">
        <v>0</v>
      </c>
      <c r="I398" s="67" t="n">
        <v>0</v>
      </c>
      <c r="J398" s="67" t="n">
        <v>0</v>
      </c>
      <c r="K398" s="67" t="n">
        <v>0</v>
      </c>
      <c r="L398" s="67" t="n">
        <v>0</v>
      </c>
      <c r="M398" s="67" t="n">
        <v>0</v>
      </c>
      <c r="N398" s="67" t="n">
        <v>0</v>
      </c>
      <c r="O398" s="67" t="n">
        <v>0</v>
      </c>
      <c r="P398" s="67" t="n">
        <v>0</v>
      </c>
      <c r="Q398" s="66" t="inlineStr">
        <is>
          <t>Brownfield</t>
        </is>
      </c>
      <c r="Z398" s="66">
        <f>"LARGE|"&amp;A398</f>
        <v/>
      </c>
      <c r="AA398" s="66">
        <f>Q398&amp;"|"&amp;Z398</f>
        <v/>
      </c>
    </row>
    <row r="399" ht="15" customHeight="1" s="39">
      <c r="A399" s="67" t="inlineStr">
        <is>
          <t>BASIS</t>
        </is>
      </c>
      <c r="B399" s="67" t="n">
        <v>0</v>
      </c>
      <c r="C399" s="67" t="n">
        <v>0</v>
      </c>
      <c r="D399" s="67" t="n">
        <v>0</v>
      </c>
      <c r="E399" s="67" t="n">
        <v>0</v>
      </c>
      <c r="F399" s="67" t="n">
        <v>0</v>
      </c>
      <c r="G399" s="67" t="n">
        <v>0</v>
      </c>
      <c r="H399" s="67" t="n">
        <v>0</v>
      </c>
      <c r="I399" s="67" t="n">
        <v>0</v>
      </c>
      <c r="J399" s="67" t="n">
        <v>0</v>
      </c>
      <c r="K399" s="67" t="n">
        <v>0</v>
      </c>
      <c r="L399" s="67" t="n">
        <v>0</v>
      </c>
      <c r="M399" s="67" t="n">
        <v>0</v>
      </c>
      <c r="N399" s="67" t="n">
        <v>0</v>
      </c>
      <c r="O399" s="67" t="n">
        <v>0</v>
      </c>
      <c r="P399" s="67" t="n">
        <v>0</v>
      </c>
      <c r="Q399" s="66" t="inlineStr">
        <is>
          <t>Brownfield</t>
        </is>
      </c>
      <c r="Z399" s="66">
        <f>"LARGE|"&amp;A399</f>
        <v/>
      </c>
      <c r="AA399" s="66">
        <f>Q399&amp;"|"&amp;Z399</f>
        <v/>
      </c>
    </row>
    <row r="400" ht="15" customHeight="1" s="39">
      <c r="A400" s="67" t="inlineStr">
        <is>
          <t>E-Fatura/Arşiv</t>
        </is>
      </c>
      <c r="B400" s="67" t="n">
        <v>5</v>
      </c>
      <c r="C400" s="67" t="n">
        <v>2</v>
      </c>
      <c r="D400" s="67" t="n">
        <v>0</v>
      </c>
      <c r="E400" s="67" t="n">
        <v>2</v>
      </c>
      <c r="F400" s="67" t="n">
        <v>2</v>
      </c>
      <c r="G400" s="67" t="n">
        <v>1</v>
      </c>
      <c r="H400" s="67" t="n">
        <v>1</v>
      </c>
      <c r="I400" s="67" t="n">
        <v>3</v>
      </c>
      <c r="J400" s="67" t="n">
        <v>3</v>
      </c>
      <c r="K400" s="67" t="n">
        <v>0</v>
      </c>
      <c r="L400" s="67" t="n">
        <v>1</v>
      </c>
      <c r="M400" s="67" t="n">
        <v>1</v>
      </c>
      <c r="N400" s="67" t="n">
        <v>0</v>
      </c>
      <c r="O400" s="67" t="n">
        <v>0</v>
      </c>
      <c r="P400" s="67" t="n">
        <v>0</v>
      </c>
      <c r="Q400" s="66" t="inlineStr">
        <is>
          <t>Brownfield</t>
        </is>
      </c>
      <c r="Z400" s="66">
        <f>"LARGE|"&amp;A400</f>
        <v/>
      </c>
      <c r="AA400" s="66">
        <f>Q400&amp;"|"&amp;Z400</f>
        <v/>
      </c>
    </row>
    <row r="401" ht="15" customHeight="1" s="39">
      <c r="A401" s="67" t="inlineStr">
        <is>
          <t>E-İrsaliye</t>
        </is>
      </c>
      <c r="B401" s="67" t="n">
        <v>5</v>
      </c>
      <c r="C401" s="67" t="n">
        <v>2</v>
      </c>
      <c r="D401" s="67" t="n">
        <v>0</v>
      </c>
      <c r="E401" s="67" t="n">
        <v>2</v>
      </c>
      <c r="F401" s="67" t="n">
        <v>2</v>
      </c>
      <c r="G401" s="67" t="n">
        <v>1</v>
      </c>
      <c r="H401" s="67" t="n">
        <v>1</v>
      </c>
      <c r="I401" s="67" t="n">
        <v>3</v>
      </c>
      <c r="J401" s="67" t="n">
        <v>3</v>
      </c>
      <c r="K401" s="67" t="n">
        <v>0</v>
      </c>
      <c r="L401" s="67" t="n">
        <v>1</v>
      </c>
      <c r="M401" s="67" t="n">
        <v>1</v>
      </c>
      <c r="N401" s="67" t="n">
        <v>0</v>
      </c>
      <c r="O401" s="67" t="n">
        <v>0</v>
      </c>
      <c r="P401" s="67" t="n">
        <v>0</v>
      </c>
      <c r="Q401" s="66" t="inlineStr">
        <is>
          <t>Brownfield</t>
        </is>
      </c>
      <c r="Z401" s="66">
        <f>"LARGE|"&amp;A401</f>
        <v/>
      </c>
      <c r="AA401" s="66">
        <f>Q401&amp;"|"&amp;Z401</f>
        <v/>
      </c>
    </row>
    <row r="402" ht="15" customHeight="1" s="39">
      <c r="A402" s="67" t="inlineStr">
        <is>
          <t>E-Defter</t>
        </is>
      </c>
      <c r="B402" s="67" t="n">
        <v>3</v>
      </c>
      <c r="C402" s="67" t="n">
        <v>2</v>
      </c>
      <c r="D402" s="67" t="n">
        <v>0</v>
      </c>
      <c r="E402" s="67" t="n">
        <v>3</v>
      </c>
      <c r="F402" s="67" t="n">
        <v>3</v>
      </c>
      <c r="G402" s="67" t="n">
        <v>1</v>
      </c>
      <c r="H402" s="67" t="n">
        <v>1</v>
      </c>
      <c r="I402" s="67" t="n">
        <v>0</v>
      </c>
      <c r="J402" s="67" t="n">
        <v>0</v>
      </c>
      <c r="K402" s="67" t="n">
        <v>0</v>
      </c>
      <c r="L402" s="67" t="n">
        <v>3</v>
      </c>
      <c r="M402" s="67" t="n">
        <v>1</v>
      </c>
      <c r="N402" s="67" t="n">
        <v>0</v>
      </c>
      <c r="O402" s="67" t="n">
        <v>0</v>
      </c>
      <c r="P402" s="67" t="n">
        <v>0</v>
      </c>
      <c r="Q402" s="66" t="inlineStr">
        <is>
          <t>Brownfield</t>
        </is>
      </c>
      <c r="Z402" s="66">
        <f>"LARGE|"&amp;A402</f>
        <v/>
      </c>
      <c r="AA402" s="66">
        <f>Q402&amp;"|"&amp;Z402</f>
        <v/>
      </c>
    </row>
    <row r="403" ht="15" customHeight="1" s="39">
      <c r="A403" s="67" t="inlineStr">
        <is>
          <t>E-Hesap Özeti</t>
        </is>
      </c>
      <c r="B403" s="67" t="n">
        <v>5</v>
      </c>
      <c r="C403" s="67" t="n">
        <v>3</v>
      </c>
      <c r="D403" s="67" t="n">
        <v>0</v>
      </c>
      <c r="E403" s="67" t="n">
        <v>4</v>
      </c>
      <c r="F403" s="67" t="n">
        <v>3</v>
      </c>
      <c r="G403" s="67" t="n">
        <v>1</v>
      </c>
      <c r="H403" s="67" t="n">
        <v>0</v>
      </c>
      <c r="I403" s="67" t="n">
        <v>3</v>
      </c>
      <c r="J403" s="67" t="n">
        <v>3</v>
      </c>
      <c r="K403" s="67" t="n">
        <v>0</v>
      </c>
      <c r="L403" s="67" t="n">
        <v>2</v>
      </c>
      <c r="M403" s="67" t="n">
        <v>1</v>
      </c>
      <c r="N403" s="67" t="n">
        <v>0</v>
      </c>
      <c r="O403" s="67" t="n">
        <v>0</v>
      </c>
      <c r="P403" s="67" t="n">
        <v>0</v>
      </c>
      <c r="Q403" s="66" t="inlineStr">
        <is>
          <t>Brownfield</t>
        </is>
      </c>
      <c r="Z403" s="66">
        <f>"LARGE|"&amp;A403</f>
        <v/>
      </c>
      <c r="AA403" s="66">
        <f>Q403&amp;"|"&amp;Z403</f>
        <v/>
      </c>
    </row>
    <row r="404" ht="15" customHeight="1" s="39">
      <c r="A404" s="67" t="inlineStr">
        <is>
          <t>E-Ödeme</t>
        </is>
      </c>
      <c r="B404" s="67" t="n">
        <v>5</v>
      </c>
      <c r="C404" s="67" t="n">
        <v>3</v>
      </c>
      <c r="D404" s="67" t="n">
        <v>0</v>
      </c>
      <c r="E404" s="67" t="n">
        <v>4</v>
      </c>
      <c r="F404" s="67" t="n">
        <v>3</v>
      </c>
      <c r="G404" s="67" t="n">
        <v>1</v>
      </c>
      <c r="H404" s="67" t="n">
        <v>0</v>
      </c>
      <c r="I404" s="67" t="n">
        <v>3</v>
      </c>
      <c r="J404" s="67" t="n">
        <v>3</v>
      </c>
      <c r="K404" s="67" t="n">
        <v>0</v>
      </c>
      <c r="L404" s="67" t="n">
        <v>2</v>
      </c>
      <c r="M404" s="67" t="n">
        <v>1</v>
      </c>
      <c r="N404" s="67" t="n">
        <v>0</v>
      </c>
      <c r="O404" s="67" t="n">
        <v>0</v>
      </c>
      <c r="P404" s="67" t="n">
        <v>0</v>
      </c>
      <c r="Q404" s="66" t="inlineStr">
        <is>
          <t>Brownfield</t>
        </is>
      </c>
      <c r="Z404" s="66">
        <f>"LARGE|"&amp;A404</f>
        <v/>
      </c>
      <c r="AA404" s="66">
        <f>Q404&amp;"|"&amp;Z404</f>
        <v/>
      </c>
    </row>
    <row r="405" ht="15" customHeight="1" s="39">
      <c r="A405" s="67" t="inlineStr">
        <is>
          <t>E-Mutabakat</t>
        </is>
      </c>
      <c r="B405" s="67" t="n">
        <v>5</v>
      </c>
      <c r="C405" s="67" t="n">
        <v>3</v>
      </c>
      <c r="D405" s="67" t="n">
        <v>0</v>
      </c>
      <c r="E405" s="67" t="n">
        <v>3</v>
      </c>
      <c r="F405" s="67" t="n">
        <v>3</v>
      </c>
      <c r="G405" s="67" t="n">
        <v>1</v>
      </c>
      <c r="H405" s="67" t="n">
        <v>0</v>
      </c>
      <c r="I405" s="67" t="n">
        <v>3</v>
      </c>
      <c r="J405" s="67" t="n">
        <v>3</v>
      </c>
      <c r="K405" s="67" t="n">
        <v>0</v>
      </c>
      <c r="L405" s="67" t="n">
        <v>2</v>
      </c>
      <c r="M405" s="67" t="n">
        <v>1</v>
      </c>
      <c r="N405" s="67" t="n">
        <v>0</v>
      </c>
      <c r="O405" s="67" t="n">
        <v>0</v>
      </c>
      <c r="P405" s="67" t="n">
        <v>0</v>
      </c>
      <c r="Q405" s="66" t="inlineStr">
        <is>
          <t>Brownfield</t>
        </is>
      </c>
      <c r="Z405" s="66">
        <f>"LARGE|"&amp;A405</f>
        <v/>
      </c>
      <c r="AA405" s="66">
        <f>Q405&amp;"|"&amp;Z405</f>
        <v/>
      </c>
    </row>
    <row r="406" ht="15" customHeight="1" s="39">
      <c r="A406" s="67" t="inlineStr">
        <is>
          <t>E-Beyanname</t>
        </is>
      </c>
      <c r="B406" s="67" t="n">
        <v>6</v>
      </c>
      <c r="C406" s="67" t="n">
        <v>3</v>
      </c>
      <c r="D406" s="67" t="n">
        <v>0</v>
      </c>
      <c r="E406" s="67" t="n">
        <v>6</v>
      </c>
      <c r="F406" s="67" t="n">
        <v>3</v>
      </c>
      <c r="G406" s="67" t="n">
        <v>2</v>
      </c>
      <c r="H406" s="67" t="n">
        <v>0</v>
      </c>
      <c r="I406" s="67" t="n">
        <v>0</v>
      </c>
      <c r="J406" s="67" t="n">
        <v>0</v>
      </c>
      <c r="K406" s="67" t="n">
        <v>0</v>
      </c>
      <c r="L406" s="67" t="n">
        <v>4</v>
      </c>
      <c r="M406" s="67" t="n">
        <v>2</v>
      </c>
      <c r="N406" s="67" t="n">
        <v>0</v>
      </c>
      <c r="O406" s="67" t="n">
        <v>0</v>
      </c>
      <c r="P406" s="67" t="n">
        <v>0</v>
      </c>
      <c r="Q406" s="66" t="inlineStr">
        <is>
          <t>Brownfield</t>
        </is>
      </c>
      <c r="Z406" s="66">
        <f>"LARGE|"&amp;A406</f>
        <v/>
      </c>
      <c r="AA406" s="66">
        <f>Q406&amp;"|"&amp;Z406</f>
        <v/>
      </c>
    </row>
    <row r="407" ht="15" customHeight="1" s="39">
      <c r="A407" s="67" t="inlineStr">
        <is>
          <t>Gelen Fatura Otomasyon</t>
        </is>
      </c>
      <c r="B407" s="67" t="n">
        <v>5</v>
      </c>
      <c r="C407" s="67" t="n">
        <v>2</v>
      </c>
      <c r="D407" s="67" t="n">
        <v>0</v>
      </c>
      <c r="E407" s="67" t="n">
        <v>3</v>
      </c>
      <c r="F407" s="67" t="n">
        <v>4</v>
      </c>
      <c r="G407" s="67" t="n">
        <v>2</v>
      </c>
      <c r="H407" s="67" t="n">
        <v>0</v>
      </c>
      <c r="I407" s="67" t="n">
        <v>2</v>
      </c>
      <c r="J407" s="67" t="n">
        <v>2</v>
      </c>
      <c r="K407" s="67" t="n">
        <v>0</v>
      </c>
      <c r="L407" s="67" t="n">
        <v>4</v>
      </c>
      <c r="M407" s="67" t="n">
        <v>1</v>
      </c>
      <c r="N407" s="67" t="n">
        <v>0</v>
      </c>
      <c r="O407" s="67" t="n">
        <v>0</v>
      </c>
      <c r="P407" s="67" t="n">
        <v>0</v>
      </c>
      <c r="Q407" s="66" t="inlineStr">
        <is>
          <t>Brownfield</t>
        </is>
      </c>
      <c r="Z407" s="66">
        <f>"LARGE|"&amp;A407</f>
        <v/>
      </c>
      <c r="AA407" s="66">
        <f>Q407&amp;"|"&amp;Z407</f>
        <v/>
      </c>
    </row>
    <row r="408" ht="15" customHeight="1" s="39">
      <c r="A408" s="67" t="inlineStr">
        <is>
          <t>GLASSWING</t>
        </is>
      </c>
      <c r="B408" s="67" t="n">
        <v>60</v>
      </c>
      <c r="C408" s="67" t="n">
        <v>6</v>
      </c>
      <c r="D408" s="67" t="n">
        <v>2</v>
      </c>
      <c r="E408" s="67" t="n">
        <v>15</v>
      </c>
      <c r="F408" s="67" t="n">
        <v>10</v>
      </c>
      <c r="G408" s="67" t="n">
        <v>2</v>
      </c>
      <c r="H408" s="67" t="n">
        <v>0</v>
      </c>
      <c r="I408" s="67" t="n">
        <v>25</v>
      </c>
      <c r="J408" s="67" t="n">
        <v>25</v>
      </c>
      <c r="K408" s="67" t="n">
        <v>13</v>
      </c>
      <c r="L408" s="67" t="n">
        <v>2</v>
      </c>
      <c r="M408" s="67" t="n">
        <v>5</v>
      </c>
      <c r="N408" s="67" t="n">
        <v>10</v>
      </c>
      <c r="O408" s="67" t="n">
        <v>0</v>
      </c>
      <c r="P408" s="67" t="n">
        <v>0</v>
      </c>
      <c r="Q408" s="66" t="inlineStr">
        <is>
          <t>Brownfield</t>
        </is>
      </c>
      <c r="Z408" s="66">
        <f>"LARGE|"&amp;A408</f>
        <v/>
      </c>
      <c r="AA408" s="66">
        <f>Q408&amp;"|"&amp;Z408</f>
        <v/>
      </c>
    </row>
    <row r="409" ht="15" customHeight="1" s="39">
      <c r="A409" s="67" t="inlineStr">
        <is>
          <t>COMMODITY</t>
        </is>
      </c>
      <c r="B409" s="67" t="n">
        <v>100</v>
      </c>
      <c r="C409" s="67" t="n">
        <v>9</v>
      </c>
      <c r="D409" s="67" t="n">
        <v>3</v>
      </c>
      <c r="E409" s="67" t="n">
        <v>15</v>
      </c>
      <c r="F409" s="67" t="n">
        <v>15</v>
      </c>
      <c r="G409" s="67" t="n">
        <v>2</v>
      </c>
      <c r="H409" s="67" t="n">
        <v>1</v>
      </c>
      <c r="I409" s="67" t="n">
        <v>30</v>
      </c>
      <c r="J409" s="67" t="n">
        <v>30</v>
      </c>
      <c r="K409" s="67" t="n">
        <v>10</v>
      </c>
      <c r="L409" s="67" t="n">
        <v>2</v>
      </c>
      <c r="M409" s="67" t="n">
        <v>8</v>
      </c>
      <c r="N409" s="67" t="n">
        <v>15</v>
      </c>
      <c r="O409" s="67" t="n">
        <v>0</v>
      </c>
      <c r="P409" s="67" t="n">
        <v>0</v>
      </c>
      <c r="Q409" s="66" t="inlineStr">
        <is>
          <t>Brownfield</t>
        </is>
      </c>
      <c r="Z409" s="66">
        <f>"LARGE|"&amp;A409</f>
        <v/>
      </c>
      <c r="AA409" s="66">
        <f>Q409&amp;"|"&amp;Z409</f>
        <v/>
      </c>
    </row>
    <row r="410" ht="15" customHeight="1" s="39">
      <c r="A410" s="67" t="inlineStr">
        <is>
          <t>Dış Ticaret Çözümü</t>
        </is>
      </c>
      <c r="B410" s="67" t="n">
        <v>0</v>
      </c>
      <c r="C410" s="67" t="n">
        <v>0</v>
      </c>
      <c r="D410" s="67" t="n">
        <v>0</v>
      </c>
      <c r="E410" s="67" t="n">
        <v>0</v>
      </c>
      <c r="F410" s="67" t="n">
        <v>0</v>
      </c>
      <c r="G410" s="67" t="n">
        <v>0</v>
      </c>
      <c r="H410" s="67" t="n">
        <v>0</v>
      </c>
      <c r="I410" s="67" t="n">
        <v>0</v>
      </c>
      <c r="J410" s="67" t="n">
        <v>0</v>
      </c>
      <c r="K410" s="67" t="n">
        <v>0</v>
      </c>
      <c r="L410" s="67" t="n">
        <v>0</v>
      </c>
      <c r="M410" s="67" t="n">
        <v>0</v>
      </c>
      <c r="N410" s="67" t="n">
        <v>0</v>
      </c>
      <c r="O410" s="67" t="n">
        <v>0</v>
      </c>
      <c r="P410" s="67" t="n">
        <v>0</v>
      </c>
      <c r="Q410" s="66" t="inlineStr">
        <is>
          <t>Brownfield</t>
        </is>
      </c>
      <c r="Z410" s="66">
        <f>"LARGE|"&amp;A410</f>
        <v/>
      </c>
      <c r="AA410" s="66">
        <f>Q410&amp;"|"&amp;Z410</f>
        <v/>
      </c>
    </row>
    <row r="411" ht="15" customHeight="1" s="39">
      <c r="A411" s="67" t="inlineStr">
        <is>
          <t>Seyahat ve Masraf Yönetimi</t>
        </is>
      </c>
      <c r="B411" s="67" t="n">
        <v>0</v>
      </c>
      <c r="C411" s="67" t="n">
        <v>0</v>
      </c>
      <c r="D411" s="67" t="n">
        <v>0</v>
      </c>
      <c r="E411" s="67" t="n">
        <v>0</v>
      </c>
      <c r="F411" s="67" t="n">
        <v>0</v>
      </c>
      <c r="G411" s="67" t="n">
        <v>0</v>
      </c>
      <c r="H411" s="67" t="n">
        <v>0</v>
      </c>
      <c r="I411" s="67" t="n">
        <v>0</v>
      </c>
      <c r="J411" s="67" t="n">
        <v>0</v>
      </c>
      <c r="K411" s="67" t="n">
        <v>0</v>
      </c>
      <c r="L411" s="67" t="n">
        <v>0</v>
      </c>
      <c r="M411" s="67" t="n">
        <v>0</v>
      </c>
      <c r="N411" s="67" t="n">
        <v>0</v>
      </c>
      <c r="O411" s="67" t="n">
        <v>0</v>
      </c>
      <c r="P411" s="67" t="n">
        <v>0</v>
      </c>
      <c r="Q411" s="66" t="inlineStr">
        <is>
          <t>Brownfield</t>
        </is>
      </c>
      <c r="Z411" s="66">
        <f>"LARGE|"&amp;A411</f>
        <v/>
      </c>
      <c r="AA411" s="66">
        <f>Q411&amp;"|"&amp;Z411</f>
        <v/>
      </c>
    </row>
    <row r="412" ht="15" customHeight="1" s="39">
      <c r="A412" s="67" t="inlineStr">
        <is>
          <t>NTT Data POS</t>
        </is>
      </c>
      <c r="B412" s="67" t="n">
        <v>0</v>
      </c>
      <c r="C412" s="67" t="n">
        <v>0</v>
      </c>
      <c r="D412" s="67" t="n">
        <v>0</v>
      </c>
      <c r="E412" s="67" t="n">
        <v>0</v>
      </c>
      <c r="F412" s="67" t="n">
        <v>0</v>
      </c>
      <c r="G412" s="67" t="n">
        <v>0</v>
      </c>
      <c r="H412" s="67" t="n">
        <v>0</v>
      </c>
      <c r="I412" s="67" t="n">
        <v>0</v>
      </c>
      <c r="J412" s="67" t="n">
        <v>0</v>
      </c>
      <c r="K412" s="67" t="n">
        <v>0</v>
      </c>
      <c r="L412" s="67" t="n">
        <v>0</v>
      </c>
      <c r="M412" s="67" t="n">
        <v>0</v>
      </c>
      <c r="N412" s="67" t="n">
        <v>0</v>
      </c>
      <c r="O412" s="67" t="n">
        <v>0</v>
      </c>
      <c r="P412" s="67" t="n">
        <v>0</v>
      </c>
      <c r="Q412" s="66" t="inlineStr">
        <is>
          <t>Brownfield</t>
        </is>
      </c>
      <c r="Z412" s="66">
        <f>"LARGE|"&amp;A412</f>
        <v/>
      </c>
      <c r="AA412" s="66">
        <f>Q412&amp;"|"&amp;Z412</f>
        <v/>
      </c>
    </row>
    <row r="414" ht="15" customHeight="1" s="39">
      <c r="A414" s="68" t="inlineStr">
        <is>
          <t>X-LARGE</t>
        </is>
      </c>
      <c r="Q414" s="68" t="inlineStr">
        <is>
          <t>Brownfield</t>
        </is>
      </c>
    </row>
    <row r="415" ht="15" customHeight="1" s="39">
      <c r="A415" s="67">
        <f>INDEX(Translations!$D:$ZZ, MATCH(74,Translations!$A:$A,0), MATCH('Project Information'!$C$4,Translations!$D$1:$ZZ$1,0))</f>
        <v/>
      </c>
      <c r="B415" s="67">
        <f>INDEX(Translations!$D:$ZZ, MATCH(75,Translations!$A:$A,0), MATCH('Project Information'!$C$4,Translations!$D$1:$ZZ$1,0))</f>
        <v/>
      </c>
      <c r="C415" s="67">
        <f>INDEX(Translations!$D:$ZZ, MATCH(76,Translations!$A:$A,0), MATCH('Project Information'!$C$4,Translations!$D$1:$ZZ$1,0))</f>
        <v/>
      </c>
      <c r="D415" s="67">
        <f>INDEX(Translations!$D:$ZZ, MATCH(77,Translations!$A:$A,0), MATCH('Project Information'!$C$4,Translations!$D$1:$ZZ$1,0))</f>
        <v/>
      </c>
      <c r="E415" s="67">
        <f>INDEX(Translations!$D:$ZZ, MATCH(78,Translations!$A:$A,0), MATCH('Project Information'!$C$4,Translations!$D$1:$ZZ$1,0))</f>
        <v/>
      </c>
      <c r="F415" s="67">
        <f>INDEX(Translations!$D:$ZZ, MATCH(79,Translations!$A:$A,0), MATCH('Project Information'!$C$4,Translations!$D$1:$ZZ$1,0))</f>
        <v/>
      </c>
      <c r="G415" s="67">
        <f>INDEX(Translations!$D:$ZZ, MATCH(80,Translations!$A:$A,0), MATCH('Project Information'!$C$4,Translations!$D$1:$ZZ$1,0))</f>
        <v/>
      </c>
      <c r="H415" s="67">
        <f>INDEX(Translations!$D:$ZZ, MATCH(81,Translations!$A:$A,0), MATCH('Project Information'!$C$4,Translations!$D$1:$ZZ$1,0))</f>
        <v/>
      </c>
      <c r="I415" s="67">
        <f>INDEX(Translations!$D:$ZZ, MATCH(82,Translations!$A:$A,0), MATCH('Project Information'!$C$4,Translations!$D$1:$ZZ$1,0))</f>
        <v/>
      </c>
      <c r="J415" s="67">
        <f>INDEX(Translations!$D:$ZZ, MATCH(83,Translations!$A:$A,0), MATCH('Project Information'!$C$4,Translations!$D$1:$ZZ$1,0))</f>
        <v/>
      </c>
      <c r="K415" s="67">
        <f>INDEX(Translations!$D:$ZZ, MATCH(84,Translations!$A:$A,0), MATCH('Project Information'!$C$4,Translations!$D$1:$ZZ$1,0))</f>
        <v/>
      </c>
      <c r="L415" s="67">
        <f>INDEX(Translations!$D:$ZZ, MATCH(85,Translations!$A:$A,0), MATCH('Project Information'!$C$4,Translations!$D$1:$ZZ$1,0))</f>
        <v/>
      </c>
      <c r="M415" s="67">
        <f>INDEX(Translations!$D:$ZZ, MATCH(86,Translations!$A:$A,0), MATCH('Project Information'!$C$4,Translations!$D$1:$ZZ$1,0))</f>
        <v/>
      </c>
      <c r="N415" s="67">
        <f>INDEX(Translations!$D:$ZZ, MATCH(87,Translations!$A:$A,0), MATCH('Project Information'!$C$4,Translations!$D$1:$ZZ$1,0))</f>
        <v/>
      </c>
      <c r="O415" s="67">
        <f>INDEX(Translations!$D:$ZZ, MATCH(88,Translations!$A:$A,0), MATCH('Project Information'!$C$4,Translations!$D$1:$ZZ$1,0))</f>
        <v/>
      </c>
      <c r="P415" s="67">
        <f>INDEX(Translations!$D:$ZZ, MATCH(89,Translations!$A:$A,0), MATCH('Project Information'!$C$4,Translations!$D$1:$ZZ$1,0))</f>
        <v/>
      </c>
      <c r="Q415" s="67" t="inlineStr">
        <is>
          <t>Implementation Type</t>
        </is>
      </c>
      <c r="Z415" s="67">
        <f>INDEX(Translations!$D:$ZZ, MATCH(93,Translations!$A:$A,0), MATCH('Project Information'!$C$4,Translations!$D$1:$ZZ$1,0))</f>
        <v/>
      </c>
      <c r="AA415" s="67" t="inlineStr">
        <is>
          <t>Implementation Key</t>
        </is>
      </c>
    </row>
    <row r="416" ht="15" customHeight="1" s="39">
      <c r="A416" s="67" t="inlineStr">
        <is>
          <t>FI</t>
        </is>
      </c>
      <c r="B416" s="67" t="n">
        <v>245</v>
      </c>
      <c r="C416" s="67" t="n">
        <v>10</v>
      </c>
      <c r="D416" s="67" t="n">
        <v>5</v>
      </c>
      <c r="E416" s="67" t="n">
        <v>5</v>
      </c>
      <c r="F416" s="67" t="n">
        <v>5</v>
      </c>
      <c r="G416" s="67" t="n">
        <v>2</v>
      </c>
      <c r="H416" s="67" t="n">
        <v>3</v>
      </c>
      <c r="I416" s="67" t="n">
        <v>28</v>
      </c>
      <c r="J416" s="67" t="n">
        <v>28</v>
      </c>
      <c r="K416" s="67" t="n">
        <v>3</v>
      </c>
      <c r="L416" s="67" t="n">
        <v>2</v>
      </c>
      <c r="M416" s="67" t="n">
        <v>15</v>
      </c>
      <c r="N416" s="67" t="n">
        <v>15</v>
      </c>
      <c r="O416" s="67" t="n">
        <v>0</v>
      </c>
      <c r="P416" s="67" t="n">
        <v>0</v>
      </c>
      <c r="Q416" s="66" t="inlineStr">
        <is>
          <t>Brownfield</t>
        </is>
      </c>
      <c r="Z416" s="66">
        <f>"X-LARGE|"&amp;A416</f>
        <v/>
      </c>
      <c r="AA416" s="66">
        <f>Q416&amp;"|"&amp;Z416</f>
        <v/>
      </c>
    </row>
    <row r="417" ht="15" customHeight="1" s="39">
      <c r="A417" s="67" t="inlineStr">
        <is>
          <t>CO</t>
        </is>
      </c>
      <c r="B417" s="67" t="n">
        <v>245</v>
      </c>
      <c r="C417" s="67" t="n">
        <v>10</v>
      </c>
      <c r="D417" s="67" t="n">
        <v>5</v>
      </c>
      <c r="E417" s="67" t="n">
        <v>4</v>
      </c>
      <c r="F417" s="67" t="n">
        <v>5</v>
      </c>
      <c r="G417" s="67" t="n">
        <v>2</v>
      </c>
      <c r="H417" s="67" t="n">
        <v>2</v>
      </c>
      <c r="I417" s="67" t="n">
        <v>28</v>
      </c>
      <c r="J417" s="67" t="n">
        <v>28</v>
      </c>
      <c r="K417" s="67" t="n">
        <v>3</v>
      </c>
      <c r="L417" s="67" t="n">
        <v>2</v>
      </c>
      <c r="M417" s="67" t="n">
        <v>10</v>
      </c>
      <c r="N417" s="67" t="n">
        <v>10</v>
      </c>
      <c r="O417" s="67" t="n">
        <v>0</v>
      </c>
      <c r="P417" s="67" t="n">
        <v>0</v>
      </c>
      <c r="Q417" s="66" t="inlineStr">
        <is>
          <t>Brownfield</t>
        </is>
      </c>
      <c r="Z417" s="66">
        <f>"X-LARGE|"&amp;A417</f>
        <v/>
      </c>
      <c r="AA417" s="66">
        <f>Q417&amp;"|"&amp;Z417</f>
        <v/>
      </c>
    </row>
    <row r="418" ht="15" customHeight="1" s="39">
      <c r="A418" s="67" t="inlineStr">
        <is>
          <t>TRM</t>
        </is>
      </c>
      <c r="B418" s="67" t="n">
        <v>100</v>
      </c>
      <c r="C418" s="67" t="n">
        <v>4</v>
      </c>
      <c r="D418" s="67" t="n">
        <v>2</v>
      </c>
      <c r="E418" s="67" t="n">
        <v>2</v>
      </c>
      <c r="F418" s="67" t="n">
        <v>3</v>
      </c>
      <c r="G418" s="67" t="n">
        <v>1</v>
      </c>
      <c r="H418" s="67" t="n">
        <v>1</v>
      </c>
      <c r="I418" s="67" t="n">
        <v>10</v>
      </c>
      <c r="J418" s="67" t="n">
        <v>10</v>
      </c>
      <c r="K418" s="67" t="n">
        <v>1</v>
      </c>
      <c r="L418" s="67" t="n">
        <v>1</v>
      </c>
      <c r="M418" s="67" t="n">
        <v>10</v>
      </c>
      <c r="N418" s="67" t="n">
        <v>10</v>
      </c>
      <c r="O418" s="67" t="n">
        <v>0</v>
      </c>
      <c r="P418" s="67" t="n">
        <v>0</v>
      </c>
      <c r="Q418" s="66" t="inlineStr">
        <is>
          <t>Brownfield</t>
        </is>
      </c>
      <c r="Z418" s="66">
        <f>"X-LARGE|"&amp;A418</f>
        <v/>
      </c>
      <c r="AA418" s="66">
        <f>Q418&amp;"|"&amp;Z418</f>
        <v/>
      </c>
    </row>
    <row r="419" ht="15" customHeight="1" s="39">
      <c r="A419" s="67" t="inlineStr">
        <is>
          <t>CM</t>
        </is>
      </c>
      <c r="B419" s="67" t="n">
        <v>100</v>
      </c>
      <c r="C419" s="67" t="n">
        <v>3</v>
      </c>
      <c r="D419" s="67" t="n">
        <v>2</v>
      </c>
      <c r="E419" s="67" t="n">
        <v>2</v>
      </c>
      <c r="F419" s="67" t="n">
        <v>3</v>
      </c>
      <c r="G419" s="67" t="n">
        <v>1</v>
      </c>
      <c r="H419" s="67" t="n">
        <v>1</v>
      </c>
      <c r="I419" s="67" t="n">
        <v>10</v>
      </c>
      <c r="J419" s="67" t="n">
        <v>10</v>
      </c>
      <c r="K419" s="67" t="n">
        <v>1</v>
      </c>
      <c r="L419" s="67" t="n">
        <v>1</v>
      </c>
      <c r="M419" s="67" t="n">
        <v>5</v>
      </c>
      <c r="N419" s="67" t="n">
        <v>5</v>
      </c>
      <c r="O419" s="67" t="n">
        <v>0</v>
      </c>
      <c r="P419" s="67" t="n">
        <v>0</v>
      </c>
      <c r="Q419" s="66" t="inlineStr">
        <is>
          <t>Brownfield</t>
        </is>
      </c>
      <c r="Z419" s="66">
        <f>"X-LARGE|"&amp;A419</f>
        <v/>
      </c>
      <c r="AA419" s="66">
        <f>Q419&amp;"|"&amp;Z419</f>
        <v/>
      </c>
    </row>
    <row r="420" ht="15" customHeight="1" s="39">
      <c r="A420" s="67" t="inlineStr">
        <is>
          <t>FM</t>
        </is>
      </c>
      <c r="B420" s="67" t="n">
        <v>100</v>
      </c>
      <c r="C420" s="67" t="n">
        <v>3</v>
      </c>
      <c r="D420" s="67" t="n">
        <v>2</v>
      </c>
      <c r="E420" s="67" t="n">
        <v>2</v>
      </c>
      <c r="F420" s="67" t="n">
        <v>3</v>
      </c>
      <c r="G420" s="67" t="n">
        <v>1</v>
      </c>
      <c r="H420" s="67" t="n">
        <v>1</v>
      </c>
      <c r="I420" s="67" t="n">
        <v>10</v>
      </c>
      <c r="J420" s="67" t="n">
        <v>10</v>
      </c>
      <c r="K420" s="67" t="n">
        <v>1</v>
      </c>
      <c r="L420" s="67" t="n">
        <v>1</v>
      </c>
      <c r="M420" s="67" t="n">
        <v>5</v>
      </c>
      <c r="N420" s="67" t="n">
        <v>5</v>
      </c>
      <c r="O420" s="67" t="n">
        <v>0</v>
      </c>
      <c r="P420" s="67" t="n">
        <v>0</v>
      </c>
      <c r="Q420" s="66" t="inlineStr">
        <is>
          <t>Brownfield</t>
        </is>
      </c>
      <c r="Z420" s="66">
        <f>"X-LARGE|"&amp;A420</f>
        <v/>
      </c>
      <c r="AA420" s="66">
        <f>Q420&amp;"|"&amp;Z420</f>
        <v/>
      </c>
    </row>
    <row r="421" ht="15" customHeight="1" s="39">
      <c r="A421" s="67" t="inlineStr">
        <is>
          <t>RM</t>
        </is>
      </c>
      <c r="B421" s="67" t="n">
        <v>0</v>
      </c>
      <c r="C421" s="67" t="n">
        <v>0</v>
      </c>
      <c r="D421" s="67" t="n">
        <v>0</v>
      </c>
      <c r="E421" s="67" t="n">
        <v>0</v>
      </c>
      <c r="F421" s="67" t="n">
        <v>0</v>
      </c>
      <c r="G421" s="67" t="n">
        <v>0</v>
      </c>
      <c r="H421" s="67" t="n">
        <v>0</v>
      </c>
      <c r="I421" s="67" t="n">
        <v>0</v>
      </c>
      <c r="J421" s="67" t="n">
        <v>0</v>
      </c>
      <c r="K421" s="67" t="n">
        <v>0</v>
      </c>
      <c r="L421" s="67" t="n">
        <v>0</v>
      </c>
      <c r="M421" s="67" t="n">
        <v>0</v>
      </c>
      <c r="N421" s="67" t="n">
        <v>0</v>
      </c>
      <c r="O421" s="67" t="n">
        <v>0</v>
      </c>
      <c r="P421" s="67" t="n">
        <v>0</v>
      </c>
      <c r="Q421" s="66" t="inlineStr">
        <is>
          <t>Brownfield</t>
        </is>
      </c>
      <c r="Z421" s="66">
        <f>"X-LARGE|"&amp;A421</f>
        <v/>
      </c>
      <c r="AA421" s="66">
        <f>Q421&amp;"|"&amp;Z421</f>
        <v/>
      </c>
    </row>
    <row r="422" ht="15" customHeight="1" s="39">
      <c r="A422" s="67" t="inlineStr">
        <is>
          <t>RE/FX</t>
        </is>
      </c>
      <c r="B422" s="67" t="n">
        <v>0</v>
      </c>
      <c r="C422" s="67" t="n">
        <v>0</v>
      </c>
      <c r="D422" s="67" t="n">
        <v>0</v>
      </c>
      <c r="E422" s="67" t="n">
        <v>0</v>
      </c>
      <c r="F422" s="67" t="n">
        <v>0</v>
      </c>
      <c r="G422" s="67" t="n">
        <v>0</v>
      </c>
      <c r="H422" s="67" t="n">
        <v>0</v>
      </c>
      <c r="I422" s="67" t="n">
        <v>0</v>
      </c>
      <c r="J422" s="67" t="n">
        <v>0</v>
      </c>
      <c r="K422" s="67" t="n">
        <v>0</v>
      </c>
      <c r="L422" s="67" t="n">
        <v>0</v>
      </c>
      <c r="M422" s="67" t="n">
        <v>0</v>
      </c>
      <c r="N422" s="67" t="n">
        <v>0</v>
      </c>
      <c r="O422" s="67" t="n">
        <v>0</v>
      </c>
      <c r="P422" s="67" t="n">
        <v>0</v>
      </c>
      <c r="Q422" s="66" t="inlineStr">
        <is>
          <t>Brownfield</t>
        </is>
      </c>
      <c r="Z422" s="66">
        <f>"X-LARGE|"&amp;A422</f>
        <v/>
      </c>
      <c r="AA422" s="66">
        <f>Q422&amp;"|"&amp;Z422</f>
        <v/>
      </c>
    </row>
    <row r="423" ht="15" customHeight="1" s="39">
      <c r="A423" s="67" t="inlineStr">
        <is>
          <t>MM</t>
        </is>
      </c>
      <c r="B423" s="67" t="n">
        <v>245</v>
      </c>
      <c r="C423" s="67" t="n">
        <v>10</v>
      </c>
      <c r="D423" s="67" t="n">
        <v>5</v>
      </c>
      <c r="E423" s="67" t="n">
        <v>5</v>
      </c>
      <c r="F423" s="67" t="n">
        <v>5</v>
      </c>
      <c r="G423" s="67" t="n">
        <v>2</v>
      </c>
      <c r="H423" s="67" t="n">
        <v>7</v>
      </c>
      <c r="I423" s="67" t="n">
        <v>28</v>
      </c>
      <c r="J423" s="67" t="n">
        <v>28</v>
      </c>
      <c r="K423" s="67" t="n">
        <v>3</v>
      </c>
      <c r="L423" s="67" t="n">
        <v>2</v>
      </c>
      <c r="M423" s="67" t="n">
        <v>20</v>
      </c>
      <c r="N423" s="67" t="n">
        <v>20</v>
      </c>
      <c r="O423" s="67" t="n">
        <v>0</v>
      </c>
      <c r="P423" s="67" t="n">
        <v>0</v>
      </c>
      <c r="Q423" s="66" t="inlineStr">
        <is>
          <t>Brownfield</t>
        </is>
      </c>
      <c r="Z423" s="66">
        <f>"X-LARGE|"&amp;A423</f>
        <v/>
      </c>
      <c r="AA423" s="66">
        <f>Q423&amp;"|"&amp;Z423</f>
        <v/>
      </c>
    </row>
    <row r="424" ht="15" customHeight="1" s="39">
      <c r="A424" s="67" t="inlineStr">
        <is>
          <t>PP</t>
        </is>
      </c>
      <c r="B424" s="67" t="n">
        <v>245</v>
      </c>
      <c r="C424" s="67" t="n">
        <v>10</v>
      </c>
      <c r="D424" s="67" t="n">
        <v>5</v>
      </c>
      <c r="E424" s="67" t="n">
        <v>5</v>
      </c>
      <c r="F424" s="67" t="n">
        <v>5</v>
      </c>
      <c r="G424" s="67" t="n">
        <v>2</v>
      </c>
      <c r="H424" s="67" t="n">
        <v>7</v>
      </c>
      <c r="I424" s="67" t="n">
        <v>28</v>
      </c>
      <c r="J424" s="67" t="n">
        <v>28</v>
      </c>
      <c r="K424" s="67" t="n">
        <v>3</v>
      </c>
      <c r="L424" s="67" t="n">
        <v>2</v>
      </c>
      <c r="M424" s="67" t="n">
        <v>20</v>
      </c>
      <c r="N424" s="67" t="n">
        <v>20</v>
      </c>
      <c r="O424" s="67" t="n">
        <v>0</v>
      </c>
      <c r="P424" s="67" t="n">
        <v>0</v>
      </c>
      <c r="Q424" s="66" t="inlineStr">
        <is>
          <t>Brownfield</t>
        </is>
      </c>
      <c r="Z424" s="66">
        <f>"X-LARGE|"&amp;A424</f>
        <v/>
      </c>
      <c r="AA424" s="66">
        <f>Q424&amp;"|"&amp;Z424</f>
        <v/>
      </c>
    </row>
    <row r="425" ht="15" customHeight="1" s="39">
      <c r="A425" s="67" t="inlineStr">
        <is>
          <t>SD</t>
        </is>
      </c>
      <c r="B425" s="67" t="n">
        <v>245</v>
      </c>
      <c r="C425" s="67" t="n">
        <v>10</v>
      </c>
      <c r="D425" s="67" t="n">
        <v>5</v>
      </c>
      <c r="E425" s="67" t="n">
        <v>5</v>
      </c>
      <c r="F425" s="67" t="n">
        <v>5</v>
      </c>
      <c r="G425" s="67" t="n">
        <v>2</v>
      </c>
      <c r="H425" s="67" t="n">
        <v>5</v>
      </c>
      <c r="I425" s="67" t="n">
        <v>28</v>
      </c>
      <c r="J425" s="67" t="n">
        <v>28</v>
      </c>
      <c r="K425" s="67" t="n">
        <v>3</v>
      </c>
      <c r="L425" s="67" t="n">
        <v>2</v>
      </c>
      <c r="M425" s="67" t="n">
        <v>15</v>
      </c>
      <c r="N425" s="67" t="n">
        <v>15</v>
      </c>
      <c r="O425" s="67" t="n">
        <v>0</v>
      </c>
      <c r="P425" s="67" t="n">
        <v>0</v>
      </c>
      <c r="Q425" s="66" t="inlineStr">
        <is>
          <t>Brownfield</t>
        </is>
      </c>
      <c r="Z425" s="66">
        <f>"X-LARGE|"&amp;A425</f>
        <v/>
      </c>
      <c r="AA425" s="66">
        <f>Q425&amp;"|"&amp;Z425</f>
        <v/>
      </c>
    </row>
    <row r="426" ht="15" customHeight="1" s="39">
      <c r="A426" s="67" t="inlineStr">
        <is>
          <t>QM</t>
        </is>
      </c>
      <c r="B426" s="67" t="n">
        <v>245</v>
      </c>
      <c r="C426" s="67" t="n">
        <v>8</v>
      </c>
      <c r="D426" s="67" t="n">
        <v>5</v>
      </c>
      <c r="E426" s="67" t="n">
        <v>4</v>
      </c>
      <c r="F426" s="67" t="n">
        <v>5</v>
      </c>
      <c r="G426" s="67" t="n">
        <v>1</v>
      </c>
      <c r="H426" s="67" t="n">
        <v>6</v>
      </c>
      <c r="I426" s="67" t="n">
        <v>26</v>
      </c>
      <c r="J426" s="67" t="n">
        <v>26</v>
      </c>
      <c r="K426" s="67" t="n">
        <v>2</v>
      </c>
      <c r="L426" s="67" t="n">
        <v>1</v>
      </c>
      <c r="M426" s="67" t="n">
        <v>15</v>
      </c>
      <c r="N426" s="67" t="n">
        <v>15</v>
      </c>
      <c r="O426" s="67" t="n">
        <v>0</v>
      </c>
      <c r="P426" s="67" t="n">
        <v>0</v>
      </c>
      <c r="Q426" s="66" t="inlineStr">
        <is>
          <t>Brownfield</t>
        </is>
      </c>
      <c r="Z426" s="66">
        <f>"X-LARGE|"&amp;A426</f>
        <v/>
      </c>
      <c r="AA426" s="66">
        <f>Q426&amp;"|"&amp;Z426</f>
        <v/>
      </c>
    </row>
    <row r="427" ht="15" customHeight="1" s="39">
      <c r="A427" s="67" t="inlineStr">
        <is>
          <t>PM</t>
        </is>
      </c>
      <c r="B427" s="67" t="n">
        <v>196</v>
      </c>
      <c r="C427" s="67" t="n">
        <v>8</v>
      </c>
      <c r="D427" s="67" t="n">
        <v>3</v>
      </c>
      <c r="E427" s="67" t="n">
        <v>3</v>
      </c>
      <c r="F427" s="67" t="n">
        <v>5</v>
      </c>
      <c r="G427" s="67" t="n">
        <v>1</v>
      </c>
      <c r="H427" s="67" t="n">
        <v>4</v>
      </c>
      <c r="I427" s="67" t="n">
        <v>16</v>
      </c>
      <c r="J427" s="67" t="n">
        <v>16</v>
      </c>
      <c r="K427" s="67" t="n">
        <v>2</v>
      </c>
      <c r="L427" s="67" t="n">
        <v>1</v>
      </c>
      <c r="M427" s="67" t="n">
        <v>10</v>
      </c>
      <c r="N427" s="67" t="n">
        <v>10</v>
      </c>
      <c r="O427" s="67" t="n">
        <v>0</v>
      </c>
      <c r="P427" s="67" t="n">
        <v>0</v>
      </c>
      <c r="Q427" s="66" t="inlineStr">
        <is>
          <t>Brownfield</t>
        </is>
      </c>
      <c r="Z427" s="66">
        <f>"X-LARGE|"&amp;A427</f>
        <v/>
      </c>
      <c r="AA427" s="66">
        <f>Q427&amp;"|"&amp;Z427</f>
        <v/>
      </c>
    </row>
    <row r="428" ht="15" customHeight="1" s="39">
      <c r="A428" s="67" t="inlineStr">
        <is>
          <t>PS</t>
        </is>
      </c>
      <c r="B428" s="67" t="n">
        <v>196</v>
      </c>
      <c r="C428" s="67" t="n">
        <v>8</v>
      </c>
      <c r="D428" s="67" t="n">
        <v>3</v>
      </c>
      <c r="E428" s="67" t="n">
        <v>3</v>
      </c>
      <c r="F428" s="67" t="n">
        <v>5</v>
      </c>
      <c r="G428" s="67" t="n">
        <v>1</v>
      </c>
      <c r="H428" s="67" t="n">
        <v>4</v>
      </c>
      <c r="I428" s="67" t="n">
        <v>16</v>
      </c>
      <c r="J428" s="67" t="n">
        <v>16</v>
      </c>
      <c r="K428" s="67" t="n">
        <v>2</v>
      </c>
      <c r="L428" s="67" t="n">
        <v>1</v>
      </c>
      <c r="M428" s="67" t="n">
        <v>10</v>
      </c>
      <c r="N428" s="67" t="n">
        <v>10</v>
      </c>
      <c r="O428" s="67" t="n">
        <v>0</v>
      </c>
      <c r="P428" s="67" t="n">
        <v>0</v>
      </c>
      <c r="Q428" s="66" t="inlineStr">
        <is>
          <t>Brownfield</t>
        </is>
      </c>
      <c r="Z428" s="66">
        <f>"X-LARGE|"&amp;A428</f>
        <v/>
      </c>
      <c r="AA428" s="66">
        <f>Q428&amp;"|"&amp;Z428</f>
        <v/>
      </c>
    </row>
    <row r="429" ht="15" customHeight="1" s="39">
      <c r="A429" s="67" t="inlineStr">
        <is>
          <t>MII/DM</t>
        </is>
      </c>
      <c r="B429" s="67" t="n">
        <v>0</v>
      </c>
      <c r="C429" s="67" t="n">
        <v>0</v>
      </c>
      <c r="D429" s="67" t="n">
        <v>0</v>
      </c>
      <c r="E429" s="67" t="n">
        <v>0</v>
      </c>
      <c r="F429" s="67" t="n">
        <v>0</v>
      </c>
      <c r="G429" s="67" t="n">
        <v>0</v>
      </c>
      <c r="H429" s="67" t="n">
        <v>0</v>
      </c>
      <c r="I429" s="67" t="n">
        <v>0</v>
      </c>
      <c r="J429" s="67" t="n">
        <v>0</v>
      </c>
      <c r="K429" s="67" t="n">
        <v>0</v>
      </c>
      <c r="L429" s="67" t="n">
        <v>0</v>
      </c>
      <c r="M429" s="67" t="n">
        <v>0</v>
      </c>
      <c r="N429" s="67" t="n">
        <v>0</v>
      </c>
      <c r="O429" s="67" t="n">
        <v>0</v>
      </c>
      <c r="P429" s="67" t="n">
        <v>0</v>
      </c>
      <c r="Q429" s="66" t="inlineStr">
        <is>
          <t>Brownfield</t>
        </is>
      </c>
      <c r="Z429" s="66">
        <f>"X-LARGE|"&amp;A429</f>
        <v/>
      </c>
      <c r="AA429" s="66">
        <f>Q429&amp;"|"&amp;Z429</f>
        <v/>
      </c>
    </row>
    <row r="430" ht="15" customHeight="1" s="39">
      <c r="A430" s="67" t="inlineStr">
        <is>
          <t>PM Mobility</t>
        </is>
      </c>
      <c r="B430" s="67" t="n">
        <v>0</v>
      </c>
      <c r="C430" s="67" t="n">
        <v>0</v>
      </c>
      <c r="D430" s="67" t="n">
        <v>0</v>
      </c>
      <c r="E430" s="67" t="n">
        <v>0</v>
      </c>
      <c r="F430" s="67" t="n">
        <v>0</v>
      </c>
      <c r="G430" s="67" t="n">
        <v>0</v>
      </c>
      <c r="H430" s="67" t="n">
        <v>0</v>
      </c>
      <c r="I430" s="67" t="n">
        <v>0</v>
      </c>
      <c r="J430" s="67" t="n">
        <v>0</v>
      </c>
      <c r="K430" s="67" t="n">
        <v>0</v>
      </c>
      <c r="L430" s="67" t="n">
        <v>0</v>
      </c>
      <c r="M430" s="67" t="n">
        <v>0</v>
      </c>
      <c r="N430" s="67" t="n">
        <v>0</v>
      </c>
      <c r="O430" s="67" t="n">
        <v>0</v>
      </c>
      <c r="P430" s="67" t="n">
        <v>0</v>
      </c>
      <c r="Q430" s="66" t="inlineStr">
        <is>
          <t>Brownfield</t>
        </is>
      </c>
      <c r="Z430" s="66">
        <f>"X-LARGE|"&amp;A430</f>
        <v/>
      </c>
      <c r="AA430" s="66">
        <f>Q430&amp;"|"&amp;Z430</f>
        <v/>
      </c>
    </row>
    <row r="431" ht="15" customHeight="1" s="39">
      <c r="A431" s="67" t="inlineStr">
        <is>
          <t>Basic EWM</t>
        </is>
      </c>
      <c r="B431" s="67" t="n">
        <v>245</v>
      </c>
      <c r="C431" s="67" t="n">
        <v>10</v>
      </c>
      <c r="D431" s="67" t="n">
        <v>5</v>
      </c>
      <c r="E431" s="67" t="n">
        <v>5</v>
      </c>
      <c r="F431" s="67" t="n">
        <v>5</v>
      </c>
      <c r="G431" s="67" t="n">
        <v>2</v>
      </c>
      <c r="H431" s="67" t="n">
        <v>4</v>
      </c>
      <c r="I431" s="67" t="n">
        <v>28</v>
      </c>
      <c r="J431" s="67" t="n">
        <v>28</v>
      </c>
      <c r="K431" s="67" t="n">
        <v>2</v>
      </c>
      <c r="L431" s="67" t="n">
        <v>2</v>
      </c>
      <c r="M431" s="67" t="n">
        <v>10</v>
      </c>
      <c r="N431" s="67" t="n">
        <v>10</v>
      </c>
      <c r="O431" s="67" t="n">
        <v>0</v>
      </c>
      <c r="P431" s="67" t="n">
        <v>0</v>
      </c>
      <c r="Q431" s="66" t="inlineStr">
        <is>
          <t>Brownfield</t>
        </is>
      </c>
      <c r="Z431" s="66">
        <f>"X-LARGE|"&amp;A431</f>
        <v/>
      </c>
      <c r="AA431" s="66">
        <f>Q431&amp;"|"&amp;Z431</f>
        <v/>
      </c>
    </row>
    <row r="432" ht="15" customHeight="1" s="39">
      <c r="A432" s="67" t="inlineStr">
        <is>
          <t>Advanced EWM</t>
        </is>
      </c>
      <c r="B432" s="67" t="n">
        <v>0</v>
      </c>
      <c r="C432" s="67" t="n">
        <v>0</v>
      </c>
      <c r="D432" s="67" t="n">
        <v>0</v>
      </c>
      <c r="E432" s="67" t="n">
        <v>0</v>
      </c>
      <c r="F432" s="67" t="n">
        <v>0</v>
      </c>
      <c r="G432" s="67" t="n">
        <v>0</v>
      </c>
      <c r="H432" s="67" t="n">
        <v>0</v>
      </c>
      <c r="I432" s="67" t="n">
        <v>0</v>
      </c>
      <c r="J432" s="67" t="n">
        <v>0</v>
      </c>
      <c r="K432" s="67" t="n">
        <v>0</v>
      </c>
      <c r="L432" s="67" t="n">
        <v>0</v>
      </c>
      <c r="M432" s="67" t="n">
        <v>0</v>
      </c>
      <c r="N432" s="67" t="n">
        <v>0</v>
      </c>
      <c r="O432" s="67" t="n">
        <v>0</v>
      </c>
      <c r="P432" s="67" t="n">
        <v>0</v>
      </c>
      <c r="Q432" s="66" t="inlineStr">
        <is>
          <t>Brownfield</t>
        </is>
      </c>
      <c r="Z432" s="66">
        <f>"X-LARGE|"&amp;A432</f>
        <v/>
      </c>
      <c r="AA432" s="66">
        <f>Q432&amp;"|"&amp;Z432</f>
        <v/>
      </c>
    </row>
    <row r="433" ht="15" customHeight="1" s="39">
      <c r="A433" s="67" t="inlineStr">
        <is>
          <t>TM</t>
        </is>
      </c>
      <c r="B433" s="67" t="n">
        <v>147</v>
      </c>
      <c r="C433" s="67" t="n">
        <v>5</v>
      </c>
      <c r="D433" s="67" t="n">
        <v>4</v>
      </c>
      <c r="E433" s="67" t="n">
        <v>3</v>
      </c>
      <c r="F433" s="67" t="n">
        <v>6</v>
      </c>
      <c r="G433" s="67" t="n">
        <v>2</v>
      </c>
      <c r="H433" s="67" t="n">
        <v>4</v>
      </c>
      <c r="I433" s="67" t="n">
        <v>15</v>
      </c>
      <c r="J433" s="67" t="n">
        <v>15</v>
      </c>
      <c r="K433" s="67" t="n">
        <v>2</v>
      </c>
      <c r="L433" s="67" t="n">
        <v>2</v>
      </c>
      <c r="M433" s="67" t="n">
        <v>6</v>
      </c>
      <c r="N433" s="67" t="n">
        <v>8</v>
      </c>
      <c r="O433" s="67" t="n">
        <v>0</v>
      </c>
      <c r="P433" s="67" t="n">
        <v>0</v>
      </c>
      <c r="Q433" s="66" t="inlineStr">
        <is>
          <t>Brownfield</t>
        </is>
      </c>
      <c r="Z433" s="66">
        <f>"X-LARGE|"&amp;A433</f>
        <v/>
      </c>
      <c r="AA433" s="66">
        <f>Q433&amp;"|"&amp;Z433</f>
        <v/>
      </c>
    </row>
    <row r="434" ht="15" customHeight="1" s="39">
      <c r="A434" s="67" t="inlineStr">
        <is>
          <t>PPDS</t>
        </is>
      </c>
      <c r="B434" s="67" t="n">
        <v>147</v>
      </c>
      <c r="C434" s="67" t="n">
        <v>4</v>
      </c>
      <c r="D434" s="67" t="n">
        <v>3</v>
      </c>
      <c r="E434" s="67" t="n">
        <v>5</v>
      </c>
      <c r="F434" s="67" t="n">
        <v>5</v>
      </c>
      <c r="G434" s="67" t="n">
        <v>1</v>
      </c>
      <c r="H434" s="67" t="n">
        <v>2</v>
      </c>
      <c r="I434" s="67" t="n">
        <v>15</v>
      </c>
      <c r="J434" s="67" t="n">
        <v>15</v>
      </c>
      <c r="K434" s="67" t="n">
        <v>1</v>
      </c>
      <c r="L434" s="67" t="n">
        <v>1</v>
      </c>
      <c r="M434" s="67" t="n">
        <v>3</v>
      </c>
      <c r="N434" s="67" t="n">
        <v>3</v>
      </c>
      <c r="O434" s="67" t="n">
        <v>0</v>
      </c>
      <c r="P434" s="67" t="n">
        <v>0</v>
      </c>
      <c r="Q434" s="66" t="inlineStr">
        <is>
          <t>Brownfield</t>
        </is>
      </c>
      <c r="Z434" s="66">
        <f>"X-LARGE|"&amp;A434</f>
        <v/>
      </c>
      <c r="AA434" s="66">
        <f>Q434&amp;"|"&amp;Z434</f>
        <v/>
      </c>
    </row>
    <row r="435" ht="15" customHeight="1" s="39">
      <c r="A435" s="67" t="inlineStr">
        <is>
          <t>ABAP</t>
        </is>
      </c>
      <c r="B435" s="67" t="n">
        <v>0</v>
      </c>
      <c r="C435" s="67" t="n">
        <v>0</v>
      </c>
      <c r="D435" s="67" t="n">
        <v>0</v>
      </c>
      <c r="E435" s="67" t="n">
        <v>0</v>
      </c>
      <c r="F435" s="67" t="n">
        <v>0</v>
      </c>
      <c r="G435" s="67" t="n">
        <v>0</v>
      </c>
      <c r="H435" s="67" t="n">
        <v>0</v>
      </c>
      <c r="I435" s="67" t="n">
        <v>0</v>
      </c>
      <c r="J435" s="67" t="n">
        <v>0</v>
      </c>
      <c r="K435" s="67" t="n">
        <v>0</v>
      </c>
      <c r="L435" s="67" t="n">
        <v>0</v>
      </c>
      <c r="M435" s="67" t="n">
        <v>0</v>
      </c>
      <c r="N435" s="67" t="n">
        <v>0</v>
      </c>
      <c r="O435" s="67" t="n">
        <v>0</v>
      </c>
      <c r="P435" s="67" t="n">
        <v>0</v>
      </c>
      <c r="Q435" s="66" t="inlineStr">
        <is>
          <t>Brownfield</t>
        </is>
      </c>
      <c r="Z435" s="66">
        <f>"X-LARGE|"&amp;A435</f>
        <v/>
      </c>
      <c r="AA435" s="66">
        <f>Q435&amp;"|"&amp;Z435</f>
        <v/>
      </c>
    </row>
    <row r="436" ht="15" customHeight="1" s="39">
      <c r="A436" s="67" t="inlineStr">
        <is>
          <t>BASIS</t>
        </is>
      </c>
      <c r="B436" s="67" t="n">
        <v>0</v>
      </c>
      <c r="C436" s="67" t="n">
        <v>0</v>
      </c>
      <c r="D436" s="67" t="n">
        <v>0</v>
      </c>
      <c r="E436" s="67" t="n">
        <v>0</v>
      </c>
      <c r="F436" s="67" t="n">
        <v>0</v>
      </c>
      <c r="G436" s="67" t="n">
        <v>0</v>
      </c>
      <c r="H436" s="67" t="n">
        <v>0</v>
      </c>
      <c r="I436" s="67" t="n">
        <v>0</v>
      </c>
      <c r="J436" s="67" t="n">
        <v>0</v>
      </c>
      <c r="K436" s="67" t="n">
        <v>0</v>
      </c>
      <c r="L436" s="67" t="n">
        <v>0</v>
      </c>
      <c r="M436" s="67" t="n">
        <v>0</v>
      </c>
      <c r="N436" s="67" t="n">
        <v>0</v>
      </c>
      <c r="O436" s="67" t="n">
        <v>0</v>
      </c>
      <c r="P436" s="67" t="n">
        <v>0</v>
      </c>
      <c r="Q436" s="66" t="inlineStr">
        <is>
          <t>Brownfield</t>
        </is>
      </c>
      <c r="Z436" s="66">
        <f>"X-LARGE|"&amp;A436</f>
        <v/>
      </c>
      <c r="AA436" s="66">
        <f>Q436&amp;"|"&amp;Z436</f>
        <v/>
      </c>
    </row>
    <row r="437" ht="15" customHeight="1" s="39">
      <c r="A437" s="67" t="inlineStr">
        <is>
          <t>E-Fatura/Arşiv</t>
        </is>
      </c>
      <c r="B437" s="67" t="n">
        <v>5</v>
      </c>
      <c r="C437" s="67" t="n">
        <v>2</v>
      </c>
      <c r="D437" s="67" t="n">
        <v>0</v>
      </c>
      <c r="E437" s="67" t="n">
        <v>2</v>
      </c>
      <c r="F437" s="67" t="n">
        <v>2</v>
      </c>
      <c r="G437" s="67" t="n">
        <v>1</v>
      </c>
      <c r="H437" s="67" t="n">
        <v>1</v>
      </c>
      <c r="I437" s="67" t="n">
        <v>3</v>
      </c>
      <c r="J437" s="67" t="n">
        <v>3</v>
      </c>
      <c r="K437" s="67" t="n">
        <v>0</v>
      </c>
      <c r="L437" s="67" t="n">
        <v>1</v>
      </c>
      <c r="M437" s="67" t="n">
        <v>1</v>
      </c>
      <c r="N437" s="67" t="n">
        <v>0</v>
      </c>
      <c r="O437" s="67" t="n">
        <v>0</v>
      </c>
      <c r="P437" s="67" t="n">
        <v>0</v>
      </c>
      <c r="Q437" s="66" t="inlineStr">
        <is>
          <t>Brownfield</t>
        </is>
      </c>
      <c r="Z437" s="66">
        <f>"X-LARGE|"&amp;A437</f>
        <v/>
      </c>
      <c r="AA437" s="66">
        <f>Q437&amp;"|"&amp;Z437</f>
        <v/>
      </c>
    </row>
    <row r="438" ht="15" customHeight="1" s="39">
      <c r="A438" s="67" t="inlineStr">
        <is>
          <t>E-İrsaliye</t>
        </is>
      </c>
      <c r="B438" s="67" t="n">
        <v>5</v>
      </c>
      <c r="C438" s="67" t="n">
        <v>2</v>
      </c>
      <c r="D438" s="67" t="n">
        <v>0</v>
      </c>
      <c r="E438" s="67" t="n">
        <v>2</v>
      </c>
      <c r="F438" s="67" t="n">
        <v>2</v>
      </c>
      <c r="G438" s="67" t="n">
        <v>1</v>
      </c>
      <c r="H438" s="67" t="n">
        <v>1</v>
      </c>
      <c r="I438" s="67" t="n">
        <v>3</v>
      </c>
      <c r="J438" s="67" t="n">
        <v>3</v>
      </c>
      <c r="K438" s="67" t="n">
        <v>0</v>
      </c>
      <c r="L438" s="67" t="n">
        <v>1</v>
      </c>
      <c r="M438" s="67" t="n">
        <v>1</v>
      </c>
      <c r="N438" s="67" t="n">
        <v>0</v>
      </c>
      <c r="O438" s="67" t="n">
        <v>0</v>
      </c>
      <c r="P438" s="67" t="n">
        <v>0</v>
      </c>
      <c r="Q438" s="66" t="inlineStr">
        <is>
          <t>Brownfield</t>
        </is>
      </c>
      <c r="Z438" s="66">
        <f>"X-LARGE|"&amp;A438</f>
        <v/>
      </c>
      <c r="AA438" s="66">
        <f>Q438&amp;"|"&amp;Z438</f>
        <v/>
      </c>
    </row>
    <row r="439" ht="15" customHeight="1" s="39">
      <c r="A439" s="67" t="inlineStr">
        <is>
          <t>E-Defter</t>
        </is>
      </c>
      <c r="B439" s="67" t="n">
        <v>3</v>
      </c>
      <c r="C439" s="67" t="n">
        <v>2</v>
      </c>
      <c r="D439" s="67" t="n">
        <v>0</v>
      </c>
      <c r="E439" s="67" t="n">
        <v>3</v>
      </c>
      <c r="F439" s="67" t="n">
        <v>3</v>
      </c>
      <c r="G439" s="67" t="n">
        <v>1</v>
      </c>
      <c r="H439" s="67" t="n">
        <v>1</v>
      </c>
      <c r="I439" s="67" t="n">
        <v>0</v>
      </c>
      <c r="J439" s="67" t="n">
        <v>0</v>
      </c>
      <c r="K439" s="67" t="n">
        <v>0</v>
      </c>
      <c r="L439" s="67" t="n">
        <v>3</v>
      </c>
      <c r="M439" s="67" t="n">
        <v>1</v>
      </c>
      <c r="N439" s="67" t="n">
        <v>0</v>
      </c>
      <c r="O439" s="67" t="n">
        <v>0</v>
      </c>
      <c r="P439" s="67" t="n">
        <v>0</v>
      </c>
      <c r="Q439" s="66" t="inlineStr">
        <is>
          <t>Brownfield</t>
        </is>
      </c>
      <c r="Z439" s="66">
        <f>"X-LARGE|"&amp;A439</f>
        <v/>
      </c>
      <c r="AA439" s="66">
        <f>Q439&amp;"|"&amp;Z439</f>
        <v/>
      </c>
    </row>
    <row r="440" ht="15" customHeight="1" s="39">
      <c r="A440" s="67" t="inlineStr">
        <is>
          <t>E-Hesap Özeti</t>
        </is>
      </c>
      <c r="B440" s="67" t="n">
        <v>5</v>
      </c>
      <c r="C440" s="67" t="n">
        <v>3</v>
      </c>
      <c r="D440" s="67" t="n">
        <v>0</v>
      </c>
      <c r="E440" s="67" t="n">
        <v>4</v>
      </c>
      <c r="F440" s="67" t="n">
        <v>3</v>
      </c>
      <c r="G440" s="67" t="n">
        <v>1</v>
      </c>
      <c r="H440" s="67" t="n">
        <v>0</v>
      </c>
      <c r="I440" s="67" t="n">
        <v>3</v>
      </c>
      <c r="J440" s="67" t="n">
        <v>3</v>
      </c>
      <c r="K440" s="67" t="n">
        <v>0</v>
      </c>
      <c r="L440" s="67" t="n">
        <v>2</v>
      </c>
      <c r="M440" s="67" t="n">
        <v>1</v>
      </c>
      <c r="N440" s="67" t="n">
        <v>0</v>
      </c>
      <c r="O440" s="67" t="n">
        <v>0</v>
      </c>
      <c r="P440" s="67" t="n">
        <v>0</v>
      </c>
      <c r="Q440" s="66" t="inlineStr">
        <is>
          <t>Brownfield</t>
        </is>
      </c>
      <c r="Z440" s="66">
        <f>"X-LARGE|"&amp;A440</f>
        <v/>
      </c>
      <c r="AA440" s="66">
        <f>Q440&amp;"|"&amp;Z440</f>
        <v/>
      </c>
    </row>
    <row r="441" ht="15" customHeight="1" s="39">
      <c r="A441" s="67" t="inlineStr">
        <is>
          <t>E-Ödeme</t>
        </is>
      </c>
      <c r="B441" s="67" t="n">
        <v>5</v>
      </c>
      <c r="C441" s="67" t="n">
        <v>3</v>
      </c>
      <c r="D441" s="67" t="n">
        <v>0</v>
      </c>
      <c r="E441" s="67" t="n">
        <v>4</v>
      </c>
      <c r="F441" s="67" t="n">
        <v>3</v>
      </c>
      <c r="G441" s="67" t="n">
        <v>1</v>
      </c>
      <c r="H441" s="67" t="n">
        <v>0</v>
      </c>
      <c r="I441" s="67" t="n">
        <v>3</v>
      </c>
      <c r="J441" s="67" t="n">
        <v>3</v>
      </c>
      <c r="K441" s="67" t="n">
        <v>0</v>
      </c>
      <c r="L441" s="67" t="n">
        <v>2</v>
      </c>
      <c r="M441" s="67" t="n">
        <v>1</v>
      </c>
      <c r="N441" s="67" t="n">
        <v>0</v>
      </c>
      <c r="O441" s="67" t="n">
        <v>0</v>
      </c>
      <c r="P441" s="67" t="n">
        <v>0</v>
      </c>
      <c r="Q441" s="66" t="inlineStr">
        <is>
          <t>Brownfield</t>
        </is>
      </c>
      <c r="Z441" s="66">
        <f>"X-LARGE|"&amp;A441</f>
        <v/>
      </c>
      <c r="AA441" s="66">
        <f>Q441&amp;"|"&amp;Z441</f>
        <v/>
      </c>
    </row>
    <row r="442" ht="15" customHeight="1" s="39">
      <c r="A442" s="67" t="inlineStr">
        <is>
          <t>E-Mutabakat</t>
        </is>
      </c>
      <c r="B442" s="67" t="n">
        <v>5</v>
      </c>
      <c r="C442" s="67" t="n">
        <v>3</v>
      </c>
      <c r="D442" s="67" t="n">
        <v>0</v>
      </c>
      <c r="E442" s="67" t="n">
        <v>3</v>
      </c>
      <c r="F442" s="67" t="n">
        <v>3</v>
      </c>
      <c r="G442" s="67" t="n">
        <v>1</v>
      </c>
      <c r="H442" s="67" t="n">
        <v>0</v>
      </c>
      <c r="I442" s="67" t="n">
        <v>3</v>
      </c>
      <c r="J442" s="67" t="n">
        <v>3</v>
      </c>
      <c r="K442" s="67" t="n">
        <v>0</v>
      </c>
      <c r="L442" s="67" t="n">
        <v>2</v>
      </c>
      <c r="M442" s="67" t="n">
        <v>1</v>
      </c>
      <c r="N442" s="67" t="n">
        <v>0</v>
      </c>
      <c r="O442" s="67" t="n">
        <v>0</v>
      </c>
      <c r="P442" s="67" t="n">
        <v>0</v>
      </c>
      <c r="Q442" s="66" t="inlineStr">
        <is>
          <t>Brownfield</t>
        </is>
      </c>
      <c r="Z442" s="66">
        <f>"X-LARGE|"&amp;A442</f>
        <v/>
      </c>
      <c r="AA442" s="66">
        <f>Q442&amp;"|"&amp;Z442</f>
        <v/>
      </c>
    </row>
    <row r="443" ht="15" customHeight="1" s="39">
      <c r="A443" s="67" t="inlineStr">
        <is>
          <t>E-Beyanname</t>
        </is>
      </c>
      <c r="B443" s="67" t="n">
        <v>6</v>
      </c>
      <c r="C443" s="67" t="n">
        <v>3</v>
      </c>
      <c r="D443" s="67" t="n">
        <v>0</v>
      </c>
      <c r="E443" s="67" t="n">
        <v>6</v>
      </c>
      <c r="F443" s="67" t="n">
        <v>3</v>
      </c>
      <c r="G443" s="67" t="n">
        <v>2</v>
      </c>
      <c r="H443" s="67" t="n">
        <v>0</v>
      </c>
      <c r="I443" s="67" t="n">
        <v>0</v>
      </c>
      <c r="J443" s="67" t="n">
        <v>0</v>
      </c>
      <c r="K443" s="67" t="n">
        <v>0</v>
      </c>
      <c r="L443" s="67" t="n">
        <v>4</v>
      </c>
      <c r="M443" s="67" t="n">
        <v>2</v>
      </c>
      <c r="N443" s="67" t="n">
        <v>0</v>
      </c>
      <c r="O443" s="67" t="n">
        <v>0</v>
      </c>
      <c r="P443" s="67" t="n">
        <v>0</v>
      </c>
      <c r="Q443" s="66" t="inlineStr">
        <is>
          <t>Brownfield</t>
        </is>
      </c>
      <c r="Z443" s="66">
        <f>"X-LARGE|"&amp;A443</f>
        <v/>
      </c>
      <c r="AA443" s="66">
        <f>Q443&amp;"|"&amp;Z443</f>
        <v/>
      </c>
    </row>
    <row r="444" ht="15" customHeight="1" s="39">
      <c r="A444" s="67" t="inlineStr">
        <is>
          <t>Gelen Fatura Otomasyon</t>
        </is>
      </c>
      <c r="B444" s="67" t="n">
        <v>5</v>
      </c>
      <c r="C444" s="67" t="n">
        <v>2</v>
      </c>
      <c r="D444" s="67" t="n">
        <v>0</v>
      </c>
      <c r="E444" s="67" t="n">
        <v>3</v>
      </c>
      <c r="F444" s="67" t="n">
        <v>4</v>
      </c>
      <c r="G444" s="67" t="n">
        <v>2</v>
      </c>
      <c r="H444" s="67" t="n">
        <v>0</v>
      </c>
      <c r="I444" s="67" t="n">
        <v>2</v>
      </c>
      <c r="J444" s="67" t="n">
        <v>2</v>
      </c>
      <c r="K444" s="67" t="n">
        <v>0</v>
      </c>
      <c r="L444" s="67" t="n">
        <v>4</v>
      </c>
      <c r="M444" s="67" t="n">
        <v>1</v>
      </c>
      <c r="N444" s="67" t="n">
        <v>0</v>
      </c>
      <c r="O444" s="67" t="n">
        <v>0</v>
      </c>
      <c r="P444" s="67" t="n">
        <v>0</v>
      </c>
      <c r="Q444" s="66" t="inlineStr">
        <is>
          <t>Brownfield</t>
        </is>
      </c>
      <c r="Z444" s="66">
        <f>"X-LARGE|"&amp;A444</f>
        <v/>
      </c>
      <c r="AA444" s="66">
        <f>Q444&amp;"|"&amp;Z444</f>
        <v/>
      </c>
    </row>
    <row r="445" ht="15" customHeight="1" s="39">
      <c r="A445" s="67" t="inlineStr">
        <is>
          <t>GLASSWING</t>
        </is>
      </c>
      <c r="B445" s="67" t="n">
        <v>60</v>
      </c>
      <c r="C445" s="67" t="n">
        <v>6</v>
      </c>
      <c r="D445" s="67" t="n">
        <v>2</v>
      </c>
      <c r="E445" s="67" t="n">
        <v>15</v>
      </c>
      <c r="F445" s="67" t="n">
        <v>10</v>
      </c>
      <c r="G445" s="67" t="n">
        <v>2</v>
      </c>
      <c r="H445" s="67" t="n">
        <v>0</v>
      </c>
      <c r="I445" s="67" t="n">
        <v>25</v>
      </c>
      <c r="J445" s="67" t="n">
        <v>25</v>
      </c>
      <c r="K445" s="67" t="n">
        <v>13</v>
      </c>
      <c r="L445" s="67" t="n">
        <v>2</v>
      </c>
      <c r="M445" s="67" t="n">
        <v>5</v>
      </c>
      <c r="N445" s="67" t="n">
        <v>10</v>
      </c>
      <c r="O445" s="67" t="n">
        <v>0</v>
      </c>
      <c r="P445" s="67" t="n">
        <v>0</v>
      </c>
      <c r="Q445" s="66" t="inlineStr">
        <is>
          <t>Brownfield</t>
        </is>
      </c>
      <c r="Z445" s="66">
        <f>"X-LARGE|"&amp;A445</f>
        <v/>
      </c>
      <c r="AA445" s="66">
        <f>Q445&amp;"|"&amp;Z445</f>
        <v/>
      </c>
    </row>
    <row r="446" ht="15" customHeight="1" s="39">
      <c r="A446" s="67" t="inlineStr">
        <is>
          <t>COMMODITY</t>
        </is>
      </c>
      <c r="B446" s="67" t="n">
        <v>100</v>
      </c>
      <c r="C446" s="67" t="n">
        <v>9</v>
      </c>
      <c r="D446" s="67" t="n">
        <v>3</v>
      </c>
      <c r="E446" s="67" t="n">
        <v>15</v>
      </c>
      <c r="F446" s="67" t="n">
        <v>15</v>
      </c>
      <c r="G446" s="67" t="n">
        <v>2</v>
      </c>
      <c r="H446" s="67" t="n">
        <v>1</v>
      </c>
      <c r="I446" s="67" t="n">
        <v>30</v>
      </c>
      <c r="J446" s="67" t="n">
        <v>30</v>
      </c>
      <c r="K446" s="67" t="n">
        <v>10</v>
      </c>
      <c r="L446" s="67" t="n">
        <v>2</v>
      </c>
      <c r="M446" s="67" t="n">
        <v>8</v>
      </c>
      <c r="N446" s="67" t="n">
        <v>15</v>
      </c>
      <c r="O446" s="67" t="n">
        <v>0</v>
      </c>
      <c r="P446" s="67" t="n">
        <v>0</v>
      </c>
      <c r="Q446" s="66" t="inlineStr">
        <is>
          <t>Brownfield</t>
        </is>
      </c>
      <c r="Z446" s="66">
        <f>"X-LARGE|"&amp;A446</f>
        <v/>
      </c>
      <c r="AA446" s="66">
        <f>Q446&amp;"|"&amp;Z446</f>
        <v/>
      </c>
    </row>
    <row r="447" ht="15" customHeight="1" s="39">
      <c r="A447" s="67" t="inlineStr">
        <is>
          <t>Dış Ticaret Çözümü</t>
        </is>
      </c>
      <c r="B447" s="67" t="n">
        <v>0</v>
      </c>
      <c r="C447" s="67" t="n">
        <v>0</v>
      </c>
      <c r="D447" s="67" t="n">
        <v>0</v>
      </c>
      <c r="E447" s="67" t="n">
        <v>0</v>
      </c>
      <c r="F447" s="67" t="n">
        <v>0</v>
      </c>
      <c r="G447" s="67" t="n">
        <v>0</v>
      </c>
      <c r="H447" s="67" t="n">
        <v>0</v>
      </c>
      <c r="I447" s="67" t="n">
        <v>0</v>
      </c>
      <c r="J447" s="67" t="n">
        <v>0</v>
      </c>
      <c r="K447" s="67" t="n">
        <v>0</v>
      </c>
      <c r="L447" s="67" t="n">
        <v>0</v>
      </c>
      <c r="M447" s="67" t="n">
        <v>0</v>
      </c>
      <c r="N447" s="67" t="n">
        <v>0</v>
      </c>
      <c r="O447" s="67" t="n">
        <v>0</v>
      </c>
      <c r="P447" s="67" t="n">
        <v>0</v>
      </c>
      <c r="Q447" s="66" t="inlineStr">
        <is>
          <t>Brownfield</t>
        </is>
      </c>
      <c r="Z447" s="66">
        <f>"X-LARGE|"&amp;A447</f>
        <v/>
      </c>
      <c r="AA447" s="66">
        <f>Q447&amp;"|"&amp;Z447</f>
        <v/>
      </c>
    </row>
    <row r="448" ht="15" customHeight="1" s="39">
      <c r="A448" s="67" t="inlineStr">
        <is>
          <t>Seyahat ve Masraf Yönetimi</t>
        </is>
      </c>
      <c r="B448" s="67" t="n">
        <v>0</v>
      </c>
      <c r="C448" s="67" t="n">
        <v>0</v>
      </c>
      <c r="D448" s="67" t="n">
        <v>0</v>
      </c>
      <c r="E448" s="67" t="n">
        <v>0</v>
      </c>
      <c r="F448" s="67" t="n">
        <v>0</v>
      </c>
      <c r="G448" s="67" t="n">
        <v>0</v>
      </c>
      <c r="H448" s="67" t="n">
        <v>0</v>
      </c>
      <c r="I448" s="67" t="n">
        <v>0</v>
      </c>
      <c r="J448" s="67" t="n">
        <v>0</v>
      </c>
      <c r="K448" s="67" t="n">
        <v>0</v>
      </c>
      <c r="L448" s="67" t="n">
        <v>0</v>
      </c>
      <c r="M448" s="67" t="n">
        <v>0</v>
      </c>
      <c r="N448" s="67" t="n">
        <v>0</v>
      </c>
      <c r="O448" s="67" t="n">
        <v>0</v>
      </c>
      <c r="P448" s="67" t="n">
        <v>0</v>
      </c>
      <c r="Q448" s="66" t="inlineStr">
        <is>
          <t>Brownfield</t>
        </is>
      </c>
      <c r="Z448" s="66">
        <f>"X-LARGE|"&amp;A448</f>
        <v/>
      </c>
      <c r="AA448" s="66">
        <f>Q448&amp;"|"&amp;Z448</f>
        <v/>
      </c>
    </row>
    <row r="449" ht="15" customHeight="1" s="39">
      <c r="A449" s="67" t="inlineStr">
        <is>
          <t>NTT Data POS</t>
        </is>
      </c>
      <c r="B449" s="67" t="n">
        <v>0</v>
      </c>
      <c r="C449" s="67" t="n">
        <v>0</v>
      </c>
      <c r="D449" s="67" t="n">
        <v>0</v>
      </c>
      <c r="E449" s="67" t="n">
        <v>0</v>
      </c>
      <c r="F449" s="67" t="n">
        <v>0</v>
      </c>
      <c r="G449" s="67" t="n">
        <v>0</v>
      </c>
      <c r="H449" s="67" t="n">
        <v>0</v>
      </c>
      <c r="I449" s="67" t="n">
        <v>0</v>
      </c>
      <c r="J449" s="67" t="n">
        <v>0</v>
      </c>
      <c r="K449" s="67" t="n">
        <v>0</v>
      </c>
      <c r="L449" s="67" t="n">
        <v>0</v>
      </c>
      <c r="M449" s="67" t="n">
        <v>0</v>
      </c>
      <c r="N449" s="67" t="n">
        <v>0</v>
      </c>
      <c r="O449" s="67" t="n">
        <v>0</v>
      </c>
      <c r="P449" s="67" t="n">
        <v>0</v>
      </c>
      <c r="Q449" s="66" t="inlineStr">
        <is>
          <t>Brownfield</t>
        </is>
      </c>
      <c r="Z449" s="66">
        <f>"X-LARGE|"&amp;A449</f>
        <v/>
      </c>
      <c r="AA449" s="66">
        <f>Q449&amp;"|"&amp;Z449</f>
        <v/>
      </c>
    </row>
    <row r="452" ht="15" customHeight="1" s="39">
      <c r="A452" s="68" t="inlineStr">
        <is>
          <t>Implementation Type: Rollout</t>
        </is>
      </c>
      <c r="Q452" s="68" t="inlineStr">
        <is>
          <t>Rollout</t>
        </is>
      </c>
    </row>
    <row r="453" ht="15" customHeight="1" s="39">
      <c r="A453" s="68" t="inlineStr">
        <is>
          <t>SMALL</t>
        </is>
      </c>
      <c r="Q453" s="68" t="inlineStr">
        <is>
          <t>Rollout</t>
        </is>
      </c>
    </row>
    <row r="454" ht="15" customHeight="1" s="39">
      <c r="A454" s="67">
        <f>INDEX(Translations!$D:$ZZ, MATCH(74,Translations!$A:$A,0), MATCH('Project Information'!$C$4,Translations!$D$1:$ZZ$1,0))</f>
        <v/>
      </c>
      <c r="B454" s="67">
        <f>INDEX(Translations!$D:$ZZ, MATCH(75,Translations!$A:$A,0), MATCH('Project Information'!$C$4,Translations!$D$1:$ZZ$1,0))</f>
        <v/>
      </c>
      <c r="C454" s="67">
        <f>INDEX(Translations!$D:$ZZ, MATCH(76,Translations!$A:$A,0), MATCH('Project Information'!$C$4,Translations!$D$1:$ZZ$1,0))</f>
        <v/>
      </c>
      <c r="D454" s="67">
        <f>INDEX(Translations!$D:$ZZ, MATCH(77,Translations!$A:$A,0), MATCH('Project Information'!$C$4,Translations!$D$1:$ZZ$1,0))</f>
        <v/>
      </c>
      <c r="E454" s="67">
        <f>INDEX(Translations!$D:$ZZ, MATCH(78,Translations!$A:$A,0), MATCH('Project Information'!$C$4,Translations!$D$1:$ZZ$1,0))</f>
        <v/>
      </c>
      <c r="F454" s="67">
        <f>INDEX(Translations!$D:$ZZ, MATCH(79,Translations!$A:$A,0), MATCH('Project Information'!$C$4,Translations!$D$1:$ZZ$1,0))</f>
        <v/>
      </c>
      <c r="G454" s="67">
        <f>INDEX(Translations!$D:$ZZ, MATCH(80,Translations!$A:$A,0), MATCH('Project Information'!$C$4,Translations!$D$1:$ZZ$1,0))</f>
        <v/>
      </c>
      <c r="H454" s="67">
        <f>INDEX(Translations!$D:$ZZ, MATCH(81,Translations!$A:$A,0), MATCH('Project Information'!$C$4,Translations!$D$1:$ZZ$1,0))</f>
        <v/>
      </c>
      <c r="I454" s="67">
        <f>INDEX(Translations!$D:$ZZ, MATCH(82,Translations!$A:$A,0), MATCH('Project Information'!$C$4,Translations!$D$1:$ZZ$1,0))</f>
        <v/>
      </c>
      <c r="J454" s="67">
        <f>INDEX(Translations!$D:$ZZ, MATCH(83,Translations!$A:$A,0), MATCH('Project Information'!$C$4,Translations!$D$1:$ZZ$1,0))</f>
        <v/>
      </c>
      <c r="K454" s="67">
        <f>INDEX(Translations!$D:$ZZ, MATCH(84,Translations!$A:$A,0), MATCH('Project Information'!$C$4,Translations!$D$1:$ZZ$1,0))</f>
        <v/>
      </c>
      <c r="L454" s="67">
        <f>INDEX(Translations!$D:$ZZ, MATCH(85,Translations!$A:$A,0), MATCH('Project Information'!$C$4,Translations!$D$1:$ZZ$1,0))</f>
        <v/>
      </c>
      <c r="M454" s="67">
        <f>INDEX(Translations!$D:$ZZ, MATCH(86,Translations!$A:$A,0), MATCH('Project Information'!$C$4,Translations!$D$1:$ZZ$1,0))</f>
        <v/>
      </c>
      <c r="N454" s="67">
        <f>INDEX(Translations!$D:$ZZ, MATCH(87,Translations!$A:$A,0), MATCH('Project Information'!$C$4,Translations!$D$1:$ZZ$1,0))</f>
        <v/>
      </c>
      <c r="O454" s="67">
        <f>INDEX(Translations!$D:$ZZ, MATCH(88,Translations!$A:$A,0), MATCH('Project Information'!$C$4,Translations!$D$1:$ZZ$1,0))</f>
        <v/>
      </c>
      <c r="P454" s="67">
        <f>INDEX(Translations!$D:$ZZ, MATCH(89,Translations!$A:$A,0), MATCH('Project Information'!$C$4,Translations!$D$1:$ZZ$1,0))</f>
        <v/>
      </c>
      <c r="Q454" s="67" t="inlineStr">
        <is>
          <t>Implementation Type</t>
        </is>
      </c>
      <c r="Z454" s="67">
        <f>INDEX(Translations!$D:$ZZ, MATCH(93,Translations!$A:$A,0), MATCH('Project Information'!$C$4,Translations!$D$1:$ZZ$1,0))</f>
        <v/>
      </c>
      <c r="AA454" s="67" t="inlineStr">
        <is>
          <t>Implementation Key</t>
        </is>
      </c>
    </row>
    <row r="455" ht="15" customHeight="1" s="39">
      <c r="A455" s="67" t="inlineStr">
        <is>
          <t>FI</t>
        </is>
      </c>
      <c r="B455" s="67" t="n">
        <v>20</v>
      </c>
      <c r="C455" s="67" t="n">
        <v>3</v>
      </c>
      <c r="D455" s="67" t="n">
        <v>2</v>
      </c>
      <c r="E455" s="67" t="n">
        <v>3</v>
      </c>
      <c r="F455" s="67" t="n">
        <v>2</v>
      </c>
      <c r="G455" s="67" t="n">
        <v>1</v>
      </c>
      <c r="H455" s="67" t="n">
        <v>1</v>
      </c>
      <c r="I455" s="67" t="n">
        <v>5</v>
      </c>
      <c r="J455" s="67" t="n">
        <v>5</v>
      </c>
      <c r="K455" s="67" t="n">
        <v>1</v>
      </c>
      <c r="L455" s="67" t="n">
        <v>1</v>
      </c>
      <c r="M455" s="67" t="n">
        <v>4</v>
      </c>
      <c r="N455" s="67" t="n">
        <v>4</v>
      </c>
      <c r="O455" s="67" t="n">
        <v>0</v>
      </c>
      <c r="P455" s="67" t="n">
        <v>0</v>
      </c>
      <c r="Q455" s="66" t="inlineStr">
        <is>
          <t>Rollout</t>
        </is>
      </c>
      <c r="Z455" s="66">
        <f>"SMALL|"&amp;A455</f>
        <v/>
      </c>
      <c r="AA455" s="66">
        <f>Q455&amp;"|"&amp;Z455</f>
        <v/>
      </c>
    </row>
    <row r="456" ht="15" customHeight="1" s="39">
      <c r="A456" s="67" t="inlineStr">
        <is>
          <t>CO</t>
        </is>
      </c>
      <c r="B456" s="67" t="n">
        <v>20</v>
      </c>
      <c r="C456" s="67" t="n">
        <v>3</v>
      </c>
      <c r="D456" s="67" t="n">
        <v>2</v>
      </c>
      <c r="E456" s="67" t="n">
        <v>3</v>
      </c>
      <c r="F456" s="67" t="n">
        <v>2</v>
      </c>
      <c r="G456" s="67" t="n">
        <v>1</v>
      </c>
      <c r="H456" s="67" t="n">
        <v>1</v>
      </c>
      <c r="I456" s="67" t="n">
        <v>5</v>
      </c>
      <c r="J456" s="67" t="n">
        <v>5</v>
      </c>
      <c r="K456" s="67" t="n">
        <v>1</v>
      </c>
      <c r="L456" s="67" t="n">
        <v>1</v>
      </c>
      <c r="M456" s="67" t="n">
        <v>4</v>
      </c>
      <c r="N456" s="67" t="n">
        <v>4</v>
      </c>
      <c r="O456" s="67" t="n">
        <v>0</v>
      </c>
      <c r="P456" s="67" t="n">
        <v>0</v>
      </c>
      <c r="Q456" s="66" t="inlineStr">
        <is>
          <t>Rollout</t>
        </is>
      </c>
      <c r="Z456" s="66">
        <f>"SMALL|"&amp;A456</f>
        <v/>
      </c>
      <c r="AA456" s="66">
        <f>Q456&amp;"|"&amp;Z456</f>
        <v/>
      </c>
    </row>
    <row r="457" ht="15" customHeight="1" s="39">
      <c r="A457" s="67" t="inlineStr">
        <is>
          <t>TRM</t>
        </is>
      </c>
      <c r="B457" s="67" t="n">
        <v>10</v>
      </c>
      <c r="C457" s="67" t="n">
        <v>2</v>
      </c>
      <c r="D457" s="67" t="n">
        <v>1</v>
      </c>
      <c r="E457" s="67" t="n">
        <v>2</v>
      </c>
      <c r="F457" s="67" t="n">
        <v>1</v>
      </c>
      <c r="G457" s="67" t="n">
        <v>0.5</v>
      </c>
      <c r="H457" s="67" t="n">
        <v>0.5</v>
      </c>
      <c r="I457" s="67" t="n">
        <v>3</v>
      </c>
      <c r="J457" s="67" t="n">
        <v>3</v>
      </c>
      <c r="K457" s="67" t="n">
        <v>0.5</v>
      </c>
      <c r="L457" s="67" t="n">
        <v>0.5</v>
      </c>
      <c r="M457" s="67" t="n">
        <v>3</v>
      </c>
      <c r="N457" s="67" t="n">
        <v>3</v>
      </c>
      <c r="O457" s="67" t="n">
        <v>0</v>
      </c>
      <c r="P457" s="67" t="n">
        <v>0</v>
      </c>
      <c r="Q457" s="66" t="inlineStr">
        <is>
          <t>Rollout</t>
        </is>
      </c>
      <c r="Z457" s="66">
        <f>"SMALL|"&amp;A457</f>
        <v/>
      </c>
      <c r="AA457" s="66">
        <f>Q457&amp;"|"&amp;Z457</f>
        <v/>
      </c>
    </row>
    <row r="458" ht="15" customHeight="1" s="39">
      <c r="A458" s="67" t="inlineStr">
        <is>
          <t>CM</t>
        </is>
      </c>
      <c r="B458" s="67" t="n">
        <v>5</v>
      </c>
      <c r="C458" s="67" t="n">
        <v>1</v>
      </c>
      <c r="D458" s="67" t="n">
        <v>1</v>
      </c>
      <c r="E458" s="67" t="n">
        <v>1</v>
      </c>
      <c r="F458" s="67" t="n">
        <v>1</v>
      </c>
      <c r="G458" s="67" t="n">
        <v>0.5</v>
      </c>
      <c r="H458" s="67" t="n">
        <v>0.5</v>
      </c>
      <c r="I458" s="67" t="n">
        <v>1</v>
      </c>
      <c r="J458" s="67" t="n">
        <v>1</v>
      </c>
      <c r="K458" s="67" t="n">
        <v>0.5</v>
      </c>
      <c r="L458" s="67" t="n">
        <v>0.5</v>
      </c>
      <c r="M458" s="67" t="n">
        <v>2</v>
      </c>
      <c r="N458" s="67" t="n">
        <v>2</v>
      </c>
      <c r="O458" s="67" t="n">
        <v>0</v>
      </c>
      <c r="P458" s="67" t="n">
        <v>0</v>
      </c>
      <c r="Q458" s="66" t="inlineStr">
        <is>
          <t>Rollout</t>
        </is>
      </c>
      <c r="Z458" s="66">
        <f>"SMALL|"&amp;A458</f>
        <v/>
      </c>
      <c r="AA458" s="66">
        <f>Q458&amp;"|"&amp;Z458</f>
        <v/>
      </c>
    </row>
    <row r="459" ht="15" customHeight="1" s="39">
      <c r="A459" s="67" t="inlineStr">
        <is>
          <t>FM</t>
        </is>
      </c>
      <c r="B459" s="67" t="n">
        <v>5</v>
      </c>
      <c r="C459" s="67" t="n">
        <v>1</v>
      </c>
      <c r="D459" s="67" t="n">
        <v>1</v>
      </c>
      <c r="E459" s="67" t="n">
        <v>1</v>
      </c>
      <c r="F459" s="67" t="n">
        <v>1</v>
      </c>
      <c r="G459" s="67" t="n">
        <v>0.5</v>
      </c>
      <c r="H459" s="67" t="n">
        <v>0.5</v>
      </c>
      <c r="I459" s="67" t="n">
        <v>1</v>
      </c>
      <c r="J459" s="67" t="n">
        <v>1</v>
      </c>
      <c r="K459" s="67" t="n">
        <v>0.5</v>
      </c>
      <c r="L459" s="67" t="n">
        <v>0.5</v>
      </c>
      <c r="M459" s="67" t="n">
        <v>2</v>
      </c>
      <c r="N459" s="67" t="n">
        <v>2</v>
      </c>
      <c r="O459" s="67" t="n">
        <v>0</v>
      </c>
      <c r="P459" s="67" t="n">
        <v>0</v>
      </c>
      <c r="Q459" s="66" t="inlineStr">
        <is>
          <t>Rollout</t>
        </is>
      </c>
      <c r="Z459" s="66">
        <f>"SMALL|"&amp;A459</f>
        <v/>
      </c>
      <c r="AA459" s="66">
        <f>Q459&amp;"|"&amp;Z459</f>
        <v/>
      </c>
    </row>
    <row r="460" ht="15" customHeight="1" s="39">
      <c r="A460" s="67" t="inlineStr">
        <is>
          <t>RM</t>
        </is>
      </c>
      <c r="B460" s="67" t="n">
        <v>0</v>
      </c>
      <c r="C460" s="67" t="n">
        <v>0</v>
      </c>
      <c r="D460" s="67" t="n">
        <v>0</v>
      </c>
      <c r="E460" s="67" t="n">
        <v>0</v>
      </c>
      <c r="F460" s="67" t="n">
        <v>0</v>
      </c>
      <c r="G460" s="67" t="n">
        <v>0</v>
      </c>
      <c r="H460" s="67" t="n">
        <v>0</v>
      </c>
      <c r="I460" s="67" t="n">
        <v>0</v>
      </c>
      <c r="J460" s="67" t="n">
        <v>0</v>
      </c>
      <c r="K460" s="67" t="n">
        <v>0</v>
      </c>
      <c r="L460" s="67" t="n">
        <v>0</v>
      </c>
      <c r="M460" s="67" t="n">
        <v>0</v>
      </c>
      <c r="N460" s="67" t="n">
        <v>0</v>
      </c>
      <c r="O460" s="67" t="n">
        <v>0</v>
      </c>
      <c r="P460" s="67" t="n">
        <v>0</v>
      </c>
      <c r="Q460" s="66" t="inlineStr">
        <is>
          <t>Rollout</t>
        </is>
      </c>
      <c r="Z460" s="66">
        <f>"SMALL|"&amp;A460</f>
        <v/>
      </c>
      <c r="AA460" s="66">
        <f>Q460&amp;"|"&amp;Z460</f>
        <v/>
      </c>
    </row>
    <row r="461" ht="15" customHeight="1" s="39">
      <c r="A461" s="67" t="inlineStr">
        <is>
          <t>RE/FX</t>
        </is>
      </c>
      <c r="B461" s="67" t="n">
        <v>0</v>
      </c>
      <c r="C461" s="67" t="n">
        <v>0</v>
      </c>
      <c r="D461" s="67" t="n">
        <v>0</v>
      </c>
      <c r="E461" s="67" t="n">
        <v>0</v>
      </c>
      <c r="F461" s="67" t="n">
        <v>0</v>
      </c>
      <c r="G461" s="67" t="n">
        <v>0</v>
      </c>
      <c r="H461" s="67" t="n">
        <v>0</v>
      </c>
      <c r="I461" s="67" t="n">
        <v>0</v>
      </c>
      <c r="J461" s="67" t="n">
        <v>0</v>
      </c>
      <c r="K461" s="67" t="n">
        <v>0</v>
      </c>
      <c r="L461" s="67" t="n">
        <v>0</v>
      </c>
      <c r="M461" s="67" t="n">
        <v>0</v>
      </c>
      <c r="N461" s="67" t="n">
        <v>0</v>
      </c>
      <c r="O461" s="67" t="n">
        <v>0</v>
      </c>
      <c r="P461" s="67" t="n">
        <v>0</v>
      </c>
      <c r="Q461" s="66" t="inlineStr">
        <is>
          <t>Rollout</t>
        </is>
      </c>
      <c r="Z461" s="66">
        <f>"SMALL|"&amp;A461</f>
        <v/>
      </c>
      <c r="AA461" s="66">
        <f>Q461&amp;"|"&amp;Z461</f>
        <v/>
      </c>
    </row>
    <row r="462" ht="15" customHeight="1" s="39">
      <c r="A462" s="67" t="inlineStr">
        <is>
          <t>MM</t>
        </is>
      </c>
      <c r="B462" s="67" t="n">
        <v>24</v>
      </c>
      <c r="C462" s="67" t="n">
        <v>3</v>
      </c>
      <c r="D462" s="67" t="n">
        <v>2</v>
      </c>
      <c r="E462" s="67" t="n">
        <v>3</v>
      </c>
      <c r="F462" s="67" t="n">
        <v>2</v>
      </c>
      <c r="G462" s="67" t="n">
        <v>1</v>
      </c>
      <c r="H462" s="67" t="n">
        <v>1</v>
      </c>
      <c r="I462" s="67" t="n">
        <v>5</v>
      </c>
      <c r="J462" s="67" t="n">
        <v>5</v>
      </c>
      <c r="K462" s="67" t="n">
        <v>1</v>
      </c>
      <c r="L462" s="67" t="n">
        <v>1</v>
      </c>
      <c r="M462" s="67" t="n">
        <v>4</v>
      </c>
      <c r="N462" s="67" t="n">
        <v>4</v>
      </c>
      <c r="O462" s="67" t="n">
        <v>0</v>
      </c>
      <c r="P462" s="67" t="n">
        <v>0</v>
      </c>
      <c r="Q462" s="66" t="inlineStr">
        <is>
          <t>Rollout</t>
        </is>
      </c>
      <c r="Z462" s="66">
        <f>"SMALL|"&amp;A462</f>
        <v/>
      </c>
      <c r="AA462" s="66">
        <f>Q462&amp;"|"&amp;Z462</f>
        <v/>
      </c>
    </row>
    <row r="463" ht="15" customHeight="1" s="39">
      <c r="A463" s="67" t="inlineStr">
        <is>
          <t>PP</t>
        </is>
      </c>
      <c r="B463" s="67" t="n">
        <v>24</v>
      </c>
      <c r="C463" s="67" t="n">
        <v>3</v>
      </c>
      <c r="D463" s="67" t="n">
        <v>2</v>
      </c>
      <c r="E463" s="67" t="n">
        <v>3</v>
      </c>
      <c r="F463" s="67" t="n">
        <v>2</v>
      </c>
      <c r="G463" s="67" t="n">
        <v>1</v>
      </c>
      <c r="H463" s="67" t="n">
        <v>1</v>
      </c>
      <c r="I463" s="67" t="n">
        <v>5</v>
      </c>
      <c r="J463" s="67" t="n">
        <v>5</v>
      </c>
      <c r="K463" s="67" t="n">
        <v>1</v>
      </c>
      <c r="L463" s="67" t="n">
        <v>1</v>
      </c>
      <c r="M463" s="67" t="n">
        <v>4</v>
      </c>
      <c r="N463" s="67" t="n">
        <v>4</v>
      </c>
      <c r="O463" s="67" t="n">
        <v>0</v>
      </c>
      <c r="P463" s="67" t="n">
        <v>0</v>
      </c>
      <c r="Q463" s="66" t="inlineStr">
        <is>
          <t>Rollout</t>
        </is>
      </c>
      <c r="Z463" s="66">
        <f>"SMALL|"&amp;A463</f>
        <v/>
      </c>
      <c r="AA463" s="66">
        <f>Q463&amp;"|"&amp;Z463</f>
        <v/>
      </c>
    </row>
    <row r="464" ht="15" customHeight="1" s="39">
      <c r="A464" s="67" t="inlineStr">
        <is>
          <t>SD</t>
        </is>
      </c>
      <c r="B464" s="67" t="n">
        <v>24</v>
      </c>
      <c r="C464" s="67" t="n">
        <v>3</v>
      </c>
      <c r="D464" s="67" t="n">
        <v>2</v>
      </c>
      <c r="E464" s="67" t="n">
        <v>3</v>
      </c>
      <c r="F464" s="67" t="n">
        <v>2</v>
      </c>
      <c r="G464" s="67" t="n">
        <v>1</v>
      </c>
      <c r="H464" s="67" t="n">
        <v>1</v>
      </c>
      <c r="I464" s="67" t="n">
        <v>5</v>
      </c>
      <c r="J464" s="67" t="n">
        <v>5</v>
      </c>
      <c r="K464" s="67" t="n">
        <v>1</v>
      </c>
      <c r="L464" s="67" t="n">
        <v>1</v>
      </c>
      <c r="M464" s="67" t="n">
        <v>4</v>
      </c>
      <c r="N464" s="67" t="n">
        <v>4</v>
      </c>
      <c r="O464" s="67" t="n">
        <v>0</v>
      </c>
      <c r="P464" s="67" t="n">
        <v>0</v>
      </c>
      <c r="Q464" s="66" t="inlineStr">
        <is>
          <t>Rollout</t>
        </is>
      </c>
      <c r="Z464" s="66">
        <f>"SMALL|"&amp;A464</f>
        <v/>
      </c>
      <c r="AA464" s="66">
        <f>Q464&amp;"|"&amp;Z464</f>
        <v/>
      </c>
    </row>
    <row r="465" ht="15" customHeight="1" s="39">
      <c r="A465" s="67" t="inlineStr">
        <is>
          <t>QM</t>
        </is>
      </c>
      <c r="B465" s="67" t="n">
        <v>15</v>
      </c>
      <c r="C465" s="67" t="n">
        <v>2</v>
      </c>
      <c r="D465" s="67" t="n">
        <v>1</v>
      </c>
      <c r="E465" s="67" t="n">
        <v>2</v>
      </c>
      <c r="F465" s="67" t="n">
        <v>2</v>
      </c>
      <c r="G465" s="67" t="n">
        <v>0.5</v>
      </c>
      <c r="H465" s="67" t="n">
        <v>1</v>
      </c>
      <c r="I465" s="67" t="n">
        <v>3</v>
      </c>
      <c r="J465" s="67" t="n">
        <v>3</v>
      </c>
      <c r="K465" s="67" t="n">
        <v>1</v>
      </c>
      <c r="L465" s="67" t="n">
        <v>0.5</v>
      </c>
      <c r="M465" s="67" t="n">
        <v>4</v>
      </c>
      <c r="N465" s="67" t="n">
        <v>4</v>
      </c>
      <c r="O465" s="67" t="n">
        <v>0</v>
      </c>
      <c r="P465" s="67" t="n">
        <v>0</v>
      </c>
      <c r="Q465" s="66" t="inlineStr">
        <is>
          <t>Rollout</t>
        </is>
      </c>
      <c r="Z465" s="66">
        <f>"SMALL|"&amp;A465</f>
        <v/>
      </c>
      <c r="AA465" s="66">
        <f>Q465&amp;"|"&amp;Z465</f>
        <v/>
      </c>
    </row>
    <row r="466" ht="15" customHeight="1" s="39">
      <c r="A466" s="67" t="inlineStr">
        <is>
          <t>PM</t>
        </is>
      </c>
      <c r="B466" s="67" t="n">
        <v>12</v>
      </c>
      <c r="C466" s="67" t="n">
        <v>2</v>
      </c>
      <c r="D466" s="67" t="n">
        <v>1</v>
      </c>
      <c r="E466" s="67" t="n">
        <v>2</v>
      </c>
      <c r="F466" s="67" t="n">
        <v>2</v>
      </c>
      <c r="G466" s="67" t="n">
        <v>0.5</v>
      </c>
      <c r="H466" s="67" t="n">
        <v>1</v>
      </c>
      <c r="I466" s="67" t="n">
        <v>3</v>
      </c>
      <c r="J466" s="67" t="n">
        <v>3</v>
      </c>
      <c r="K466" s="67" t="n">
        <v>1</v>
      </c>
      <c r="L466" s="67" t="n">
        <v>0.5</v>
      </c>
      <c r="M466" s="67" t="n">
        <v>4</v>
      </c>
      <c r="N466" s="67" t="n">
        <v>4</v>
      </c>
      <c r="O466" s="67" t="n">
        <v>0</v>
      </c>
      <c r="P466" s="67" t="n">
        <v>0</v>
      </c>
      <c r="Q466" s="66" t="inlineStr">
        <is>
          <t>Rollout</t>
        </is>
      </c>
      <c r="Z466" s="66">
        <f>"SMALL|"&amp;A466</f>
        <v/>
      </c>
      <c r="AA466" s="66">
        <f>Q466&amp;"|"&amp;Z466</f>
        <v/>
      </c>
    </row>
    <row r="467" ht="15" customHeight="1" s="39">
      <c r="A467" s="67" t="inlineStr">
        <is>
          <t>PS</t>
        </is>
      </c>
      <c r="B467" s="67" t="n">
        <v>12</v>
      </c>
      <c r="C467" s="67" t="n">
        <v>2</v>
      </c>
      <c r="D467" s="67" t="n">
        <v>1</v>
      </c>
      <c r="E467" s="67" t="n">
        <v>2</v>
      </c>
      <c r="F467" s="67" t="n">
        <v>2</v>
      </c>
      <c r="G467" s="67" t="n">
        <v>0.5</v>
      </c>
      <c r="H467" s="67" t="n">
        <v>1</v>
      </c>
      <c r="I467" s="67" t="n">
        <v>3</v>
      </c>
      <c r="J467" s="67" t="n">
        <v>3</v>
      </c>
      <c r="K467" s="67" t="n">
        <v>1</v>
      </c>
      <c r="L467" s="67" t="n">
        <v>0.5</v>
      </c>
      <c r="M467" s="67" t="n">
        <v>4</v>
      </c>
      <c r="N467" s="67" t="n">
        <v>4</v>
      </c>
      <c r="O467" s="67" t="n">
        <v>0</v>
      </c>
      <c r="P467" s="67" t="n">
        <v>0</v>
      </c>
      <c r="Q467" s="66" t="inlineStr">
        <is>
          <t>Rollout</t>
        </is>
      </c>
      <c r="Z467" s="66">
        <f>"SMALL|"&amp;A467</f>
        <v/>
      </c>
      <c r="AA467" s="66">
        <f>Q467&amp;"|"&amp;Z467</f>
        <v/>
      </c>
    </row>
    <row r="468" ht="15" customHeight="1" s="39">
      <c r="A468" s="67" t="inlineStr">
        <is>
          <t>MII/DM</t>
        </is>
      </c>
      <c r="B468" s="67" t="n">
        <v>0</v>
      </c>
      <c r="C468" s="67" t="n">
        <v>0</v>
      </c>
      <c r="D468" s="67" t="n">
        <v>0</v>
      </c>
      <c r="E468" s="67" t="n">
        <v>0</v>
      </c>
      <c r="F468" s="67" t="n">
        <v>0</v>
      </c>
      <c r="G468" s="67" t="n">
        <v>0</v>
      </c>
      <c r="H468" s="67" t="n">
        <v>0</v>
      </c>
      <c r="I468" s="67" t="n">
        <v>0</v>
      </c>
      <c r="J468" s="67" t="n">
        <v>0</v>
      </c>
      <c r="K468" s="67" t="n">
        <v>0</v>
      </c>
      <c r="L468" s="67" t="n">
        <v>0</v>
      </c>
      <c r="M468" s="67" t="n">
        <v>0</v>
      </c>
      <c r="N468" s="67" t="n">
        <v>0</v>
      </c>
      <c r="O468" s="67" t="n">
        <v>0</v>
      </c>
      <c r="P468" s="67" t="n">
        <v>0</v>
      </c>
      <c r="Q468" s="66" t="inlineStr">
        <is>
          <t>Rollout</t>
        </is>
      </c>
      <c r="Z468" s="66">
        <f>"SMALL|"&amp;A468</f>
        <v/>
      </c>
      <c r="AA468" s="66">
        <f>Q468&amp;"|"&amp;Z468</f>
        <v/>
      </c>
    </row>
    <row r="469" ht="15" customHeight="1" s="39">
      <c r="A469" s="67" t="inlineStr">
        <is>
          <t>PM Mobility</t>
        </is>
      </c>
      <c r="B469" s="67" t="n">
        <v>0</v>
      </c>
      <c r="C469" s="67" t="n">
        <v>0</v>
      </c>
      <c r="D469" s="67" t="n">
        <v>0</v>
      </c>
      <c r="E469" s="67" t="n">
        <v>0</v>
      </c>
      <c r="F469" s="67" t="n">
        <v>0</v>
      </c>
      <c r="G469" s="67" t="n">
        <v>0</v>
      </c>
      <c r="H469" s="67" t="n">
        <v>0</v>
      </c>
      <c r="I469" s="67" t="n">
        <v>0</v>
      </c>
      <c r="J469" s="67" t="n">
        <v>0</v>
      </c>
      <c r="K469" s="67" t="n">
        <v>0</v>
      </c>
      <c r="L469" s="67" t="n">
        <v>0</v>
      </c>
      <c r="M469" s="67" t="n">
        <v>0</v>
      </c>
      <c r="N469" s="67" t="n">
        <v>0</v>
      </c>
      <c r="O469" s="67" t="n">
        <v>0</v>
      </c>
      <c r="P469" s="67" t="n">
        <v>0</v>
      </c>
      <c r="Q469" s="66" t="inlineStr">
        <is>
          <t>Rollout</t>
        </is>
      </c>
      <c r="Z469" s="66">
        <f>"SMALL|"&amp;A469</f>
        <v/>
      </c>
      <c r="AA469" s="66">
        <f>Q469&amp;"|"&amp;Z469</f>
        <v/>
      </c>
    </row>
    <row r="470" ht="15" customHeight="1" s="39">
      <c r="A470" s="67" t="inlineStr">
        <is>
          <t>Basic EWM</t>
        </is>
      </c>
      <c r="B470" s="67" t="n">
        <v>24</v>
      </c>
      <c r="C470" s="67" t="n">
        <v>3</v>
      </c>
      <c r="D470" s="67" t="n">
        <v>2</v>
      </c>
      <c r="E470" s="67" t="n">
        <v>3</v>
      </c>
      <c r="F470" s="67" t="n">
        <v>2</v>
      </c>
      <c r="G470" s="67" t="n">
        <v>1</v>
      </c>
      <c r="H470" s="67" t="n">
        <v>1</v>
      </c>
      <c r="I470" s="67" t="n">
        <v>5</v>
      </c>
      <c r="J470" s="67" t="n">
        <v>5</v>
      </c>
      <c r="K470" s="67" t="n">
        <v>1</v>
      </c>
      <c r="L470" s="67" t="n">
        <v>1</v>
      </c>
      <c r="M470" s="67" t="n">
        <v>4</v>
      </c>
      <c r="N470" s="67" t="n">
        <v>4</v>
      </c>
      <c r="O470" s="67" t="n">
        <v>0</v>
      </c>
      <c r="P470" s="67" t="n">
        <v>0</v>
      </c>
      <c r="Q470" s="66" t="inlineStr">
        <is>
          <t>Rollout</t>
        </is>
      </c>
      <c r="Z470" s="66">
        <f>"SMALL|"&amp;A470</f>
        <v/>
      </c>
      <c r="AA470" s="66">
        <f>Q470&amp;"|"&amp;Z470</f>
        <v/>
      </c>
    </row>
    <row r="471" ht="15" customHeight="1" s="39">
      <c r="A471" s="67" t="inlineStr">
        <is>
          <t>Advanced EWM</t>
        </is>
      </c>
      <c r="B471" s="67" t="n">
        <v>0</v>
      </c>
      <c r="C471" s="67" t="n">
        <v>0</v>
      </c>
      <c r="D471" s="67" t="n">
        <v>0</v>
      </c>
      <c r="E471" s="67" t="n">
        <v>0</v>
      </c>
      <c r="F471" s="67" t="n">
        <v>0</v>
      </c>
      <c r="G471" s="67" t="n">
        <v>0</v>
      </c>
      <c r="H471" s="67" t="n">
        <v>0</v>
      </c>
      <c r="I471" s="67" t="n">
        <v>0</v>
      </c>
      <c r="J471" s="67" t="n">
        <v>0</v>
      </c>
      <c r="K471" s="67" t="n">
        <v>0</v>
      </c>
      <c r="L471" s="67" t="n">
        <v>0</v>
      </c>
      <c r="M471" s="67" t="n">
        <v>0</v>
      </c>
      <c r="N471" s="67" t="n">
        <v>0</v>
      </c>
      <c r="O471" s="67" t="n">
        <v>0</v>
      </c>
      <c r="P471" s="67" t="n">
        <v>0</v>
      </c>
      <c r="Q471" s="66" t="inlineStr">
        <is>
          <t>Rollout</t>
        </is>
      </c>
      <c r="Z471" s="66">
        <f>"SMALL|"&amp;A471</f>
        <v/>
      </c>
      <c r="AA471" s="66">
        <f>Q471&amp;"|"&amp;Z471</f>
        <v/>
      </c>
    </row>
    <row r="472" ht="15" customHeight="1" s="39">
      <c r="A472" s="67" t="inlineStr">
        <is>
          <t>TM</t>
        </is>
      </c>
      <c r="B472" s="67" t="n">
        <v>15</v>
      </c>
      <c r="C472" s="67" t="n">
        <v>3</v>
      </c>
      <c r="D472" s="67" t="n">
        <v>1</v>
      </c>
      <c r="E472" s="67" t="n">
        <v>2</v>
      </c>
      <c r="F472" s="67" t="n">
        <v>2</v>
      </c>
      <c r="G472" s="67" t="n">
        <v>0.5</v>
      </c>
      <c r="H472" s="67" t="n">
        <v>1</v>
      </c>
      <c r="I472" s="67" t="n">
        <v>4</v>
      </c>
      <c r="J472" s="67" t="n">
        <v>4</v>
      </c>
      <c r="K472" s="67" t="n">
        <v>1</v>
      </c>
      <c r="L472" s="67" t="n">
        <v>1</v>
      </c>
      <c r="M472" s="67" t="n">
        <v>4</v>
      </c>
      <c r="N472" s="67" t="n">
        <v>4</v>
      </c>
      <c r="O472" s="67" t="n">
        <v>0</v>
      </c>
      <c r="P472" s="67" t="n">
        <v>0</v>
      </c>
      <c r="Q472" s="66" t="inlineStr">
        <is>
          <t>Rollout</t>
        </is>
      </c>
      <c r="Z472" s="66">
        <f>"SMALL|"&amp;A472</f>
        <v/>
      </c>
      <c r="AA472" s="66">
        <f>Q472&amp;"|"&amp;Z472</f>
        <v/>
      </c>
    </row>
    <row r="473" ht="15" customHeight="1" s="39">
      <c r="A473" s="67" t="inlineStr">
        <is>
          <t>PPDS</t>
        </is>
      </c>
      <c r="B473" s="67" t="n">
        <v>16</v>
      </c>
      <c r="C473" s="67" t="n">
        <v>2</v>
      </c>
      <c r="D473" s="67" t="n">
        <v>2</v>
      </c>
      <c r="E473" s="67" t="n">
        <v>3</v>
      </c>
      <c r="F473" s="67" t="n">
        <v>3</v>
      </c>
      <c r="G473" s="67" t="n">
        <v>0.5</v>
      </c>
      <c r="H473" s="67" t="n">
        <v>0.5</v>
      </c>
      <c r="I473" s="67" t="n">
        <v>3</v>
      </c>
      <c r="J473" s="67" t="n">
        <v>3</v>
      </c>
      <c r="K473" s="67" t="n">
        <v>0.5</v>
      </c>
      <c r="L473" s="67" t="n">
        <v>0.5</v>
      </c>
      <c r="M473" s="67" t="n">
        <v>2</v>
      </c>
      <c r="N473" s="67" t="n">
        <v>2</v>
      </c>
      <c r="O473" s="67" t="n">
        <v>0</v>
      </c>
      <c r="P473" s="67" t="n">
        <v>0</v>
      </c>
      <c r="Q473" s="66" t="inlineStr">
        <is>
          <t>Rollout</t>
        </is>
      </c>
      <c r="Z473" s="66">
        <f>"SMALL|"&amp;A473</f>
        <v/>
      </c>
      <c r="AA473" s="66">
        <f>Q473&amp;"|"&amp;Z473</f>
        <v/>
      </c>
    </row>
    <row r="474" ht="15" customHeight="1" s="39">
      <c r="A474" s="67" t="inlineStr">
        <is>
          <t>ABAP</t>
        </is>
      </c>
      <c r="B474" s="67" t="n">
        <v>0</v>
      </c>
      <c r="C474" s="67" t="n">
        <v>0</v>
      </c>
      <c r="D474" s="67" t="n">
        <v>0</v>
      </c>
      <c r="E474" s="67" t="n">
        <v>0</v>
      </c>
      <c r="F474" s="67" t="n">
        <v>0</v>
      </c>
      <c r="G474" s="67" t="n">
        <v>0</v>
      </c>
      <c r="H474" s="67" t="n">
        <v>0</v>
      </c>
      <c r="I474" s="67" t="n">
        <v>0</v>
      </c>
      <c r="J474" s="67" t="n">
        <v>0</v>
      </c>
      <c r="K474" s="67" t="n">
        <v>0</v>
      </c>
      <c r="L474" s="67" t="n">
        <v>0</v>
      </c>
      <c r="M474" s="67" t="n">
        <v>0</v>
      </c>
      <c r="N474" s="67" t="n">
        <v>0</v>
      </c>
      <c r="O474" s="67" t="n">
        <v>0</v>
      </c>
      <c r="P474" s="67" t="n">
        <v>0</v>
      </c>
      <c r="Q474" s="66" t="inlineStr">
        <is>
          <t>Rollout</t>
        </is>
      </c>
      <c r="Z474" s="66">
        <f>"SMALL|"&amp;A474</f>
        <v/>
      </c>
      <c r="AA474" s="66">
        <f>Q474&amp;"|"&amp;Z474</f>
        <v/>
      </c>
    </row>
    <row r="475" ht="15" customHeight="1" s="39">
      <c r="A475" s="67" t="inlineStr">
        <is>
          <t>BASIS</t>
        </is>
      </c>
      <c r="B475" s="67" t="n">
        <v>0</v>
      </c>
      <c r="C475" s="67" t="n">
        <v>0</v>
      </c>
      <c r="D475" s="67" t="n">
        <v>0</v>
      </c>
      <c r="E475" s="67" t="n">
        <v>0</v>
      </c>
      <c r="F475" s="67" t="n">
        <v>0</v>
      </c>
      <c r="G475" s="67" t="n">
        <v>0</v>
      </c>
      <c r="H475" s="67" t="n">
        <v>0</v>
      </c>
      <c r="I475" s="67" t="n">
        <v>0</v>
      </c>
      <c r="J475" s="67" t="n">
        <v>0</v>
      </c>
      <c r="K475" s="67" t="n">
        <v>0</v>
      </c>
      <c r="L475" s="67" t="n">
        <v>0</v>
      </c>
      <c r="M475" s="67" t="n">
        <v>0</v>
      </c>
      <c r="N475" s="67" t="n">
        <v>0</v>
      </c>
      <c r="O475" s="67" t="n">
        <v>0</v>
      </c>
      <c r="P475" s="67" t="n">
        <v>0</v>
      </c>
      <c r="Q475" s="66" t="inlineStr">
        <is>
          <t>Rollout</t>
        </is>
      </c>
      <c r="Z475" s="66">
        <f>"SMALL|"&amp;A475</f>
        <v/>
      </c>
      <c r="AA475" s="66">
        <f>Q475&amp;"|"&amp;Z475</f>
        <v/>
      </c>
    </row>
    <row r="476" ht="15" customHeight="1" s="39">
      <c r="A476" s="67" t="inlineStr">
        <is>
          <t>E-Fatura/Arşiv</t>
        </is>
      </c>
      <c r="B476" s="67" t="n">
        <v>3</v>
      </c>
      <c r="C476" s="67" t="n">
        <v>1</v>
      </c>
      <c r="D476" s="67" t="n">
        <v>0</v>
      </c>
      <c r="E476" s="67" t="n">
        <v>1</v>
      </c>
      <c r="F476" s="67" t="n">
        <v>2</v>
      </c>
      <c r="G476" s="67" t="n">
        <v>1</v>
      </c>
      <c r="H476" s="67" t="n">
        <v>1</v>
      </c>
      <c r="I476" s="67" t="n">
        <v>3</v>
      </c>
      <c r="J476" s="67" t="n">
        <v>3</v>
      </c>
      <c r="K476" s="67" t="n">
        <v>0</v>
      </c>
      <c r="L476" s="67" t="n">
        <v>1</v>
      </c>
      <c r="M476" s="67" t="n">
        <v>1</v>
      </c>
      <c r="N476" s="67" t="n">
        <v>0</v>
      </c>
      <c r="O476" s="67" t="n">
        <v>0</v>
      </c>
      <c r="P476" s="67" t="n">
        <v>0</v>
      </c>
      <c r="Q476" s="66" t="inlineStr">
        <is>
          <t>Rollout</t>
        </is>
      </c>
      <c r="Z476" s="66">
        <f>"SMALL|"&amp;A476</f>
        <v/>
      </c>
      <c r="AA476" s="66">
        <f>Q476&amp;"|"&amp;Z476</f>
        <v/>
      </c>
    </row>
    <row r="477" ht="15" customHeight="1" s="39">
      <c r="A477" s="67" t="inlineStr">
        <is>
          <t>E-İrsaliye</t>
        </is>
      </c>
      <c r="B477" s="67" t="n">
        <v>3</v>
      </c>
      <c r="C477" s="67" t="n">
        <v>1</v>
      </c>
      <c r="D477" s="67" t="n">
        <v>0</v>
      </c>
      <c r="E477" s="67" t="n">
        <v>1</v>
      </c>
      <c r="F477" s="67" t="n">
        <v>2</v>
      </c>
      <c r="G477" s="67" t="n">
        <v>1</v>
      </c>
      <c r="H477" s="67" t="n">
        <v>1</v>
      </c>
      <c r="I477" s="67" t="n">
        <v>3</v>
      </c>
      <c r="J477" s="67" t="n">
        <v>3</v>
      </c>
      <c r="K477" s="67" t="n">
        <v>0</v>
      </c>
      <c r="L477" s="67" t="n">
        <v>1</v>
      </c>
      <c r="M477" s="67" t="n">
        <v>1</v>
      </c>
      <c r="N477" s="67" t="n">
        <v>0</v>
      </c>
      <c r="O477" s="67" t="n">
        <v>0</v>
      </c>
      <c r="P477" s="67" t="n">
        <v>0</v>
      </c>
      <c r="Q477" s="66" t="inlineStr">
        <is>
          <t>Rollout</t>
        </is>
      </c>
      <c r="Z477" s="66">
        <f>"SMALL|"&amp;A477</f>
        <v/>
      </c>
      <c r="AA477" s="66">
        <f>Q477&amp;"|"&amp;Z477</f>
        <v/>
      </c>
    </row>
    <row r="478" ht="15" customHeight="1" s="39">
      <c r="A478" s="67" t="inlineStr">
        <is>
          <t>E-Defter</t>
        </is>
      </c>
      <c r="B478" s="67" t="n">
        <v>2</v>
      </c>
      <c r="C478" s="67" t="n">
        <v>1</v>
      </c>
      <c r="D478" s="67" t="n">
        <v>0</v>
      </c>
      <c r="E478" s="67" t="n">
        <v>1</v>
      </c>
      <c r="F478" s="67" t="n">
        <v>2</v>
      </c>
      <c r="G478" s="67" t="n">
        <v>1</v>
      </c>
      <c r="H478" s="67" t="n">
        <v>1</v>
      </c>
      <c r="I478" s="67" t="n">
        <v>0</v>
      </c>
      <c r="J478" s="67" t="n">
        <v>0</v>
      </c>
      <c r="K478" s="67" t="n">
        <v>0</v>
      </c>
      <c r="L478" s="67" t="n">
        <v>2</v>
      </c>
      <c r="M478" s="67" t="n">
        <v>1</v>
      </c>
      <c r="N478" s="67" t="n">
        <v>0</v>
      </c>
      <c r="O478" s="67" t="n">
        <v>0</v>
      </c>
      <c r="P478" s="67" t="n">
        <v>0</v>
      </c>
      <c r="Q478" s="66" t="inlineStr">
        <is>
          <t>Rollout</t>
        </is>
      </c>
      <c r="Z478" s="66">
        <f>"SMALL|"&amp;A478</f>
        <v/>
      </c>
      <c r="AA478" s="66">
        <f>Q478&amp;"|"&amp;Z478</f>
        <v/>
      </c>
    </row>
    <row r="479" ht="15" customHeight="1" s="39">
      <c r="A479" s="67" t="inlineStr">
        <is>
          <t>E-Hesap Özeti</t>
        </is>
      </c>
      <c r="B479" s="67" t="n">
        <v>4</v>
      </c>
      <c r="C479" s="67" t="n">
        <v>1</v>
      </c>
      <c r="D479" s="67" t="n">
        <v>0</v>
      </c>
      <c r="E479" s="67" t="n">
        <v>3</v>
      </c>
      <c r="F479" s="67" t="n">
        <v>3</v>
      </c>
      <c r="G479" s="67" t="n">
        <v>1</v>
      </c>
      <c r="H479" s="67" t="n">
        <v>0</v>
      </c>
      <c r="I479" s="67" t="n">
        <v>2</v>
      </c>
      <c r="J479" s="67" t="n">
        <v>2</v>
      </c>
      <c r="K479" s="67" t="n">
        <v>0</v>
      </c>
      <c r="L479" s="67" t="n">
        <v>1</v>
      </c>
      <c r="M479" s="67" t="n">
        <v>1</v>
      </c>
      <c r="N479" s="67" t="n">
        <v>0</v>
      </c>
      <c r="O479" s="67" t="n">
        <v>0</v>
      </c>
      <c r="P479" s="67" t="n">
        <v>0</v>
      </c>
      <c r="Q479" s="66" t="inlineStr">
        <is>
          <t>Rollout</t>
        </is>
      </c>
      <c r="Z479" s="66">
        <f>"SMALL|"&amp;A479</f>
        <v/>
      </c>
      <c r="AA479" s="66">
        <f>Q479&amp;"|"&amp;Z479</f>
        <v/>
      </c>
    </row>
    <row r="480" ht="15" customHeight="1" s="39">
      <c r="A480" s="67" t="inlineStr">
        <is>
          <t>E-Ödeme</t>
        </is>
      </c>
      <c r="B480" s="67" t="n">
        <v>4</v>
      </c>
      <c r="C480" s="67" t="n">
        <v>1</v>
      </c>
      <c r="D480" s="67" t="n">
        <v>0</v>
      </c>
      <c r="E480" s="67" t="n">
        <v>3</v>
      </c>
      <c r="F480" s="67" t="n">
        <v>3</v>
      </c>
      <c r="G480" s="67" t="n">
        <v>1</v>
      </c>
      <c r="H480" s="67" t="n">
        <v>0</v>
      </c>
      <c r="I480" s="67" t="n">
        <v>2</v>
      </c>
      <c r="J480" s="67" t="n">
        <v>2</v>
      </c>
      <c r="K480" s="67" t="n">
        <v>0</v>
      </c>
      <c r="L480" s="67" t="n">
        <v>1</v>
      </c>
      <c r="M480" s="67" t="n">
        <v>1</v>
      </c>
      <c r="N480" s="67" t="n">
        <v>0</v>
      </c>
      <c r="O480" s="67" t="n">
        <v>0</v>
      </c>
      <c r="P480" s="67" t="n">
        <v>0</v>
      </c>
      <c r="Q480" s="66" t="inlineStr">
        <is>
          <t>Rollout</t>
        </is>
      </c>
      <c r="Z480" s="66">
        <f>"SMALL|"&amp;A480</f>
        <v/>
      </c>
      <c r="AA480" s="66">
        <f>Q480&amp;"|"&amp;Z480</f>
        <v/>
      </c>
    </row>
    <row r="481" ht="15" customHeight="1" s="39">
      <c r="A481" s="67" t="inlineStr">
        <is>
          <t>E-Mutabakat</t>
        </is>
      </c>
      <c r="B481" s="67" t="n">
        <v>2</v>
      </c>
      <c r="C481" s="67" t="n">
        <v>1</v>
      </c>
      <c r="D481" s="67" t="n">
        <v>0</v>
      </c>
      <c r="E481" s="67" t="n">
        <v>3</v>
      </c>
      <c r="F481" s="67" t="n">
        <v>3</v>
      </c>
      <c r="G481" s="67" t="n">
        <v>1</v>
      </c>
      <c r="H481" s="67" t="n">
        <v>0</v>
      </c>
      <c r="I481" s="67" t="n">
        <v>2</v>
      </c>
      <c r="J481" s="67" t="n">
        <v>2</v>
      </c>
      <c r="K481" s="67" t="n">
        <v>0</v>
      </c>
      <c r="L481" s="67" t="n">
        <v>1</v>
      </c>
      <c r="M481" s="67" t="n">
        <v>1</v>
      </c>
      <c r="N481" s="67" t="n">
        <v>0</v>
      </c>
      <c r="O481" s="67" t="n">
        <v>0</v>
      </c>
      <c r="P481" s="67" t="n">
        <v>0</v>
      </c>
      <c r="Q481" s="66" t="inlineStr">
        <is>
          <t>Rollout</t>
        </is>
      </c>
      <c r="Z481" s="66">
        <f>"SMALL|"&amp;A481</f>
        <v/>
      </c>
      <c r="AA481" s="66">
        <f>Q481&amp;"|"&amp;Z481</f>
        <v/>
      </c>
    </row>
    <row r="482" ht="15" customHeight="1" s="39">
      <c r="A482" s="67" t="inlineStr">
        <is>
          <t>E-Beyanname</t>
        </is>
      </c>
      <c r="B482" s="67" t="n">
        <v>4</v>
      </c>
      <c r="C482" s="67" t="n">
        <v>2</v>
      </c>
      <c r="D482" s="67" t="n">
        <v>0</v>
      </c>
      <c r="E482" s="67" t="n">
        <v>4</v>
      </c>
      <c r="F482" s="67" t="n">
        <v>3</v>
      </c>
      <c r="G482" s="67" t="n">
        <v>1</v>
      </c>
      <c r="H482" s="67" t="n">
        <v>0</v>
      </c>
      <c r="I482" s="67" t="n">
        <v>0</v>
      </c>
      <c r="J482" s="67" t="n">
        <v>0</v>
      </c>
      <c r="K482" s="67" t="n">
        <v>0</v>
      </c>
      <c r="L482" s="67" t="n">
        <v>1</v>
      </c>
      <c r="M482" s="67" t="n">
        <v>1</v>
      </c>
      <c r="N482" s="67" t="n">
        <v>0</v>
      </c>
      <c r="O482" s="67" t="n">
        <v>0</v>
      </c>
      <c r="P482" s="67" t="n">
        <v>0</v>
      </c>
      <c r="Q482" s="66" t="inlineStr">
        <is>
          <t>Rollout</t>
        </is>
      </c>
      <c r="Z482" s="66">
        <f>"SMALL|"&amp;A482</f>
        <v/>
      </c>
      <c r="AA482" s="66">
        <f>Q482&amp;"|"&amp;Z482</f>
        <v/>
      </c>
    </row>
    <row r="483" ht="15" customHeight="1" s="39">
      <c r="A483" s="67" t="inlineStr">
        <is>
          <t>Gelen Fatura Otomasyon</t>
        </is>
      </c>
      <c r="B483" s="67" t="n">
        <v>4</v>
      </c>
      <c r="C483" s="67" t="n">
        <v>1</v>
      </c>
      <c r="D483" s="67" t="n">
        <v>0</v>
      </c>
      <c r="E483" s="67" t="n">
        <v>3</v>
      </c>
      <c r="F483" s="67" t="n">
        <v>3</v>
      </c>
      <c r="G483" s="67" t="n">
        <v>1</v>
      </c>
      <c r="H483" s="67" t="n">
        <v>0</v>
      </c>
      <c r="I483" s="67" t="n">
        <v>2</v>
      </c>
      <c r="J483" s="67" t="n">
        <v>2</v>
      </c>
      <c r="K483" s="67" t="n">
        <v>0</v>
      </c>
      <c r="L483" s="67" t="n">
        <v>1</v>
      </c>
      <c r="M483" s="67" t="n">
        <v>1</v>
      </c>
      <c r="N483" s="67" t="n">
        <v>0</v>
      </c>
      <c r="O483" s="67" t="n">
        <v>0</v>
      </c>
      <c r="P483" s="67" t="n">
        <v>0</v>
      </c>
      <c r="Q483" s="66" t="inlineStr">
        <is>
          <t>Rollout</t>
        </is>
      </c>
      <c r="Z483" s="66">
        <f>"SMALL|"&amp;A483</f>
        <v/>
      </c>
      <c r="AA483" s="66">
        <f>Q483&amp;"|"&amp;Z483</f>
        <v/>
      </c>
    </row>
    <row r="484" ht="15" customHeight="1" s="39">
      <c r="A484" s="67" t="inlineStr">
        <is>
          <t>GLASSWING</t>
        </is>
      </c>
      <c r="B484" s="67" t="n">
        <v>20</v>
      </c>
      <c r="C484" s="67" t="n">
        <v>2</v>
      </c>
      <c r="D484" s="67" t="n">
        <v>1</v>
      </c>
      <c r="E484" s="67" t="n">
        <v>5</v>
      </c>
      <c r="F484" s="67" t="n">
        <v>4</v>
      </c>
      <c r="G484" s="67" t="n">
        <v>1</v>
      </c>
      <c r="H484" s="67" t="n">
        <v>0</v>
      </c>
      <c r="I484" s="67" t="n">
        <v>8</v>
      </c>
      <c r="J484" s="67" t="n">
        <v>10</v>
      </c>
      <c r="K484" s="67" t="n">
        <v>4</v>
      </c>
      <c r="L484" s="67" t="n">
        <v>1</v>
      </c>
      <c r="M484" s="67" t="n">
        <v>1</v>
      </c>
      <c r="N484" s="67" t="n">
        <v>3</v>
      </c>
      <c r="O484" s="67" t="n">
        <v>0</v>
      </c>
      <c r="P484" s="67" t="n">
        <v>0</v>
      </c>
      <c r="Q484" s="66" t="inlineStr">
        <is>
          <t>Rollout</t>
        </is>
      </c>
      <c r="Z484" s="66">
        <f>"SMALL|"&amp;A484</f>
        <v/>
      </c>
      <c r="AA484" s="66">
        <f>Q484&amp;"|"&amp;Z484</f>
        <v/>
      </c>
    </row>
    <row r="485" ht="15" customHeight="1" s="39">
      <c r="A485" s="67" t="inlineStr">
        <is>
          <t>COMMODITY</t>
        </is>
      </c>
      <c r="B485" s="67" t="n">
        <v>42</v>
      </c>
      <c r="C485" s="67" t="n">
        <v>6</v>
      </c>
      <c r="D485" s="67" t="n">
        <v>2</v>
      </c>
      <c r="E485" s="67" t="n">
        <v>5</v>
      </c>
      <c r="F485" s="67" t="n">
        <v>6</v>
      </c>
      <c r="G485" s="67" t="n">
        <v>2</v>
      </c>
      <c r="H485" s="67" t="n">
        <v>1</v>
      </c>
      <c r="I485" s="67" t="n">
        <v>12</v>
      </c>
      <c r="J485" s="67" t="n">
        <v>12</v>
      </c>
      <c r="K485" s="67" t="n">
        <v>2</v>
      </c>
      <c r="L485" s="67" t="n">
        <v>2</v>
      </c>
      <c r="M485" s="67" t="n">
        <v>3</v>
      </c>
      <c r="N485" s="67" t="n">
        <v>5</v>
      </c>
      <c r="O485" s="67" t="n">
        <v>0</v>
      </c>
      <c r="P485" s="67" t="n">
        <v>0</v>
      </c>
      <c r="Q485" s="66" t="inlineStr">
        <is>
          <t>Rollout</t>
        </is>
      </c>
      <c r="Z485" s="66">
        <f>"SMALL|"&amp;A485</f>
        <v/>
      </c>
      <c r="AA485" s="66">
        <f>Q485&amp;"|"&amp;Z485</f>
        <v/>
      </c>
    </row>
    <row r="486" ht="15" customHeight="1" s="39">
      <c r="A486" s="67" t="inlineStr">
        <is>
          <t>Dış Ticaret Çözümü</t>
        </is>
      </c>
      <c r="B486" s="67" t="n">
        <v>0</v>
      </c>
      <c r="C486" s="67" t="n">
        <v>0</v>
      </c>
      <c r="D486" s="67" t="n">
        <v>0</v>
      </c>
      <c r="E486" s="67" t="n">
        <v>0</v>
      </c>
      <c r="F486" s="67" t="n">
        <v>0</v>
      </c>
      <c r="G486" s="67" t="n">
        <v>0</v>
      </c>
      <c r="H486" s="67" t="n">
        <v>0</v>
      </c>
      <c r="I486" s="67" t="n">
        <v>0</v>
      </c>
      <c r="J486" s="67" t="n">
        <v>0</v>
      </c>
      <c r="K486" s="67" t="n">
        <v>0</v>
      </c>
      <c r="L486" s="67" t="n">
        <v>0</v>
      </c>
      <c r="M486" s="67" t="n">
        <v>0</v>
      </c>
      <c r="N486" s="67" t="n">
        <v>0</v>
      </c>
      <c r="O486" s="67" t="n">
        <v>0</v>
      </c>
      <c r="P486" s="67" t="n">
        <v>0</v>
      </c>
      <c r="Q486" s="66" t="inlineStr">
        <is>
          <t>Rollout</t>
        </is>
      </c>
      <c r="Z486" s="66">
        <f>"SMALL|"&amp;A486</f>
        <v/>
      </c>
      <c r="AA486" s="66">
        <f>Q486&amp;"|"&amp;Z486</f>
        <v/>
      </c>
    </row>
    <row r="487" ht="15" customHeight="1" s="39">
      <c r="A487" s="67" t="inlineStr">
        <is>
          <t>Seyahat ve Masraf Yönetimi</t>
        </is>
      </c>
      <c r="B487" s="67" t="n">
        <v>0</v>
      </c>
      <c r="C487" s="67" t="n">
        <v>0</v>
      </c>
      <c r="D487" s="67" t="n">
        <v>0</v>
      </c>
      <c r="E487" s="67" t="n">
        <v>0</v>
      </c>
      <c r="F487" s="67" t="n">
        <v>0</v>
      </c>
      <c r="G487" s="67" t="n">
        <v>0</v>
      </c>
      <c r="H487" s="67" t="n">
        <v>0</v>
      </c>
      <c r="I487" s="67" t="n">
        <v>0</v>
      </c>
      <c r="J487" s="67" t="n">
        <v>0</v>
      </c>
      <c r="K487" s="67" t="n">
        <v>0</v>
      </c>
      <c r="L487" s="67" t="n">
        <v>0</v>
      </c>
      <c r="M487" s="67" t="n">
        <v>0</v>
      </c>
      <c r="N487" s="67" t="n">
        <v>0</v>
      </c>
      <c r="O487" s="67" t="n">
        <v>0</v>
      </c>
      <c r="P487" s="67" t="n">
        <v>0</v>
      </c>
      <c r="Q487" s="66" t="inlineStr">
        <is>
          <t>Rollout</t>
        </is>
      </c>
      <c r="Z487" s="66">
        <f>"SMALL|"&amp;A487</f>
        <v/>
      </c>
      <c r="AA487" s="66">
        <f>Q487&amp;"|"&amp;Z487</f>
        <v/>
      </c>
    </row>
    <row r="488" ht="15" customHeight="1" s="39">
      <c r="A488" s="67" t="inlineStr">
        <is>
          <t>NTT Data POS</t>
        </is>
      </c>
      <c r="B488" s="67" t="n">
        <v>0</v>
      </c>
      <c r="C488" s="67" t="n">
        <v>0</v>
      </c>
      <c r="D488" s="67" t="n">
        <v>0</v>
      </c>
      <c r="E488" s="67" t="n">
        <v>0</v>
      </c>
      <c r="F488" s="67" t="n">
        <v>0</v>
      </c>
      <c r="G488" s="67" t="n">
        <v>0</v>
      </c>
      <c r="H488" s="67" t="n">
        <v>0</v>
      </c>
      <c r="I488" s="67" t="n">
        <v>0</v>
      </c>
      <c r="J488" s="67" t="n">
        <v>0</v>
      </c>
      <c r="K488" s="67" t="n">
        <v>0</v>
      </c>
      <c r="L488" s="67" t="n">
        <v>0</v>
      </c>
      <c r="M488" s="67" t="n">
        <v>0</v>
      </c>
      <c r="N488" s="67" t="n">
        <v>0</v>
      </c>
      <c r="O488" s="67" t="n">
        <v>0</v>
      </c>
      <c r="P488" s="67" t="n">
        <v>0</v>
      </c>
      <c r="Q488" s="66" t="inlineStr">
        <is>
          <t>Rollout</t>
        </is>
      </c>
      <c r="Z488" s="66">
        <f>"SMALL|"&amp;A488</f>
        <v/>
      </c>
      <c r="AA488" s="66">
        <f>Q488&amp;"|"&amp;Z488</f>
        <v/>
      </c>
    </row>
    <row r="490" ht="15" customHeight="1" s="39">
      <c r="A490" s="68" t="inlineStr">
        <is>
          <t>MEDIUM</t>
        </is>
      </c>
      <c r="Q490" s="68" t="inlineStr">
        <is>
          <t>Rollout</t>
        </is>
      </c>
    </row>
    <row r="491" ht="15" customHeight="1" s="39">
      <c r="A491" s="67">
        <f>INDEX(Translations!$D:$ZZ, MATCH(74,Translations!$A:$A,0), MATCH('Project Information'!$C$4,Translations!$D$1:$ZZ$1,0))</f>
        <v/>
      </c>
      <c r="B491" s="67">
        <f>INDEX(Translations!$D:$ZZ, MATCH(75,Translations!$A:$A,0), MATCH('Project Information'!$C$4,Translations!$D$1:$ZZ$1,0))</f>
        <v/>
      </c>
      <c r="C491" s="67">
        <f>INDEX(Translations!$D:$ZZ, MATCH(76,Translations!$A:$A,0), MATCH('Project Information'!$C$4,Translations!$D$1:$ZZ$1,0))</f>
        <v/>
      </c>
      <c r="D491" s="67">
        <f>INDEX(Translations!$D:$ZZ, MATCH(77,Translations!$A:$A,0), MATCH('Project Information'!$C$4,Translations!$D$1:$ZZ$1,0))</f>
        <v/>
      </c>
      <c r="E491" s="67">
        <f>INDEX(Translations!$D:$ZZ, MATCH(78,Translations!$A:$A,0), MATCH('Project Information'!$C$4,Translations!$D$1:$ZZ$1,0))</f>
        <v/>
      </c>
      <c r="F491" s="67">
        <f>INDEX(Translations!$D:$ZZ, MATCH(79,Translations!$A:$A,0), MATCH('Project Information'!$C$4,Translations!$D$1:$ZZ$1,0))</f>
        <v/>
      </c>
      <c r="G491" s="67">
        <f>INDEX(Translations!$D:$ZZ, MATCH(80,Translations!$A:$A,0), MATCH('Project Information'!$C$4,Translations!$D$1:$ZZ$1,0))</f>
        <v/>
      </c>
      <c r="H491" s="67">
        <f>INDEX(Translations!$D:$ZZ, MATCH(81,Translations!$A:$A,0), MATCH('Project Information'!$C$4,Translations!$D$1:$ZZ$1,0))</f>
        <v/>
      </c>
      <c r="I491" s="67">
        <f>INDEX(Translations!$D:$ZZ, MATCH(82,Translations!$A:$A,0), MATCH('Project Information'!$C$4,Translations!$D$1:$ZZ$1,0))</f>
        <v/>
      </c>
      <c r="J491" s="67">
        <f>INDEX(Translations!$D:$ZZ, MATCH(83,Translations!$A:$A,0), MATCH('Project Information'!$C$4,Translations!$D$1:$ZZ$1,0))</f>
        <v/>
      </c>
      <c r="K491" s="67">
        <f>INDEX(Translations!$D:$ZZ, MATCH(84,Translations!$A:$A,0), MATCH('Project Information'!$C$4,Translations!$D$1:$ZZ$1,0))</f>
        <v/>
      </c>
      <c r="L491" s="67">
        <f>INDEX(Translations!$D:$ZZ, MATCH(85,Translations!$A:$A,0), MATCH('Project Information'!$C$4,Translations!$D$1:$ZZ$1,0))</f>
        <v/>
      </c>
      <c r="M491" s="67">
        <f>INDEX(Translations!$D:$ZZ, MATCH(86,Translations!$A:$A,0), MATCH('Project Information'!$C$4,Translations!$D$1:$ZZ$1,0))</f>
        <v/>
      </c>
      <c r="N491" s="67">
        <f>INDEX(Translations!$D:$ZZ, MATCH(87,Translations!$A:$A,0), MATCH('Project Information'!$C$4,Translations!$D$1:$ZZ$1,0))</f>
        <v/>
      </c>
      <c r="O491" s="67">
        <f>INDEX(Translations!$D:$ZZ, MATCH(88,Translations!$A:$A,0), MATCH('Project Information'!$C$4,Translations!$D$1:$ZZ$1,0))</f>
        <v/>
      </c>
      <c r="P491" s="67">
        <f>INDEX(Translations!$D:$ZZ, MATCH(89,Translations!$A:$A,0), MATCH('Project Information'!$C$4,Translations!$D$1:$ZZ$1,0))</f>
        <v/>
      </c>
      <c r="Q491" s="67" t="inlineStr">
        <is>
          <t>Implementation Type</t>
        </is>
      </c>
      <c r="Z491" s="67">
        <f>INDEX(Translations!$D:$ZZ, MATCH(93,Translations!$A:$A,0), MATCH('Project Information'!$C$4,Translations!$D$1:$ZZ$1,0))</f>
        <v/>
      </c>
      <c r="AA491" s="67" t="inlineStr">
        <is>
          <t>Implementation Key</t>
        </is>
      </c>
    </row>
    <row r="492" ht="15" customHeight="1" s="39">
      <c r="A492" s="67" t="inlineStr">
        <is>
          <t>FI</t>
        </is>
      </c>
      <c r="B492" s="67" t="n">
        <v>36</v>
      </c>
      <c r="C492" s="67" t="n">
        <v>3</v>
      </c>
      <c r="D492" s="67" t="n">
        <v>2</v>
      </c>
      <c r="E492" s="67" t="n">
        <v>3</v>
      </c>
      <c r="F492" s="67" t="n">
        <v>2</v>
      </c>
      <c r="G492" s="67" t="n">
        <v>1</v>
      </c>
      <c r="H492" s="67" t="n">
        <v>2</v>
      </c>
      <c r="I492" s="67" t="n">
        <v>18</v>
      </c>
      <c r="J492" s="67" t="n">
        <v>18</v>
      </c>
      <c r="K492" s="67" t="n">
        <v>1</v>
      </c>
      <c r="L492" s="67" t="n">
        <v>1</v>
      </c>
      <c r="M492" s="67" t="n">
        <v>8</v>
      </c>
      <c r="N492" s="67" t="n">
        <v>8</v>
      </c>
      <c r="O492" s="67" t="n">
        <v>0</v>
      </c>
      <c r="P492" s="67" t="n">
        <v>0</v>
      </c>
      <c r="Q492" s="66" t="inlineStr">
        <is>
          <t>Rollout</t>
        </is>
      </c>
      <c r="Z492" s="66">
        <f>"MEDIUM|"&amp;A492</f>
        <v/>
      </c>
      <c r="AA492" s="66">
        <f>Q492&amp;"|"&amp;Z492</f>
        <v/>
      </c>
    </row>
    <row r="493" ht="15" customHeight="1" s="39">
      <c r="A493" s="67" t="inlineStr">
        <is>
          <t>CO</t>
        </is>
      </c>
      <c r="B493" s="67" t="n">
        <v>32</v>
      </c>
      <c r="C493" s="67" t="n">
        <v>3</v>
      </c>
      <c r="D493" s="67" t="n">
        <v>2</v>
      </c>
      <c r="E493" s="67" t="n">
        <v>3</v>
      </c>
      <c r="F493" s="67" t="n">
        <v>2</v>
      </c>
      <c r="G493" s="67" t="n">
        <v>1</v>
      </c>
      <c r="H493" s="67" t="n">
        <v>1</v>
      </c>
      <c r="I493" s="67" t="n">
        <v>18</v>
      </c>
      <c r="J493" s="67" t="n">
        <v>18</v>
      </c>
      <c r="K493" s="67" t="n">
        <v>1</v>
      </c>
      <c r="L493" s="67" t="n">
        <v>1</v>
      </c>
      <c r="M493" s="67" t="n">
        <v>5</v>
      </c>
      <c r="N493" s="67" t="n">
        <v>5</v>
      </c>
      <c r="O493" s="67" t="n">
        <v>0</v>
      </c>
      <c r="P493" s="67" t="n">
        <v>0</v>
      </c>
      <c r="Q493" s="66" t="inlineStr">
        <is>
          <t>Rollout</t>
        </is>
      </c>
      <c r="Z493" s="66">
        <f>"MEDIUM|"&amp;A493</f>
        <v/>
      </c>
      <c r="AA493" s="66">
        <f>Q493&amp;"|"&amp;Z493</f>
        <v/>
      </c>
    </row>
    <row r="494" ht="15" customHeight="1" s="39">
      <c r="A494" s="67" t="inlineStr">
        <is>
          <t>TRM</t>
        </is>
      </c>
      <c r="B494" s="67" t="n">
        <v>12</v>
      </c>
      <c r="C494" s="67" t="n">
        <v>2</v>
      </c>
      <c r="D494" s="67" t="n">
        <v>1</v>
      </c>
      <c r="E494" s="67" t="n">
        <v>2</v>
      </c>
      <c r="F494" s="67" t="n">
        <v>1</v>
      </c>
      <c r="G494" s="67" t="n">
        <v>0.5</v>
      </c>
      <c r="H494" s="67" t="n">
        <v>0.5</v>
      </c>
      <c r="I494" s="67" t="n">
        <v>6</v>
      </c>
      <c r="J494" s="67" t="n">
        <v>6</v>
      </c>
      <c r="K494" s="67" t="n">
        <v>0.5</v>
      </c>
      <c r="L494" s="67" t="n">
        <v>0.5</v>
      </c>
      <c r="M494" s="67" t="n">
        <v>5</v>
      </c>
      <c r="N494" s="67" t="n">
        <v>5</v>
      </c>
      <c r="O494" s="67" t="n">
        <v>0</v>
      </c>
      <c r="P494" s="67" t="n">
        <v>0</v>
      </c>
      <c r="Q494" s="66" t="inlineStr">
        <is>
          <t>Rollout</t>
        </is>
      </c>
      <c r="Z494" s="66">
        <f>"MEDIUM|"&amp;A494</f>
        <v/>
      </c>
      <c r="AA494" s="66">
        <f>Q494&amp;"|"&amp;Z494</f>
        <v/>
      </c>
    </row>
    <row r="495" ht="15" customHeight="1" s="39">
      <c r="A495" s="67" t="inlineStr">
        <is>
          <t>CM</t>
        </is>
      </c>
      <c r="B495" s="67" t="n">
        <v>8</v>
      </c>
      <c r="C495" s="67" t="n">
        <v>1</v>
      </c>
      <c r="D495" s="67" t="n">
        <v>1</v>
      </c>
      <c r="E495" s="67" t="n">
        <v>1</v>
      </c>
      <c r="F495" s="67" t="n">
        <v>1</v>
      </c>
      <c r="G495" s="67" t="n">
        <v>0.5</v>
      </c>
      <c r="H495" s="67" t="n">
        <v>0.5</v>
      </c>
      <c r="I495" s="67" t="n">
        <v>2</v>
      </c>
      <c r="J495" s="67" t="n">
        <v>2</v>
      </c>
      <c r="K495" s="67" t="n">
        <v>0.5</v>
      </c>
      <c r="L495" s="67" t="n">
        <v>0.5</v>
      </c>
      <c r="M495" s="67" t="n">
        <v>2</v>
      </c>
      <c r="N495" s="67" t="n">
        <v>2</v>
      </c>
      <c r="O495" s="67" t="n">
        <v>0</v>
      </c>
      <c r="P495" s="67" t="n">
        <v>0</v>
      </c>
      <c r="Q495" s="66" t="inlineStr">
        <is>
          <t>Rollout</t>
        </is>
      </c>
      <c r="Z495" s="66">
        <f>"MEDIUM|"&amp;A495</f>
        <v/>
      </c>
      <c r="AA495" s="66">
        <f>Q495&amp;"|"&amp;Z495</f>
        <v/>
      </c>
    </row>
    <row r="496" ht="15" customHeight="1" s="39">
      <c r="A496" s="67" t="inlineStr">
        <is>
          <t>FM</t>
        </is>
      </c>
      <c r="B496" s="67" t="n">
        <v>8</v>
      </c>
      <c r="C496" s="67" t="n">
        <v>1</v>
      </c>
      <c r="D496" s="67" t="n">
        <v>1</v>
      </c>
      <c r="E496" s="67" t="n">
        <v>1</v>
      </c>
      <c r="F496" s="67" t="n">
        <v>1</v>
      </c>
      <c r="G496" s="67" t="n">
        <v>0.5</v>
      </c>
      <c r="H496" s="67" t="n">
        <v>0.5</v>
      </c>
      <c r="I496" s="67" t="n">
        <v>2</v>
      </c>
      <c r="J496" s="67" t="n">
        <v>2</v>
      </c>
      <c r="K496" s="67" t="n">
        <v>0.5</v>
      </c>
      <c r="L496" s="67" t="n">
        <v>0.5</v>
      </c>
      <c r="M496" s="67" t="n">
        <v>2</v>
      </c>
      <c r="N496" s="67" t="n">
        <v>2</v>
      </c>
      <c r="O496" s="67" t="n">
        <v>0</v>
      </c>
      <c r="P496" s="67" t="n">
        <v>0</v>
      </c>
      <c r="Q496" s="66" t="inlineStr">
        <is>
          <t>Rollout</t>
        </is>
      </c>
      <c r="Z496" s="66">
        <f>"MEDIUM|"&amp;A496</f>
        <v/>
      </c>
      <c r="AA496" s="66">
        <f>Q496&amp;"|"&amp;Z496</f>
        <v/>
      </c>
    </row>
    <row r="497" ht="15" customHeight="1" s="39">
      <c r="A497" s="67" t="inlineStr">
        <is>
          <t>RM</t>
        </is>
      </c>
      <c r="B497" s="67" t="n">
        <v>0</v>
      </c>
      <c r="C497" s="67" t="n">
        <v>0</v>
      </c>
      <c r="D497" s="67" t="n">
        <v>0</v>
      </c>
      <c r="E497" s="67" t="n">
        <v>0</v>
      </c>
      <c r="F497" s="67" t="n">
        <v>0</v>
      </c>
      <c r="G497" s="67" t="n">
        <v>0</v>
      </c>
      <c r="H497" s="67" t="n">
        <v>0</v>
      </c>
      <c r="I497" s="67" t="n">
        <v>0</v>
      </c>
      <c r="J497" s="67" t="n">
        <v>0</v>
      </c>
      <c r="K497" s="67" t="n">
        <v>0</v>
      </c>
      <c r="L497" s="67" t="n">
        <v>0</v>
      </c>
      <c r="M497" s="67" t="n">
        <v>0</v>
      </c>
      <c r="N497" s="67" t="n">
        <v>0</v>
      </c>
      <c r="O497" s="67" t="n">
        <v>0</v>
      </c>
      <c r="P497" s="67" t="n">
        <v>0</v>
      </c>
      <c r="Q497" s="66" t="inlineStr">
        <is>
          <t>Rollout</t>
        </is>
      </c>
      <c r="Z497" s="66">
        <f>"MEDIUM|"&amp;A497</f>
        <v/>
      </c>
      <c r="AA497" s="66">
        <f>Q497&amp;"|"&amp;Z497</f>
        <v/>
      </c>
    </row>
    <row r="498" ht="15" customHeight="1" s="39">
      <c r="A498" s="67" t="inlineStr">
        <is>
          <t>RE/FX</t>
        </is>
      </c>
      <c r="B498" s="67" t="n">
        <v>0</v>
      </c>
      <c r="C498" s="67" t="n">
        <v>0</v>
      </c>
      <c r="D498" s="67" t="n">
        <v>0</v>
      </c>
      <c r="E498" s="67" t="n">
        <v>0</v>
      </c>
      <c r="F498" s="67" t="n">
        <v>0</v>
      </c>
      <c r="G498" s="67" t="n">
        <v>0</v>
      </c>
      <c r="H498" s="67" t="n">
        <v>0</v>
      </c>
      <c r="I498" s="67" t="n">
        <v>0</v>
      </c>
      <c r="J498" s="67" t="n">
        <v>0</v>
      </c>
      <c r="K498" s="67" t="n">
        <v>0</v>
      </c>
      <c r="L498" s="67" t="n">
        <v>0</v>
      </c>
      <c r="M498" s="67" t="n">
        <v>0</v>
      </c>
      <c r="N498" s="67" t="n">
        <v>0</v>
      </c>
      <c r="O498" s="67" t="n">
        <v>0</v>
      </c>
      <c r="P498" s="67" t="n">
        <v>0</v>
      </c>
      <c r="Q498" s="66" t="inlineStr">
        <is>
          <t>Rollout</t>
        </is>
      </c>
      <c r="Z498" s="66">
        <f>"MEDIUM|"&amp;A498</f>
        <v/>
      </c>
      <c r="AA498" s="66">
        <f>Q498&amp;"|"&amp;Z498</f>
        <v/>
      </c>
    </row>
    <row r="499" ht="15" customHeight="1" s="39">
      <c r="A499" s="67" t="inlineStr">
        <is>
          <t>MM</t>
        </is>
      </c>
      <c r="B499" s="67" t="n">
        <v>42</v>
      </c>
      <c r="C499" s="67" t="n">
        <v>3</v>
      </c>
      <c r="D499" s="67" t="n">
        <v>2</v>
      </c>
      <c r="E499" s="67" t="n">
        <v>3</v>
      </c>
      <c r="F499" s="67" t="n">
        <v>2</v>
      </c>
      <c r="G499" s="67" t="n">
        <v>1</v>
      </c>
      <c r="H499" s="67" t="n">
        <v>3</v>
      </c>
      <c r="I499" s="67" t="n">
        <v>18</v>
      </c>
      <c r="J499" s="67" t="n">
        <v>18</v>
      </c>
      <c r="K499" s="67" t="n">
        <v>1</v>
      </c>
      <c r="L499" s="67" t="n">
        <v>1</v>
      </c>
      <c r="M499" s="67" t="n">
        <v>10</v>
      </c>
      <c r="N499" s="67" t="n">
        <v>10</v>
      </c>
      <c r="O499" s="67" t="n">
        <v>0</v>
      </c>
      <c r="P499" s="67" t="n">
        <v>0</v>
      </c>
      <c r="Q499" s="66" t="inlineStr">
        <is>
          <t>Rollout</t>
        </is>
      </c>
      <c r="Z499" s="66">
        <f>"MEDIUM|"&amp;A499</f>
        <v/>
      </c>
      <c r="AA499" s="66">
        <f>Q499&amp;"|"&amp;Z499</f>
        <v/>
      </c>
    </row>
    <row r="500" ht="15" customHeight="1" s="39">
      <c r="A500" s="67" t="inlineStr">
        <is>
          <t>PP</t>
        </is>
      </c>
      <c r="B500" s="67" t="n">
        <v>42</v>
      </c>
      <c r="C500" s="67" t="n">
        <v>3</v>
      </c>
      <c r="D500" s="67" t="n">
        <v>2</v>
      </c>
      <c r="E500" s="67" t="n">
        <v>3</v>
      </c>
      <c r="F500" s="67" t="n">
        <v>2</v>
      </c>
      <c r="G500" s="67" t="n">
        <v>1</v>
      </c>
      <c r="H500" s="67" t="n">
        <v>3</v>
      </c>
      <c r="I500" s="67" t="n">
        <v>18</v>
      </c>
      <c r="J500" s="67" t="n">
        <v>18</v>
      </c>
      <c r="K500" s="67" t="n">
        <v>1</v>
      </c>
      <c r="L500" s="67" t="n">
        <v>1</v>
      </c>
      <c r="M500" s="67" t="n">
        <v>10</v>
      </c>
      <c r="N500" s="67" t="n">
        <v>10</v>
      </c>
      <c r="O500" s="67" t="n">
        <v>0</v>
      </c>
      <c r="P500" s="67" t="n">
        <v>0</v>
      </c>
      <c r="Q500" s="66" t="inlineStr">
        <is>
          <t>Rollout</t>
        </is>
      </c>
      <c r="Z500" s="66">
        <f>"MEDIUM|"&amp;A500</f>
        <v/>
      </c>
      <c r="AA500" s="66">
        <f>Q500&amp;"|"&amp;Z500</f>
        <v/>
      </c>
    </row>
    <row r="501" ht="15" customHeight="1" s="39">
      <c r="A501" s="67" t="inlineStr">
        <is>
          <t>SD</t>
        </is>
      </c>
      <c r="B501" s="67" t="n">
        <v>42</v>
      </c>
      <c r="C501" s="67" t="n">
        <v>3</v>
      </c>
      <c r="D501" s="67" t="n">
        <v>2</v>
      </c>
      <c r="E501" s="67" t="n">
        <v>3</v>
      </c>
      <c r="F501" s="67" t="n">
        <v>2</v>
      </c>
      <c r="G501" s="67" t="n">
        <v>1</v>
      </c>
      <c r="H501" s="67" t="n">
        <v>2</v>
      </c>
      <c r="I501" s="67" t="n">
        <v>18</v>
      </c>
      <c r="J501" s="67" t="n">
        <v>18</v>
      </c>
      <c r="K501" s="67" t="n">
        <v>1</v>
      </c>
      <c r="L501" s="67" t="n">
        <v>1</v>
      </c>
      <c r="M501" s="67" t="n">
        <v>8</v>
      </c>
      <c r="N501" s="67" t="n">
        <v>8</v>
      </c>
      <c r="O501" s="67" t="n">
        <v>0</v>
      </c>
      <c r="P501" s="67" t="n">
        <v>0</v>
      </c>
      <c r="Q501" s="66" t="inlineStr">
        <is>
          <t>Rollout</t>
        </is>
      </c>
      <c r="Z501" s="66">
        <f>"MEDIUM|"&amp;A501</f>
        <v/>
      </c>
      <c r="AA501" s="66">
        <f>Q501&amp;"|"&amp;Z501</f>
        <v/>
      </c>
    </row>
    <row r="502" ht="15" customHeight="1" s="39">
      <c r="A502" s="67" t="inlineStr">
        <is>
          <t>QM</t>
        </is>
      </c>
      <c r="B502" s="67" t="n">
        <v>32</v>
      </c>
      <c r="C502" s="67" t="n">
        <v>2</v>
      </c>
      <c r="D502" s="67" t="n">
        <v>1</v>
      </c>
      <c r="E502" s="67" t="n">
        <v>2</v>
      </c>
      <c r="F502" s="67" t="n">
        <v>2</v>
      </c>
      <c r="G502" s="67" t="n">
        <v>0.5</v>
      </c>
      <c r="H502" s="67" t="n">
        <v>3</v>
      </c>
      <c r="I502" s="67" t="n">
        <v>18</v>
      </c>
      <c r="J502" s="67" t="n">
        <v>18</v>
      </c>
      <c r="K502" s="67" t="n">
        <v>1</v>
      </c>
      <c r="L502" s="67" t="n">
        <v>0.5</v>
      </c>
      <c r="M502" s="67" t="n">
        <v>8</v>
      </c>
      <c r="N502" s="67" t="n">
        <v>8</v>
      </c>
      <c r="O502" s="67" t="n">
        <v>0</v>
      </c>
      <c r="P502" s="67" t="n">
        <v>0</v>
      </c>
      <c r="Q502" s="66" t="inlineStr">
        <is>
          <t>Rollout</t>
        </is>
      </c>
      <c r="Z502" s="66">
        <f>"MEDIUM|"&amp;A502</f>
        <v/>
      </c>
      <c r="AA502" s="66">
        <f>Q502&amp;"|"&amp;Z502</f>
        <v/>
      </c>
    </row>
    <row r="503" ht="15" customHeight="1" s="39">
      <c r="A503" s="67" t="inlineStr">
        <is>
          <t>PM</t>
        </is>
      </c>
      <c r="B503" s="67" t="n">
        <v>24</v>
      </c>
      <c r="C503" s="67" t="n">
        <v>2</v>
      </c>
      <c r="D503" s="67" t="n">
        <v>1</v>
      </c>
      <c r="E503" s="67" t="n">
        <v>2</v>
      </c>
      <c r="F503" s="67" t="n">
        <v>2</v>
      </c>
      <c r="G503" s="67" t="n">
        <v>0.5</v>
      </c>
      <c r="H503" s="67" t="n">
        <v>2</v>
      </c>
      <c r="I503" s="67" t="n">
        <v>8</v>
      </c>
      <c r="J503" s="67" t="n">
        <v>8</v>
      </c>
      <c r="K503" s="67" t="n">
        <v>1</v>
      </c>
      <c r="L503" s="67" t="n">
        <v>0.5</v>
      </c>
      <c r="M503" s="67" t="n">
        <v>4</v>
      </c>
      <c r="N503" s="67" t="n">
        <v>4</v>
      </c>
      <c r="O503" s="67" t="n">
        <v>0</v>
      </c>
      <c r="P503" s="67" t="n">
        <v>0</v>
      </c>
      <c r="Q503" s="66" t="inlineStr">
        <is>
          <t>Rollout</t>
        </is>
      </c>
      <c r="Z503" s="66">
        <f>"MEDIUM|"&amp;A503</f>
        <v/>
      </c>
      <c r="AA503" s="66">
        <f>Q503&amp;"|"&amp;Z503</f>
        <v/>
      </c>
    </row>
    <row r="504" ht="15" customHeight="1" s="39">
      <c r="A504" s="67" t="inlineStr">
        <is>
          <t>PS</t>
        </is>
      </c>
      <c r="B504" s="67" t="n">
        <v>24</v>
      </c>
      <c r="C504" s="67" t="n">
        <v>2</v>
      </c>
      <c r="D504" s="67" t="n">
        <v>1</v>
      </c>
      <c r="E504" s="67" t="n">
        <v>2</v>
      </c>
      <c r="F504" s="67" t="n">
        <v>2</v>
      </c>
      <c r="G504" s="67" t="n">
        <v>0.5</v>
      </c>
      <c r="H504" s="67" t="n">
        <v>2</v>
      </c>
      <c r="I504" s="67" t="n">
        <v>6</v>
      </c>
      <c r="J504" s="67" t="n">
        <v>6</v>
      </c>
      <c r="K504" s="67" t="n">
        <v>1</v>
      </c>
      <c r="L504" s="67" t="n">
        <v>0.5</v>
      </c>
      <c r="M504" s="67" t="n">
        <v>4</v>
      </c>
      <c r="N504" s="67" t="n">
        <v>4</v>
      </c>
      <c r="O504" s="67" t="n">
        <v>0</v>
      </c>
      <c r="P504" s="67" t="n">
        <v>0</v>
      </c>
      <c r="Q504" s="66" t="inlineStr">
        <is>
          <t>Rollout</t>
        </is>
      </c>
      <c r="Z504" s="66">
        <f>"MEDIUM|"&amp;A504</f>
        <v/>
      </c>
      <c r="AA504" s="66">
        <f>Q504&amp;"|"&amp;Z504</f>
        <v/>
      </c>
    </row>
    <row r="505" ht="15" customHeight="1" s="39">
      <c r="A505" s="67" t="inlineStr">
        <is>
          <t>MII/DM</t>
        </is>
      </c>
      <c r="B505" s="67" t="n">
        <v>0</v>
      </c>
      <c r="C505" s="67" t="n">
        <v>0</v>
      </c>
      <c r="D505" s="67" t="n">
        <v>0</v>
      </c>
      <c r="E505" s="67" t="n">
        <v>0</v>
      </c>
      <c r="F505" s="67" t="n">
        <v>0</v>
      </c>
      <c r="G505" s="67" t="n">
        <v>0</v>
      </c>
      <c r="H505" s="67" t="n">
        <v>0</v>
      </c>
      <c r="I505" s="67" t="n">
        <v>0</v>
      </c>
      <c r="J505" s="67" t="n">
        <v>0</v>
      </c>
      <c r="K505" s="67" t="n">
        <v>0</v>
      </c>
      <c r="L505" s="67" t="n">
        <v>0</v>
      </c>
      <c r="M505" s="67" t="n">
        <v>0</v>
      </c>
      <c r="N505" s="67" t="n">
        <v>0</v>
      </c>
      <c r="O505" s="67" t="n">
        <v>0</v>
      </c>
      <c r="P505" s="67" t="n">
        <v>0</v>
      </c>
      <c r="Q505" s="66" t="inlineStr">
        <is>
          <t>Rollout</t>
        </is>
      </c>
      <c r="Z505" s="66">
        <f>"MEDIUM|"&amp;A505</f>
        <v/>
      </c>
      <c r="AA505" s="66">
        <f>Q505&amp;"|"&amp;Z505</f>
        <v/>
      </c>
    </row>
    <row r="506" ht="15" customHeight="1" s="39">
      <c r="A506" s="67" t="inlineStr">
        <is>
          <t>PM Mobility</t>
        </is>
      </c>
      <c r="B506" s="67" t="n">
        <v>0</v>
      </c>
      <c r="C506" s="67" t="n">
        <v>0</v>
      </c>
      <c r="D506" s="67" t="n">
        <v>0</v>
      </c>
      <c r="E506" s="67" t="n">
        <v>0</v>
      </c>
      <c r="F506" s="67" t="n">
        <v>0</v>
      </c>
      <c r="G506" s="67" t="n">
        <v>0</v>
      </c>
      <c r="H506" s="67" t="n">
        <v>0</v>
      </c>
      <c r="I506" s="67" t="n">
        <v>0</v>
      </c>
      <c r="J506" s="67" t="n">
        <v>0</v>
      </c>
      <c r="K506" s="67" t="n">
        <v>0</v>
      </c>
      <c r="L506" s="67" t="n">
        <v>0</v>
      </c>
      <c r="M506" s="67" t="n">
        <v>0</v>
      </c>
      <c r="N506" s="67" t="n">
        <v>0</v>
      </c>
      <c r="O506" s="67" t="n">
        <v>0</v>
      </c>
      <c r="P506" s="67" t="n">
        <v>0</v>
      </c>
      <c r="Q506" s="66" t="inlineStr">
        <is>
          <t>Rollout</t>
        </is>
      </c>
      <c r="Z506" s="66">
        <f>"MEDIUM|"&amp;A506</f>
        <v/>
      </c>
      <c r="AA506" s="66">
        <f>Q506&amp;"|"&amp;Z506</f>
        <v/>
      </c>
    </row>
    <row r="507" ht="15" customHeight="1" s="39">
      <c r="A507" s="67" t="inlineStr">
        <is>
          <t>Basic EWM</t>
        </is>
      </c>
      <c r="B507" s="67" t="n">
        <v>40</v>
      </c>
      <c r="C507" s="67" t="n">
        <v>3</v>
      </c>
      <c r="D507" s="67" t="n">
        <v>2</v>
      </c>
      <c r="E507" s="67" t="n">
        <v>3</v>
      </c>
      <c r="F507" s="67" t="n">
        <v>2</v>
      </c>
      <c r="G507" s="67" t="n">
        <v>1</v>
      </c>
      <c r="H507" s="67" t="n">
        <v>2</v>
      </c>
      <c r="I507" s="67" t="n">
        <v>18</v>
      </c>
      <c r="J507" s="67" t="n">
        <v>18</v>
      </c>
      <c r="K507" s="67" t="n">
        <v>1</v>
      </c>
      <c r="L507" s="67" t="n">
        <v>1</v>
      </c>
      <c r="M507" s="67" t="n">
        <v>8</v>
      </c>
      <c r="N507" s="67" t="n">
        <v>8</v>
      </c>
      <c r="O507" s="67" t="n">
        <v>0</v>
      </c>
      <c r="P507" s="67" t="n">
        <v>0</v>
      </c>
      <c r="Q507" s="66" t="inlineStr">
        <is>
          <t>Rollout</t>
        </is>
      </c>
      <c r="Z507" s="66">
        <f>"MEDIUM|"&amp;A507</f>
        <v/>
      </c>
      <c r="AA507" s="66">
        <f>Q507&amp;"|"&amp;Z507</f>
        <v/>
      </c>
    </row>
    <row r="508" ht="15" customHeight="1" s="39">
      <c r="A508" s="67" t="inlineStr">
        <is>
          <t>Advanced EWM</t>
        </is>
      </c>
      <c r="B508" s="67" t="n">
        <v>0</v>
      </c>
      <c r="C508" s="67" t="n">
        <v>0</v>
      </c>
      <c r="D508" s="67" t="n">
        <v>0</v>
      </c>
      <c r="E508" s="67" t="n">
        <v>0</v>
      </c>
      <c r="F508" s="67" t="n">
        <v>0</v>
      </c>
      <c r="G508" s="67" t="n">
        <v>0</v>
      </c>
      <c r="H508" s="67" t="n">
        <v>0</v>
      </c>
      <c r="I508" s="67" t="n">
        <v>0</v>
      </c>
      <c r="J508" s="67" t="n">
        <v>0</v>
      </c>
      <c r="K508" s="67" t="n">
        <v>0</v>
      </c>
      <c r="L508" s="67" t="n">
        <v>0</v>
      </c>
      <c r="M508" s="67" t="n">
        <v>0</v>
      </c>
      <c r="N508" s="67" t="n">
        <v>0</v>
      </c>
      <c r="O508" s="67" t="n">
        <v>0</v>
      </c>
      <c r="P508" s="67" t="n">
        <v>0</v>
      </c>
      <c r="Q508" s="66" t="inlineStr">
        <is>
          <t>Rollout</t>
        </is>
      </c>
      <c r="Z508" s="66">
        <f>"MEDIUM|"&amp;A508</f>
        <v/>
      </c>
      <c r="AA508" s="66">
        <f>Q508&amp;"|"&amp;Z508</f>
        <v/>
      </c>
    </row>
    <row r="509" ht="15" customHeight="1" s="39">
      <c r="A509" s="67" t="inlineStr">
        <is>
          <t>TM</t>
        </is>
      </c>
      <c r="B509" s="67" t="n">
        <v>24</v>
      </c>
      <c r="C509" s="67" t="n">
        <v>3</v>
      </c>
      <c r="D509" s="67" t="n">
        <v>2</v>
      </c>
      <c r="E509" s="67" t="n">
        <v>2</v>
      </c>
      <c r="F509" s="67" t="n">
        <v>2</v>
      </c>
      <c r="G509" s="67" t="n">
        <v>1</v>
      </c>
      <c r="H509" s="67" t="n">
        <v>2</v>
      </c>
      <c r="I509" s="67" t="n">
        <v>15</v>
      </c>
      <c r="J509" s="67" t="n">
        <v>15</v>
      </c>
      <c r="K509" s="67" t="n">
        <v>1</v>
      </c>
      <c r="L509" s="67" t="n">
        <v>1</v>
      </c>
      <c r="M509" s="67" t="n">
        <v>4</v>
      </c>
      <c r="N509" s="67" t="n">
        <v>6</v>
      </c>
      <c r="O509" s="67" t="n">
        <v>0</v>
      </c>
      <c r="P509" s="67" t="n">
        <v>0</v>
      </c>
      <c r="Q509" s="66" t="inlineStr">
        <is>
          <t>Rollout</t>
        </is>
      </c>
      <c r="Z509" s="66">
        <f>"MEDIUM|"&amp;A509</f>
        <v/>
      </c>
      <c r="AA509" s="66">
        <f>Q509&amp;"|"&amp;Z509</f>
        <v/>
      </c>
    </row>
    <row r="510" ht="15" customHeight="1" s="39">
      <c r="A510" s="67" t="inlineStr">
        <is>
          <t>PPDS</t>
        </is>
      </c>
      <c r="B510" s="67" t="n">
        <v>25</v>
      </c>
      <c r="C510" s="67" t="n">
        <v>2</v>
      </c>
      <c r="D510" s="67" t="n">
        <v>2</v>
      </c>
      <c r="E510" s="67" t="n">
        <v>3</v>
      </c>
      <c r="F510" s="67" t="n">
        <v>3</v>
      </c>
      <c r="G510" s="67" t="n">
        <v>0.5</v>
      </c>
      <c r="H510" s="67" t="n">
        <v>0.5</v>
      </c>
      <c r="I510" s="67" t="n">
        <v>7</v>
      </c>
      <c r="J510" s="67" t="n">
        <v>7</v>
      </c>
      <c r="K510" s="67" t="n">
        <v>0.5</v>
      </c>
      <c r="L510" s="67" t="n">
        <v>0.5</v>
      </c>
      <c r="M510" s="67" t="n">
        <v>2</v>
      </c>
      <c r="N510" s="67" t="n">
        <v>2</v>
      </c>
      <c r="O510" s="67" t="n">
        <v>0</v>
      </c>
      <c r="P510" s="67" t="n">
        <v>0</v>
      </c>
      <c r="Q510" s="66" t="inlineStr">
        <is>
          <t>Rollout</t>
        </is>
      </c>
      <c r="Z510" s="66">
        <f>"MEDIUM|"&amp;A510</f>
        <v/>
      </c>
      <c r="AA510" s="66">
        <f>Q510&amp;"|"&amp;Z510</f>
        <v/>
      </c>
    </row>
    <row r="511" ht="15" customHeight="1" s="39">
      <c r="A511" s="67" t="inlineStr">
        <is>
          <t>ABAP</t>
        </is>
      </c>
      <c r="B511" s="67" t="n">
        <v>0</v>
      </c>
      <c r="C511" s="67" t="n">
        <v>0</v>
      </c>
      <c r="D511" s="67" t="n">
        <v>0</v>
      </c>
      <c r="E511" s="67" t="n">
        <v>0</v>
      </c>
      <c r="F511" s="67" t="n">
        <v>0</v>
      </c>
      <c r="G511" s="67" t="n">
        <v>0</v>
      </c>
      <c r="H511" s="67" t="n">
        <v>0</v>
      </c>
      <c r="I511" s="67" t="n">
        <v>0</v>
      </c>
      <c r="J511" s="67" t="n">
        <v>0</v>
      </c>
      <c r="K511" s="67" t="n">
        <v>0</v>
      </c>
      <c r="L511" s="67" t="n">
        <v>0</v>
      </c>
      <c r="M511" s="67" t="n">
        <v>0</v>
      </c>
      <c r="N511" s="67" t="n">
        <v>0</v>
      </c>
      <c r="O511" s="67" t="n">
        <v>0</v>
      </c>
      <c r="P511" s="67" t="n">
        <v>0</v>
      </c>
      <c r="Q511" s="66" t="inlineStr">
        <is>
          <t>Rollout</t>
        </is>
      </c>
      <c r="Z511" s="66">
        <f>"MEDIUM|"&amp;A511</f>
        <v/>
      </c>
      <c r="AA511" s="66">
        <f>Q511&amp;"|"&amp;Z511</f>
        <v/>
      </c>
    </row>
    <row r="512" ht="15" customHeight="1" s="39">
      <c r="A512" s="67" t="inlineStr">
        <is>
          <t>BASIS</t>
        </is>
      </c>
      <c r="B512" s="67" t="n">
        <v>0</v>
      </c>
      <c r="C512" s="67" t="n">
        <v>0</v>
      </c>
      <c r="D512" s="67" t="n">
        <v>0</v>
      </c>
      <c r="E512" s="67" t="n">
        <v>0</v>
      </c>
      <c r="F512" s="67" t="n">
        <v>0</v>
      </c>
      <c r="G512" s="67" t="n">
        <v>0</v>
      </c>
      <c r="H512" s="67" t="n">
        <v>0</v>
      </c>
      <c r="I512" s="67" t="n">
        <v>0</v>
      </c>
      <c r="J512" s="67" t="n">
        <v>0</v>
      </c>
      <c r="K512" s="67" t="n">
        <v>0</v>
      </c>
      <c r="L512" s="67" t="n">
        <v>0</v>
      </c>
      <c r="M512" s="67" t="n">
        <v>0</v>
      </c>
      <c r="N512" s="67" t="n">
        <v>0</v>
      </c>
      <c r="O512" s="67" t="n">
        <v>0</v>
      </c>
      <c r="P512" s="67" t="n">
        <v>0</v>
      </c>
      <c r="Q512" s="66" t="inlineStr">
        <is>
          <t>Rollout</t>
        </is>
      </c>
      <c r="Z512" s="66">
        <f>"MEDIUM|"&amp;A512</f>
        <v/>
      </c>
      <c r="AA512" s="66">
        <f>Q512&amp;"|"&amp;Z512</f>
        <v/>
      </c>
    </row>
    <row r="513" ht="15" customHeight="1" s="39">
      <c r="A513" s="67" t="inlineStr">
        <is>
          <t>E-Fatura/Arşiv</t>
        </is>
      </c>
      <c r="B513" s="67" t="n">
        <v>4</v>
      </c>
      <c r="C513" s="67" t="n">
        <v>1</v>
      </c>
      <c r="D513" s="67" t="n">
        <v>0</v>
      </c>
      <c r="E513" s="67" t="n">
        <v>2</v>
      </c>
      <c r="F513" s="67" t="n">
        <v>2</v>
      </c>
      <c r="G513" s="67" t="n">
        <v>1</v>
      </c>
      <c r="H513" s="67" t="n">
        <v>1</v>
      </c>
      <c r="I513" s="67" t="n">
        <v>3</v>
      </c>
      <c r="J513" s="67" t="n">
        <v>3</v>
      </c>
      <c r="K513" s="67" t="n">
        <v>0</v>
      </c>
      <c r="L513" s="67" t="n">
        <v>1</v>
      </c>
      <c r="M513" s="67" t="n">
        <v>1</v>
      </c>
      <c r="N513" s="67" t="n">
        <v>0</v>
      </c>
      <c r="O513" s="67" t="n">
        <v>0</v>
      </c>
      <c r="P513" s="67" t="n">
        <v>0</v>
      </c>
      <c r="Q513" s="66" t="inlineStr">
        <is>
          <t>Rollout</t>
        </is>
      </c>
      <c r="Z513" s="66">
        <f>"MEDIUM|"&amp;A513</f>
        <v/>
      </c>
      <c r="AA513" s="66">
        <f>Q513&amp;"|"&amp;Z513</f>
        <v/>
      </c>
    </row>
    <row r="514" ht="15" customHeight="1" s="39">
      <c r="A514" s="67" t="inlineStr">
        <is>
          <t>E-İrsaliye</t>
        </is>
      </c>
      <c r="B514" s="67" t="n">
        <v>4</v>
      </c>
      <c r="C514" s="67" t="n">
        <v>1</v>
      </c>
      <c r="D514" s="67" t="n">
        <v>0</v>
      </c>
      <c r="E514" s="67" t="n">
        <v>2</v>
      </c>
      <c r="F514" s="67" t="n">
        <v>2</v>
      </c>
      <c r="G514" s="67" t="n">
        <v>1</v>
      </c>
      <c r="H514" s="67" t="n">
        <v>1</v>
      </c>
      <c r="I514" s="67" t="n">
        <v>3</v>
      </c>
      <c r="J514" s="67" t="n">
        <v>3</v>
      </c>
      <c r="K514" s="67" t="n">
        <v>0</v>
      </c>
      <c r="L514" s="67" t="n">
        <v>1</v>
      </c>
      <c r="M514" s="67" t="n">
        <v>1</v>
      </c>
      <c r="N514" s="67" t="n">
        <v>0</v>
      </c>
      <c r="O514" s="67" t="n">
        <v>0</v>
      </c>
      <c r="P514" s="67" t="n">
        <v>0</v>
      </c>
      <c r="Q514" s="66" t="inlineStr">
        <is>
          <t>Rollout</t>
        </is>
      </c>
      <c r="Z514" s="66">
        <f>"MEDIUM|"&amp;A514</f>
        <v/>
      </c>
      <c r="AA514" s="66">
        <f>Q514&amp;"|"&amp;Z514</f>
        <v/>
      </c>
    </row>
    <row r="515" ht="15" customHeight="1" s="39">
      <c r="A515" s="67" t="inlineStr">
        <is>
          <t>E-Defter</t>
        </is>
      </c>
      <c r="B515" s="67" t="n">
        <v>3</v>
      </c>
      <c r="C515" s="67" t="n">
        <v>1</v>
      </c>
      <c r="D515" s="67" t="n">
        <v>0</v>
      </c>
      <c r="E515" s="67" t="n">
        <v>2</v>
      </c>
      <c r="F515" s="67" t="n">
        <v>2</v>
      </c>
      <c r="G515" s="67" t="n">
        <v>1</v>
      </c>
      <c r="H515" s="67" t="n">
        <v>1</v>
      </c>
      <c r="I515" s="67" t="n">
        <v>0</v>
      </c>
      <c r="J515" s="67" t="n">
        <v>0</v>
      </c>
      <c r="K515" s="67" t="n">
        <v>0</v>
      </c>
      <c r="L515" s="67" t="n">
        <v>3</v>
      </c>
      <c r="M515" s="67" t="n">
        <v>1</v>
      </c>
      <c r="N515" s="67" t="n">
        <v>0</v>
      </c>
      <c r="O515" s="67" t="n">
        <v>0</v>
      </c>
      <c r="P515" s="67" t="n">
        <v>0</v>
      </c>
      <c r="Q515" s="66" t="inlineStr">
        <is>
          <t>Rollout</t>
        </is>
      </c>
      <c r="Z515" s="66">
        <f>"MEDIUM|"&amp;A515</f>
        <v/>
      </c>
      <c r="AA515" s="66">
        <f>Q515&amp;"|"&amp;Z515</f>
        <v/>
      </c>
    </row>
    <row r="516" ht="15" customHeight="1" s="39">
      <c r="A516" s="67" t="inlineStr">
        <is>
          <t>E-Hesap Özeti</t>
        </is>
      </c>
      <c r="B516" s="67" t="n">
        <v>5</v>
      </c>
      <c r="C516" s="67" t="n">
        <v>1</v>
      </c>
      <c r="D516" s="67" t="n">
        <v>0</v>
      </c>
      <c r="E516" s="67" t="n">
        <v>4</v>
      </c>
      <c r="F516" s="67" t="n">
        <v>3</v>
      </c>
      <c r="G516" s="67" t="n">
        <v>1</v>
      </c>
      <c r="H516" s="67" t="n">
        <v>0</v>
      </c>
      <c r="I516" s="67" t="n">
        <v>2</v>
      </c>
      <c r="J516" s="67" t="n">
        <v>2</v>
      </c>
      <c r="K516" s="67" t="n">
        <v>0</v>
      </c>
      <c r="L516" s="67" t="n">
        <v>2</v>
      </c>
      <c r="M516" s="67" t="n">
        <v>1</v>
      </c>
      <c r="N516" s="67" t="n">
        <v>0</v>
      </c>
      <c r="O516" s="67" t="n">
        <v>0</v>
      </c>
      <c r="P516" s="67" t="n">
        <v>0</v>
      </c>
      <c r="Q516" s="66" t="inlineStr">
        <is>
          <t>Rollout</t>
        </is>
      </c>
      <c r="Z516" s="66">
        <f>"MEDIUM|"&amp;A516</f>
        <v/>
      </c>
      <c r="AA516" s="66">
        <f>Q516&amp;"|"&amp;Z516</f>
        <v/>
      </c>
    </row>
    <row r="517" ht="15" customHeight="1" s="39">
      <c r="A517" s="67" t="inlineStr">
        <is>
          <t>E-Ödeme</t>
        </is>
      </c>
      <c r="B517" s="67" t="n">
        <v>5</v>
      </c>
      <c r="C517" s="67" t="n">
        <v>1</v>
      </c>
      <c r="D517" s="67" t="n">
        <v>0</v>
      </c>
      <c r="E517" s="67" t="n">
        <v>4</v>
      </c>
      <c r="F517" s="67" t="n">
        <v>3</v>
      </c>
      <c r="G517" s="67" t="n">
        <v>1</v>
      </c>
      <c r="H517" s="67" t="n">
        <v>0</v>
      </c>
      <c r="I517" s="67" t="n">
        <v>2</v>
      </c>
      <c r="J517" s="67" t="n">
        <v>2</v>
      </c>
      <c r="K517" s="67" t="n">
        <v>0</v>
      </c>
      <c r="L517" s="67" t="n">
        <v>2</v>
      </c>
      <c r="M517" s="67" t="n">
        <v>1</v>
      </c>
      <c r="N517" s="67" t="n">
        <v>0</v>
      </c>
      <c r="O517" s="67" t="n">
        <v>0</v>
      </c>
      <c r="P517" s="67" t="n">
        <v>0</v>
      </c>
      <c r="Q517" s="66" t="inlineStr">
        <is>
          <t>Rollout</t>
        </is>
      </c>
      <c r="Z517" s="66">
        <f>"MEDIUM|"&amp;A517</f>
        <v/>
      </c>
      <c r="AA517" s="66">
        <f>Q517&amp;"|"&amp;Z517</f>
        <v/>
      </c>
    </row>
    <row r="518" ht="15" customHeight="1" s="39">
      <c r="A518" s="67" t="inlineStr">
        <is>
          <t>E-Mutabakat</t>
        </is>
      </c>
      <c r="B518" s="67" t="n">
        <v>4</v>
      </c>
      <c r="C518" s="67" t="n">
        <v>1</v>
      </c>
      <c r="D518" s="67" t="n">
        <v>0</v>
      </c>
      <c r="E518" s="67" t="n">
        <v>3</v>
      </c>
      <c r="F518" s="67" t="n">
        <v>3</v>
      </c>
      <c r="G518" s="67" t="n">
        <v>1</v>
      </c>
      <c r="H518" s="67" t="n">
        <v>0</v>
      </c>
      <c r="I518" s="67" t="n">
        <v>2</v>
      </c>
      <c r="J518" s="67" t="n">
        <v>2</v>
      </c>
      <c r="K518" s="67" t="n">
        <v>0</v>
      </c>
      <c r="L518" s="67" t="n">
        <v>2</v>
      </c>
      <c r="M518" s="67" t="n">
        <v>1</v>
      </c>
      <c r="N518" s="67" t="n">
        <v>0</v>
      </c>
      <c r="O518" s="67" t="n">
        <v>0</v>
      </c>
      <c r="P518" s="67" t="n">
        <v>0</v>
      </c>
      <c r="Q518" s="66" t="inlineStr">
        <is>
          <t>Rollout</t>
        </is>
      </c>
      <c r="Z518" s="66">
        <f>"MEDIUM|"&amp;A518</f>
        <v/>
      </c>
      <c r="AA518" s="66">
        <f>Q518&amp;"|"&amp;Z518</f>
        <v/>
      </c>
    </row>
    <row r="519" ht="15" customHeight="1" s="39">
      <c r="A519" s="67" t="inlineStr">
        <is>
          <t>E-Beyanname</t>
        </is>
      </c>
      <c r="B519" s="67" t="n">
        <v>5</v>
      </c>
      <c r="C519" s="67" t="n">
        <v>2</v>
      </c>
      <c r="D519" s="67" t="n">
        <v>0</v>
      </c>
      <c r="E519" s="67" t="n">
        <v>5</v>
      </c>
      <c r="F519" s="67" t="n">
        <v>3</v>
      </c>
      <c r="G519" s="67" t="n">
        <v>1</v>
      </c>
      <c r="H519" s="67" t="n">
        <v>0</v>
      </c>
      <c r="I519" s="67" t="n">
        <v>0</v>
      </c>
      <c r="J519" s="67" t="n">
        <v>0</v>
      </c>
      <c r="K519" s="67" t="n">
        <v>0</v>
      </c>
      <c r="L519" s="67" t="n">
        <v>4</v>
      </c>
      <c r="M519" s="67" t="n">
        <v>1</v>
      </c>
      <c r="N519" s="67" t="n">
        <v>0</v>
      </c>
      <c r="O519" s="67" t="n">
        <v>0</v>
      </c>
      <c r="P519" s="67" t="n">
        <v>0</v>
      </c>
      <c r="Q519" s="66" t="inlineStr">
        <is>
          <t>Rollout</t>
        </is>
      </c>
      <c r="Z519" s="66">
        <f>"MEDIUM|"&amp;A519</f>
        <v/>
      </c>
      <c r="AA519" s="66">
        <f>Q519&amp;"|"&amp;Z519</f>
        <v/>
      </c>
    </row>
    <row r="520" ht="15" customHeight="1" s="39">
      <c r="A520" s="67" t="inlineStr">
        <is>
          <t>Gelen Fatura Otomasyon</t>
        </is>
      </c>
      <c r="B520" s="67" t="n">
        <v>5</v>
      </c>
      <c r="C520" s="67" t="n">
        <v>1</v>
      </c>
      <c r="D520" s="67" t="n">
        <v>0</v>
      </c>
      <c r="E520" s="67" t="n">
        <v>3</v>
      </c>
      <c r="F520" s="67" t="n">
        <v>3</v>
      </c>
      <c r="G520" s="67" t="n">
        <v>1</v>
      </c>
      <c r="H520" s="67" t="n">
        <v>0</v>
      </c>
      <c r="I520" s="67" t="n">
        <v>2</v>
      </c>
      <c r="J520" s="67" t="n">
        <v>2</v>
      </c>
      <c r="K520" s="67" t="n">
        <v>0</v>
      </c>
      <c r="L520" s="67" t="n">
        <v>2</v>
      </c>
      <c r="M520" s="67" t="n">
        <v>1</v>
      </c>
      <c r="N520" s="67" t="n">
        <v>0</v>
      </c>
      <c r="O520" s="67" t="n">
        <v>0</v>
      </c>
      <c r="P520" s="67" t="n">
        <v>0</v>
      </c>
      <c r="Q520" s="66" t="inlineStr">
        <is>
          <t>Rollout</t>
        </is>
      </c>
      <c r="Z520" s="66">
        <f>"MEDIUM|"&amp;A520</f>
        <v/>
      </c>
      <c r="AA520" s="66">
        <f>Q520&amp;"|"&amp;Z520</f>
        <v/>
      </c>
    </row>
    <row r="521" ht="15" customHeight="1" s="39">
      <c r="A521" s="67" t="inlineStr">
        <is>
          <t>GLASSWING</t>
        </is>
      </c>
      <c r="B521" s="67" t="n">
        <v>35</v>
      </c>
      <c r="C521" s="67" t="n">
        <v>3</v>
      </c>
      <c r="D521" s="67" t="n">
        <v>1</v>
      </c>
      <c r="E521" s="67" t="n">
        <v>8</v>
      </c>
      <c r="F521" s="67" t="n">
        <v>6</v>
      </c>
      <c r="G521" s="67" t="n">
        <v>1</v>
      </c>
      <c r="H521" s="67" t="n">
        <v>0</v>
      </c>
      <c r="I521" s="67" t="n">
        <v>15</v>
      </c>
      <c r="J521" s="67" t="n">
        <v>15</v>
      </c>
      <c r="K521" s="67" t="n">
        <v>8</v>
      </c>
      <c r="L521" s="67" t="n">
        <v>1</v>
      </c>
      <c r="M521" s="67" t="n">
        <v>2</v>
      </c>
      <c r="N521" s="67" t="n">
        <v>5</v>
      </c>
      <c r="O521" s="67" t="n">
        <v>0</v>
      </c>
      <c r="P521" s="67" t="n">
        <v>0</v>
      </c>
      <c r="Q521" s="66" t="inlineStr">
        <is>
          <t>Rollout</t>
        </is>
      </c>
      <c r="Z521" s="66">
        <f>"MEDIUM|"&amp;A521</f>
        <v/>
      </c>
      <c r="AA521" s="66">
        <f>Q521&amp;"|"&amp;Z521</f>
        <v/>
      </c>
    </row>
    <row r="522" ht="15" customHeight="1" s="39">
      <c r="A522" s="67" t="inlineStr">
        <is>
          <t>COMMODITY</t>
        </is>
      </c>
      <c r="B522" s="67" t="n">
        <v>65</v>
      </c>
      <c r="C522" s="67" t="n">
        <v>7</v>
      </c>
      <c r="D522" s="67" t="n">
        <v>2</v>
      </c>
      <c r="E522" s="67" t="n">
        <v>8</v>
      </c>
      <c r="F522" s="67" t="n">
        <v>7</v>
      </c>
      <c r="G522" s="67" t="n">
        <v>2</v>
      </c>
      <c r="H522" s="67" t="n">
        <v>1</v>
      </c>
      <c r="I522" s="67" t="n">
        <v>20</v>
      </c>
      <c r="J522" s="67" t="n">
        <v>20</v>
      </c>
      <c r="K522" s="67" t="n">
        <v>3</v>
      </c>
      <c r="L522" s="67" t="n">
        <v>2</v>
      </c>
      <c r="M522" s="67" t="n">
        <v>4</v>
      </c>
      <c r="N522" s="67" t="n">
        <v>9</v>
      </c>
      <c r="O522" s="67" t="n">
        <v>0</v>
      </c>
      <c r="P522" s="67" t="n">
        <v>0</v>
      </c>
      <c r="Q522" s="66" t="inlineStr">
        <is>
          <t>Rollout</t>
        </is>
      </c>
      <c r="Z522" s="66">
        <f>"MEDIUM|"&amp;A522</f>
        <v/>
      </c>
      <c r="AA522" s="66">
        <f>Q522&amp;"|"&amp;Z522</f>
        <v/>
      </c>
    </row>
    <row r="523" ht="15" customHeight="1" s="39">
      <c r="A523" s="67" t="inlineStr">
        <is>
          <t>Dış Ticaret Çözümü</t>
        </is>
      </c>
      <c r="B523" s="67" t="n">
        <v>0</v>
      </c>
      <c r="C523" s="67" t="n">
        <v>0</v>
      </c>
      <c r="D523" s="67" t="n">
        <v>0</v>
      </c>
      <c r="E523" s="67" t="n">
        <v>0</v>
      </c>
      <c r="F523" s="67" t="n">
        <v>0</v>
      </c>
      <c r="G523" s="67" t="n">
        <v>0</v>
      </c>
      <c r="H523" s="67" t="n">
        <v>0</v>
      </c>
      <c r="I523" s="67" t="n">
        <v>0</v>
      </c>
      <c r="J523" s="67" t="n">
        <v>0</v>
      </c>
      <c r="K523" s="67" t="n">
        <v>0</v>
      </c>
      <c r="L523" s="67" t="n">
        <v>0</v>
      </c>
      <c r="M523" s="67" t="n">
        <v>0</v>
      </c>
      <c r="N523" s="67" t="n">
        <v>0</v>
      </c>
      <c r="O523" s="67" t="n">
        <v>0</v>
      </c>
      <c r="P523" s="67" t="n">
        <v>0</v>
      </c>
      <c r="Q523" s="66" t="inlineStr">
        <is>
          <t>Rollout</t>
        </is>
      </c>
      <c r="Z523" s="66">
        <f>"MEDIUM|"&amp;A523</f>
        <v/>
      </c>
      <c r="AA523" s="66">
        <f>Q523&amp;"|"&amp;Z523</f>
        <v/>
      </c>
    </row>
    <row r="524" ht="15" customHeight="1" s="39">
      <c r="A524" s="67" t="inlineStr">
        <is>
          <t>Seyahat ve Masraf Yönetimi</t>
        </is>
      </c>
      <c r="B524" s="67" t="n">
        <v>0</v>
      </c>
      <c r="C524" s="67" t="n">
        <v>0</v>
      </c>
      <c r="D524" s="67" t="n">
        <v>0</v>
      </c>
      <c r="E524" s="67" t="n">
        <v>0</v>
      </c>
      <c r="F524" s="67" t="n">
        <v>0</v>
      </c>
      <c r="G524" s="67" t="n">
        <v>0</v>
      </c>
      <c r="H524" s="67" t="n">
        <v>0</v>
      </c>
      <c r="I524" s="67" t="n">
        <v>0</v>
      </c>
      <c r="J524" s="67" t="n">
        <v>0</v>
      </c>
      <c r="K524" s="67" t="n">
        <v>0</v>
      </c>
      <c r="L524" s="67" t="n">
        <v>0</v>
      </c>
      <c r="M524" s="67" t="n">
        <v>0</v>
      </c>
      <c r="N524" s="67" t="n">
        <v>0</v>
      </c>
      <c r="O524" s="67" t="n">
        <v>0</v>
      </c>
      <c r="P524" s="67" t="n">
        <v>0</v>
      </c>
      <c r="Q524" s="66" t="inlineStr">
        <is>
          <t>Rollout</t>
        </is>
      </c>
      <c r="Z524" s="66">
        <f>"MEDIUM|"&amp;A524</f>
        <v/>
      </c>
      <c r="AA524" s="66">
        <f>Q524&amp;"|"&amp;Z524</f>
        <v/>
      </c>
    </row>
    <row r="525" ht="15" customHeight="1" s="39">
      <c r="A525" s="67" t="inlineStr">
        <is>
          <t>NTT Data POS</t>
        </is>
      </c>
      <c r="B525" s="67" t="n">
        <v>0</v>
      </c>
      <c r="C525" s="67" t="n">
        <v>0</v>
      </c>
      <c r="D525" s="67" t="n">
        <v>0</v>
      </c>
      <c r="E525" s="67" t="n">
        <v>0</v>
      </c>
      <c r="F525" s="67" t="n">
        <v>0</v>
      </c>
      <c r="G525" s="67" t="n">
        <v>0</v>
      </c>
      <c r="H525" s="67" t="n">
        <v>0</v>
      </c>
      <c r="I525" s="67" t="n">
        <v>0</v>
      </c>
      <c r="J525" s="67" t="n">
        <v>0</v>
      </c>
      <c r="K525" s="67" t="n">
        <v>0</v>
      </c>
      <c r="L525" s="67" t="n">
        <v>0</v>
      </c>
      <c r="M525" s="67" t="n">
        <v>0</v>
      </c>
      <c r="N525" s="67" t="n">
        <v>0</v>
      </c>
      <c r="O525" s="67" t="n">
        <v>0</v>
      </c>
      <c r="P525" s="67" t="n">
        <v>0</v>
      </c>
      <c r="Q525" s="66" t="inlineStr">
        <is>
          <t>Rollout</t>
        </is>
      </c>
      <c r="Z525" s="66">
        <f>"MEDIUM|"&amp;A525</f>
        <v/>
      </c>
      <c r="AA525" s="66">
        <f>Q525&amp;"|"&amp;Z525</f>
        <v/>
      </c>
    </row>
    <row r="527" ht="15" customHeight="1" s="39">
      <c r="A527" s="68" t="inlineStr">
        <is>
          <t>LARGE</t>
        </is>
      </c>
      <c r="Q527" s="68" t="inlineStr">
        <is>
          <t>Rollout</t>
        </is>
      </c>
    </row>
    <row r="528" ht="15" customHeight="1" s="39">
      <c r="A528" s="67">
        <f>INDEX(Translations!$D:$ZZ, MATCH(74,Translations!$A:$A,0), MATCH('Project Information'!$C$4,Translations!$D$1:$ZZ$1,0))</f>
        <v/>
      </c>
      <c r="B528" s="67">
        <f>INDEX(Translations!$D:$ZZ, MATCH(75,Translations!$A:$A,0), MATCH('Project Information'!$C$4,Translations!$D$1:$ZZ$1,0))</f>
        <v/>
      </c>
      <c r="C528" s="67">
        <f>INDEX(Translations!$D:$ZZ, MATCH(76,Translations!$A:$A,0), MATCH('Project Information'!$C$4,Translations!$D$1:$ZZ$1,0))</f>
        <v/>
      </c>
      <c r="D528" s="67">
        <f>INDEX(Translations!$D:$ZZ, MATCH(77,Translations!$A:$A,0), MATCH('Project Information'!$C$4,Translations!$D$1:$ZZ$1,0))</f>
        <v/>
      </c>
      <c r="E528" s="67">
        <f>INDEX(Translations!$D:$ZZ, MATCH(78,Translations!$A:$A,0), MATCH('Project Information'!$C$4,Translations!$D$1:$ZZ$1,0))</f>
        <v/>
      </c>
      <c r="F528" s="67">
        <f>INDEX(Translations!$D:$ZZ, MATCH(79,Translations!$A:$A,0), MATCH('Project Information'!$C$4,Translations!$D$1:$ZZ$1,0))</f>
        <v/>
      </c>
      <c r="G528" s="67">
        <f>INDEX(Translations!$D:$ZZ, MATCH(80,Translations!$A:$A,0), MATCH('Project Information'!$C$4,Translations!$D$1:$ZZ$1,0))</f>
        <v/>
      </c>
      <c r="H528" s="67">
        <f>INDEX(Translations!$D:$ZZ, MATCH(81,Translations!$A:$A,0), MATCH('Project Information'!$C$4,Translations!$D$1:$ZZ$1,0))</f>
        <v/>
      </c>
      <c r="I528" s="67">
        <f>INDEX(Translations!$D:$ZZ, MATCH(82,Translations!$A:$A,0), MATCH('Project Information'!$C$4,Translations!$D$1:$ZZ$1,0))</f>
        <v/>
      </c>
      <c r="J528" s="67">
        <f>INDEX(Translations!$D:$ZZ, MATCH(83,Translations!$A:$A,0), MATCH('Project Information'!$C$4,Translations!$D$1:$ZZ$1,0))</f>
        <v/>
      </c>
      <c r="K528" s="67">
        <f>INDEX(Translations!$D:$ZZ, MATCH(84,Translations!$A:$A,0), MATCH('Project Information'!$C$4,Translations!$D$1:$ZZ$1,0))</f>
        <v/>
      </c>
      <c r="L528" s="67">
        <f>INDEX(Translations!$D:$ZZ, MATCH(85,Translations!$A:$A,0), MATCH('Project Information'!$C$4,Translations!$D$1:$ZZ$1,0))</f>
        <v/>
      </c>
      <c r="M528" s="67">
        <f>INDEX(Translations!$D:$ZZ, MATCH(86,Translations!$A:$A,0), MATCH('Project Information'!$C$4,Translations!$D$1:$ZZ$1,0))</f>
        <v/>
      </c>
      <c r="N528" s="67">
        <f>INDEX(Translations!$D:$ZZ, MATCH(87,Translations!$A:$A,0), MATCH('Project Information'!$C$4,Translations!$D$1:$ZZ$1,0))</f>
        <v/>
      </c>
      <c r="O528" s="67">
        <f>INDEX(Translations!$D:$ZZ, MATCH(88,Translations!$A:$A,0), MATCH('Project Information'!$C$4,Translations!$D$1:$ZZ$1,0))</f>
        <v/>
      </c>
      <c r="P528" s="67">
        <f>INDEX(Translations!$D:$ZZ, MATCH(89,Translations!$A:$A,0), MATCH('Project Information'!$C$4,Translations!$D$1:$ZZ$1,0))</f>
        <v/>
      </c>
      <c r="Q528" s="67" t="inlineStr">
        <is>
          <t>Implementation Type</t>
        </is>
      </c>
      <c r="Z528" s="67">
        <f>INDEX(Translations!$D:$ZZ, MATCH(93,Translations!$A:$A,0), MATCH('Project Information'!$C$4,Translations!$D$1:$ZZ$1,0))</f>
        <v/>
      </c>
      <c r="AA528" s="67" t="inlineStr">
        <is>
          <t>Implementation Key</t>
        </is>
      </c>
    </row>
    <row r="529" ht="15" customHeight="1" s="39">
      <c r="A529" s="67" t="inlineStr">
        <is>
          <t>FI</t>
        </is>
      </c>
      <c r="B529" s="67" t="n">
        <v>245</v>
      </c>
      <c r="C529" s="67" t="n">
        <v>10</v>
      </c>
      <c r="D529" s="67" t="n">
        <v>5</v>
      </c>
      <c r="E529" s="67" t="n">
        <v>5</v>
      </c>
      <c r="F529" s="67" t="n">
        <v>5</v>
      </c>
      <c r="G529" s="67" t="n">
        <v>2</v>
      </c>
      <c r="H529" s="67" t="n">
        <v>3</v>
      </c>
      <c r="I529" s="67" t="n">
        <v>28</v>
      </c>
      <c r="J529" s="67" t="n">
        <v>28</v>
      </c>
      <c r="K529" s="67" t="n">
        <v>3</v>
      </c>
      <c r="L529" s="67" t="n">
        <v>2</v>
      </c>
      <c r="M529" s="67" t="n">
        <v>15</v>
      </c>
      <c r="N529" s="67" t="n">
        <v>15</v>
      </c>
      <c r="O529" s="67" t="n">
        <v>0</v>
      </c>
      <c r="P529" s="67" t="n">
        <v>0</v>
      </c>
      <c r="Q529" s="66" t="inlineStr">
        <is>
          <t>Rollout</t>
        </is>
      </c>
      <c r="Z529" s="66">
        <f>"LARGE|"&amp;A529</f>
        <v/>
      </c>
      <c r="AA529" s="66">
        <f>Q529&amp;"|"&amp;Z529</f>
        <v/>
      </c>
    </row>
    <row r="530" ht="15" customHeight="1" s="39">
      <c r="A530" s="67" t="inlineStr">
        <is>
          <t>CO</t>
        </is>
      </c>
      <c r="B530" s="67" t="n">
        <v>245</v>
      </c>
      <c r="C530" s="67" t="n">
        <v>10</v>
      </c>
      <c r="D530" s="67" t="n">
        <v>5</v>
      </c>
      <c r="E530" s="67" t="n">
        <v>4</v>
      </c>
      <c r="F530" s="67" t="n">
        <v>5</v>
      </c>
      <c r="G530" s="67" t="n">
        <v>2</v>
      </c>
      <c r="H530" s="67" t="n">
        <v>2</v>
      </c>
      <c r="I530" s="67" t="n">
        <v>28</v>
      </c>
      <c r="J530" s="67" t="n">
        <v>28</v>
      </c>
      <c r="K530" s="67" t="n">
        <v>3</v>
      </c>
      <c r="L530" s="67" t="n">
        <v>2</v>
      </c>
      <c r="M530" s="67" t="n">
        <v>10</v>
      </c>
      <c r="N530" s="67" t="n">
        <v>10</v>
      </c>
      <c r="O530" s="67" t="n">
        <v>0</v>
      </c>
      <c r="P530" s="67" t="n">
        <v>0</v>
      </c>
      <c r="Q530" s="66" t="inlineStr">
        <is>
          <t>Rollout</t>
        </is>
      </c>
      <c r="Z530" s="66">
        <f>"LARGE|"&amp;A530</f>
        <v/>
      </c>
      <c r="AA530" s="66">
        <f>Q530&amp;"|"&amp;Z530</f>
        <v/>
      </c>
    </row>
    <row r="531" ht="15" customHeight="1" s="39">
      <c r="A531" s="67" t="inlineStr">
        <is>
          <t>TRM</t>
        </is>
      </c>
      <c r="B531" s="67" t="n">
        <v>100</v>
      </c>
      <c r="C531" s="67" t="n">
        <v>4</v>
      </c>
      <c r="D531" s="67" t="n">
        <v>2</v>
      </c>
      <c r="E531" s="67" t="n">
        <v>2</v>
      </c>
      <c r="F531" s="67" t="n">
        <v>3</v>
      </c>
      <c r="G531" s="67" t="n">
        <v>1</v>
      </c>
      <c r="H531" s="67" t="n">
        <v>1</v>
      </c>
      <c r="I531" s="67" t="n">
        <v>10</v>
      </c>
      <c r="J531" s="67" t="n">
        <v>10</v>
      </c>
      <c r="K531" s="67" t="n">
        <v>1</v>
      </c>
      <c r="L531" s="67" t="n">
        <v>1</v>
      </c>
      <c r="M531" s="67" t="n">
        <v>10</v>
      </c>
      <c r="N531" s="67" t="n">
        <v>10</v>
      </c>
      <c r="O531" s="67" t="n">
        <v>0</v>
      </c>
      <c r="P531" s="67" t="n">
        <v>0</v>
      </c>
      <c r="Q531" s="66" t="inlineStr">
        <is>
          <t>Rollout</t>
        </is>
      </c>
      <c r="Z531" s="66">
        <f>"LARGE|"&amp;A531</f>
        <v/>
      </c>
      <c r="AA531" s="66">
        <f>Q531&amp;"|"&amp;Z531</f>
        <v/>
      </c>
    </row>
    <row r="532" ht="15" customHeight="1" s="39">
      <c r="A532" s="67" t="inlineStr">
        <is>
          <t>CM</t>
        </is>
      </c>
      <c r="B532" s="67" t="n">
        <v>100</v>
      </c>
      <c r="C532" s="67" t="n">
        <v>3</v>
      </c>
      <c r="D532" s="67" t="n">
        <v>2</v>
      </c>
      <c r="E532" s="67" t="n">
        <v>2</v>
      </c>
      <c r="F532" s="67" t="n">
        <v>3</v>
      </c>
      <c r="G532" s="67" t="n">
        <v>1</v>
      </c>
      <c r="H532" s="67" t="n">
        <v>1</v>
      </c>
      <c r="I532" s="67" t="n">
        <v>10</v>
      </c>
      <c r="J532" s="67" t="n">
        <v>10</v>
      </c>
      <c r="K532" s="67" t="n">
        <v>1</v>
      </c>
      <c r="L532" s="67" t="n">
        <v>1</v>
      </c>
      <c r="M532" s="67" t="n">
        <v>5</v>
      </c>
      <c r="N532" s="67" t="n">
        <v>5</v>
      </c>
      <c r="O532" s="67" t="n">
        <v>0</v>
      </c>
      <c r="P532" s="67" t="n">
        <v>0</v>
      </c>
      <c r="Q532" s="66" t="inlineStr">
        <is>
          <t>Rollout</t>
        </is>
      </c>
      <c r="Z532" s="66">
        <f>"LARGE|"&amp;A532</f>
        <v/>
      </c>
      <c r="AA532" s="66">
        <f>Q532&amp;"|"&amp;Z532</f>
        <v/>
      </c>
    </row>
    <row r="533" ht="15" customHeight="1" s="39">
      <c r="A533" s="67" t="inlineStr">
        <is>
          <t>FM</t>
        </is>
      </c>
      <c r="B533" s="67" t="n">
        <v>100</v>
      </c>
      <c r="C533" s="67" t="n">
        <v>3</v>
      </c>
      <c r="D533" s="67" t="n">
        <v>2</v>
      </c>
      <c r="E533" s="67" t="n">
        <v>2</v>
      </c>
      <c r="F533" s="67" t="n">
        <v>3</v>
      </c>
      <c r="G533" s="67" t="n">
        <v>1</v>
      </c>
      <c r="H533" s="67" t="n">
        <v>1</v>
      </c>
      <c r="I533" s="67" t="n">
        <v>10</v>
      </c>
      <c r="J533" s="67" t="n">
        <v>10</v>
      </c>
      <c r="K533" s="67" t="n">
        <v>1</v>
      </c>
      <c r="L533" s="67" t="n">
        <v>1</v>
      </c>
      <c r="M533" s="67" t="n">
        <v>5</v>
      </c>
      <c r="N533" s="67" t="n">
        <v>5</v>
      </c>
      <c r="O533" s="67" t="n">
        <v>0</v>
      </c>
      <c r="P533" s="67" t="n">
        <v>0</v>
      </c>
      <c r="Q533" s="66" t="inlineStr">
        <is>
          <t>Rollout</t>
        </is>
      </c>
      <c r="Z533" s="66">
        <f>"LARGE|"&amp;A533</f>
        <v/>
      </c>
      <c r="AA533" s="66">
        <f>Q533&amp;"|"&amp;Z533</f>
        <v/>
      </c>
    </row>
    <row r="534" ht="15" customHeight="1" s="39">
      <c r="A534" s="67" t="inlineStr">
        <is>
          <t>RM</t>
        </is>
      </c>
      <c r="B534" s="67" t="n">
        <v>0</v>
      </c>
      <c r="C534" s="67" t="n">
        <v>0</v>
      </c>
      <c r="D534" s="67" t="n">
        <v>0</v>
      </c>
      <c r="E534" s="67" t="n">
        <v>0</v>
      </c>
      <c r="F534" s="67" t="n">
        <v>0</v>
      </c>
      <c r="G534" s="67" t="n">
        <v>0</v>
      </c>
      <c r="H534" s="67" t="n">
        <v>0</v>
      </c>
      <c r="I534" s="67" t="n">
        <v>0</v>
      </c>
      <c r="J534" s="67" t="n">
        <v>0</v>
      </c>
      <c r="K534" s="67" t="n">
        <v>0</v>
      </c>
      <c r="L534" s="67" t="n">
        <v>0</v>
      </c>
      <c r="M534" s="67" t="n">
        <v>0</v>
      </c>
      <c r="N534" s="67" t="n">
        <v>0</v>
      </c>
      <c r="O534" s="67" t="n">
        <v>0</v>
      </c>
      <c r="P534" s="67" t="n">
        <v>0</v>
      </c>
      <c r="Q534" s="66" t="inlineStr">
        <is>
          <t>Rollout</t>
        </is>
      </c>
      <c r="Z534" s="66">
        <f>"LARGE|"&amp;A534</f>
        <v/>
      </c>
      <c r="AA534" s="66">
        <f>Q534&amp;"|"&amp;Z534</f>
        <v/>
      </c>
    </row>
    <row r="535" ht="15" customHeight="1" s="39">
      <c r="A535" s="67" t="inlineStr">
        <is>
          <t>RE/FX</t>
        </is>
      </c>
      <c r="B535" s="67" t="n">
        <v>0</v>
      </c>
      <c r="C535" s="67" t="n">
        <v>0</v>
      </c>
      <c r="D535" s="67" t="n">
        <v>0</v>
      </c>
      <c r="E535" s="67" t="n">
        <v>0</v>
      </c>
      <c r="F535" s="67" t="n">
        <v>0</v>
      </c>
      <c r="G535" s="67" t="n">
        <v>0</v>
      </c>
      <c r="H535" s="67" t="n">
        <v>0</v>
      </c>
      <c r="I535" s="67" t="n">
        <v>0</v>
      </c>
      <c r="J535" s="67" t="n">
        <v>0</v>
      </c>
      <c r="K535" s="67" t="n">
        <v>0</v>
      </c>
      <c r="L535" s="67" t="n">
        <v>0</v>
      </c>
      <c r="M535" s="67" t="n">
        <v>0</v>
      </c>
      <c r="N535" s="67" t="n">
        <v>0</v>
      </c>
      <c r="O535" s="67" t="n">
        <v>0</v>
      </c>
      <c r="P535" s="67" t="n">
        <v>0</v>
      </c>
      <c r="Q535" s="66" t="inlineStr">
        <is>
          <t>Rollout</t>
        </is>
      </c>
      <c r="Z535" s="66">
        <f>"LARGE|"&amp;A535</f>
        <v/>
      </c>
      <c r="AA535" s="66">
        <f>Q535&amp;"|"&amp;Z535</f>
        <v/>
      </c>
    </row>
    <row r="536" ht="15" customHeight="1" s="39">
      <c r="A536" s="67" t="inlineStr">
        <is>
          <t>MM</t>
        </is>
      </c>
      <c r="B536" s="67" t="n">
        <v>245</v>
      </c>
      <c r="C536" s="67" t="n">
        <v>10</v>
      </c>
      <c r="D536" s="67" t="n">
        <v>5</v>
      </c>
      <c r="E536" s="67" t="n">
        <v>5</v>
      </c>
      <c r="F536" s="67" t="n">
        <v>5</v>
      </c>
      <c r="G536" s="67" t="n">
        <v>2</v>
      </c>
      <c r="H536" s="67" t="n">
        <v>7</v>
      </c>
      <c r="I536" s="67" t="n">
        <v>28</v>
      </c>
      <c r="J536" s="67" t="n">
        <v>28</v>
      </c>
      <c r="K536" s="67" t="n">
        <v>3</v>
      </c>
      <c r="L536" s="67" t="n">
        <v>2</v>
      </c>
      <c r="M536" s="67" t="n">
        <v>20</v>
      </c>
      <c r="N536" s="67" t="n">
        <v>20</v>
      </c>
      <c r="O536" s="67" t="n">
        <v>0</v>
      </c>
      <c r="P536" s="67" t="n">
        <v>0</v>
      </c>
      <c r="Q536" s="66" t="inlineStr">
        <is>
          <t>Rollout</t>
        </is>
      </c>
      <c r="Z536" s="66">
        <f>"LARGE|"&amp;A536</f>
        <v/>
      </c>
      <c r="AA536" s="66">
        <f>Q536&amp;"|"&amp;Z536</f>
        <v/>
      </c>
    </row>
    <row r="537" ht="15" customHeight="1" s="39">
      <c r="A537" s="67" t="inlineStr">
        <is>
          <t>PP</t>
        </is>
      </c>
      <c r="B537" s="67" t="n">
        <v>245</v>
      </c>
      <c r="C537" s="67" t="n">
        <v>10</v>
      </c>
      <c r="D537" s="67" t="n">
        <v>5</v>
      </c>
      <c r="E537" s="67" t="n">
        <v>5</v>
      </c>
      <c r="F537" s="67" t="n">
        <v>5</v>
      </c>
      <c r="G537" s="67" t="n">
        <v>2</v>
      </c>
      <c r="H537" s="67" t="n">
        <v>7</v>
      </c>
      <c r="I537" s="67" t="n">
        <v>28</v>
      </c>
      <c r="J537" s="67" t="n">
        <v>28</v>
      </c>
      <c r="K537" s="67" t="n">
        <v>3</v>
      </c>
      <c r="L537" s="67" t="n">
        <v>2</v>
      </c>
      <c r="M537" s="67" t="n">
        <v>20</v>
      </c>
      <c r="N537" s="67" t="n">
        <v>20</v>
      </c>
      <c r="O537" s="67" t="n">
        <v>0</v>
      </c>
      <c r="P537" s="67" t="n">
        <v>0</v>
      </c>
      <c r="Q537" s="66" t="inlineStr">
        <is>
          <t>Rollout</t>
        </is>
      </c>
      <c r="Z537" s="66">
        <f>"LARGE|"&amp;A537</f>
        <v/>
      </c>
      <c r="AA537" s="66">
        <f>Q537&amp;"|"&amp;Z537</f>
        <v/>
      </c>
    </row>
    <row r="538" ht="15" customHeight="1" s="39">
      <c r="A538" s="67" t="inlineStr">
        <is>
          <t>SD</t>
        </is>
      </c>
      <c r="B538" s="67" t="n">
        <v>245</v>
      </c>
      <c r="C538" s="67" t="n">
        <v>10</v>
      </c>
      <c r="D538" s="67" t="n">
        <v>5</v>
      </c>
      <c r="E538" s="67" t="n">
        <v>5</v>
      </c>
      <c r="F538" s="67" t="n">
        <v>5</v>
      </c>
      <c r="G538" s="67" t="n">
        <v>2</v>
      </c>
      <c r="H538" s="67" t="n">
        <v>5</v>
      </c>
      <c r="I538" s="67" t="n">
        <v>28</v>
      </c>
      <c r="J538" s="67" t="n">
        <v>28</v>
      </c>
      <c r="K538" s="67" t="n">
        <v>3</v>
      </c>
      <c r="L538" s="67" t="n">
        <v>2</v>
      </c>
      <c r="M538" s="67" t="n">
        <v>15</v>
      </c>
      <c r="N538" s="67" t="n">
        <v>15</v>
      </c>
      <c r="O538" s="67" t="n">
        <v>0</v>
      </c>
      <c r="P538" s="67" t="n">
        <v>0</v>
      </c>
      <c r="Q538" s="66" t="inlineStr">
        <is>
          <t>Rollout</t>
        </is>
      </c>
      <c r="Z538" s="66">
        <f>"LARGE|"&amp;A538</f>
        <v/>
      </c>
      <c r="AA538" s="66">
        <f>Q538&amp;"|"&amp;Z538</f>
        <v/>
      </c>
    </row>
    <row r="539" ht="15" customHeight="1" s="39">
      <c r="A539" s="67" t="inlineStr">
        <is>
          <t>QM</t>
        </is>
      </c>
      <c r="B539" s="67" t="n">
        <v>245</v>
      </c>
      <c r="C539" s="67" t="n">
        <v>8</v>
      </c>
      <c r="D539" s="67" t="n">
        <v>5</v>
      </c>
      <c r="E539" s="67" t="n">
        <v>4</v>
      </c>
      <c r="F539" s="67" t="n">
        <v>5</v>
      </c>
      <c r="G539" s="67" t="n">
        <v>1</v>
      </c>
      <c r="H539" s="67" t="n">
        <v>6</v>
      </c>
      <c r="I539" s="67" t="n">
        <v>26</v>
      </c>
      <c r="J539" s="67" t="n">
        <v>26</v>
      </c>
      <c r="K539" s="67" t="n">
        <v>2</v>
      </c>
      <c r="L539" s="67" t="n">
        <v>1</v>
      </c>
      <c r="M539" s="67" t="n">
        <v>15</v>
      </c>
      <c r="N539" s="67" t="n">
        <v>15</v>
      </c>
      <c r="O539" s="67" t="n">
        <v>0</v>
      </c>
      <c r="P539" s="67" t="n">
        <v>0</v>
      </c>
      <c r="Q539" s="66" t="inlineStr">
        <is>
          <t>Rollout</t>
        </is>
      </c>
      <c r="Z539" s="66">
        <f>"LARGE|"&amp;A539</f>
        <v/>
      </c>
      <c r="AA539" s="66">
        <f>Q539&amp;"|"&amp;Z539</f>
        <v/>
      </c>
    </row>
    <row r="540" ht="15" customHeight="1" s="39">
      <c r="A540" s="67" t="inlineStr">
        <is>
          <t>PM</t>
        </is>
      </c>
      <c r="B540" s="67" t="n">
        <v>196</v>
      </c>
      <c r="C540" s="67" t="n">
        <v>8</v>
      </c>
      <c r="D540" s="67" t="n">
        <v>3</v>
      </c>
      <c r="E540" s="67" t="n">
        <v>3</v>
      </c>
      <c r="F540" s="67" t="n">
        <v>5</v>
      </c>
      <c r="G540" s="67" t="n">
        <v>1</v>
      </c>
      <c r="H540" s="67" t="n">
        <v>4</v>
      </c>
      <c r="I540" s="67" t="n">
        <v>16</v>
      </c>
      <c r="J540" s="67" t="n">
        <v>16</v>
      </c>
      <c r="K540" s="67" t="n">
        <v>2</v>
      </c>
      <c r="L540" s="67" t="n">
        <v>1</v>
      </c>
      <c r="M540" s="67" t="n">
        <v>10</v>
      </c>
      <c r="N540" s="67" t="n">
        <v>10</v>
      </c>
      <c r="O540" s="67" t="n">
        <v>0</v>
      </c>
      <c r="P540" s="67" t="n">
        <v>0</v>
      </c>
      <c r="Q540" s="66" t="inlineStr">
        <is>
          <t>Rollout</t>
        </is>
      </c>
      <c r="Z540" s="66">
        <f>"LARGE|"&amp;A540</f>
        <v/>
      </c>
      <c r="AA540" s="66">
        <f>Q540&amp;"|"&amp;Z540</f>
        <v/>
      </c>
    </row>
    <row r="541" ht="15" customHeight="1" s="39">
      <c r="A541" s="67" t="inlineStr">
        <is>
          <t>PS</t>
        </is>
      </c>
      <c r="B541" s="67" t="n">
        <v>196</v>
      </c>
      <c r="C541" s="67" t="n">
        <v>8</v>
      </c>
      <c r="D541" s="67" t="n">
        <v>3</v>
      </c>
      <c r="E541" s="67" t="n">
        <v>3</v>
      </c>
      <c r="F541" s="67" t="n">
        <v>5</v>
      </c>
      <c r="G541" s="67" t="n">
        <v>1</v>
      </c>
      <c r="H541" s="67" t="n">
        <v>4</v>
      </c>
      <c r="I541" s="67" t="n">
        <v>16</v>
      </c>
      <c r="J541" s="67" t="n">
        <v>16</v>
      </c>
      <c r="K541" s="67" t="n">
        <v>2</v>
      </c>
      <c r="L541" s="67" t="n">
        <v>1</v>
      </c>
      <c r="M541" s="67" t="n">
        <v>10</v>
      </c>
      <c r="N541" s="67" t="n">
        <v>10</v>
      </c>
      <c r="O541" s="67" t="n">
        <v>0</v>
      </c>
      <c r="P541" s="67" t="n">
        <v>0</v>
      </c>
      <c r="Q541" s="66" t="inlineStr">
        <is>
          <t>Rollout</t>
        </is>
      </c>
      <c r="Z541" s="66">
        <f>"LARGE|"&amp;A541</f>
        <v/>
      </c>
      <c r="AA541" s="66">
        <f>Q541&amp;"|"&amp;Z541</f>
        <v/>
      </c>
    </row>
    <row r="542" ht="15" customHeight="1" s="39">
      <c r="A542" s="67" t="inlineStr">
        <is>
          <t>MII/DM</t>
        </is>
      </c>
      <c r="B542" s="67" t="n">
        <v>0</v>
      </c>
      <c r="C542" s="67" t="n">
        <v>0</v>
      </c>
      <c r="D542" s="67" t="n">
        <v>0</v>
      </c>
      <c r="E542" s="67" t="n">
        <v>0</v>
      </c>
      <c r="F542" s="67" t="n">
        <v>0</v>
      </c>
      <c r="G542" s="67" t="n">
        <v>0</v>
      </c>
      <c r="H542" s="67" t="n">
        <v>0</v>
      </c>
      <c r="I542" s="67" t="n">
        <v>0</v>
      </c>
      <c r="J542" s="67" t="n">
        <v>0</v>
      </c>
      <c r="K542" s="67" t="n">
        <v>0</v>
      </c>
      <c r="L542" s="67" t="n">
        <v>0</v>
      </c>
      <c r="M542" s="67" t="n">
        <v>0</v>
      </c>
      <c r="N542" s="67" t="n">
        <v>0</v>
      </c>
      <c r="O542" s="67" t="n">
        <v>0</v>
      </c>
      <c r="P542" s="67" t="n">
        <v>0</v>
      </c>
      <c r="Q542" s="66" t="inlineStr">
        <is>
          <t>Rollout</t>
        </is>
      </c>
      <c r="Z542" s="66">
        <f>"LARGE|"&amp;A542</f>
        <v/>
      </c>
      <c r="AA542" s="66">
        <f>Q542&amp;"|"&amp;Z542</f>
        <v/>
      </c>
    </row>
    <row r="543" ht="15" customHeight="1" s="39">
      <c r="A543" s="67" t="inlineStr">
        <is>
          <t>PM Mobility</t>
        </is>
      </c>
      <c r="B543" s="67" t="n">
        <v>0</v>
      </c>
      <c r="C543" s="67" t="n">
        <v>0</v>
      </c>
      <c r="D543" s="67" t="n">
        <v>0</v>
      </c>
      <c r="E543" s="67" t="n">
        <v>0</v>
      </c>
      <c r="F543" s="67" t="n">
        <v>0</v>
      </c>
      <c r="G543" s="67" t="n">
        <v>0</v>
      </c>
      <c r="H543" s="67" t="n">
        <v>0</v>
      </c>
      <c r="I543" s="67" t="n">
        <v>0</v>
      </c>
      <c r="J543" s="67" t="n">
        <v>0</v>
      </c>
      <c r="K543" s="67" t="n">
        <v>0</v>
      </c>
      <c r="L543" s="67" t="n">
        <v>0</v>
      </c>
      <c r="M543" s="67" t="n">
        <v>0</v>
      </c>
      <c r="N543" s="67" t="n">
        <v>0</v>
      </c>
      <c r="O543" s="67" t="n">
        <v>0</v>
      </c>
      <c r="P543" s="67" t="n">
        <v>0</v>
      </c>
      <c r="Q543" s="66" t="inlineStr">
        <is>
          <t>Rollout</t>
        </is>
      </c>
      <c r="Z543" s="66">
        <f>"LARGE|"&amp;A543</f>
        <v/>
      </c>
      <c r="AA543" s="66">
        <f>Q543&amp;"|"&amp;Z543</f>
        <v/>
      </c>
    </row>
    <row r="544" ht="15" customHeight="1" s="39">
      <c r="A544" s="67" t="inlineStr">
        <is>
          <t>Basic EWM</t>
        </is>
      </c>
      <c r="B544" s="67" t="n">
        <v>245</v>
      </c>
      <c r="C544" s="67" t="n">
        <v>10</v>
      </c>
      <c r="D544" s="67" t="n">
        <v>5</v>
      </c>
      <c r="E544" s="67" t="n">
        <v>5</v>
      </c>
      <c r="F544" s="67" t="n">
        <v>5</v>
      </c>
      <c r="G544" s="67" t="n">
        <v>2</v>
      </c>
      <c r="H544" s="67" t="n">
        <v>4</v>
      </c>
      <c r="I544" s="67" t="n">
        <v>28</v>
      </c>
      <c r="J544" s="67" t="n">
        <v>28</v>
      </c>
      <c r="K544" s="67" t="n">
        <v>2</v>
      </c>
      <c r="L544" s="67" t="n">
        <v>2</v>
      </c>
      <c r="M544" s="67" t="n">
        <v>10</v>
      </c>
      <c r="N544" s="67" t="n">
        <v>10</v>
      </c>
      <c r="O544" s="67" t="n">
        <v>0</v>
      </c>
      <c r="P544" s="67" t="n">
        <v>0</v>
      </c>
      <c r="Q544" s="66" t="inlineStr">
        <is>
          <t>Rollout</t>
        </is>
      </c>
      <c r="Z544" s="66">
        <f>"LARGE|"&amp;A544</f>
        <v/>
      </c>
      <c r="AA544" s="66">
        <f>Q544&amp;"|"&amp;Z544</f>
        <v/>
      </c>
    </row>
    <row r="545" ht="15" customHeight="1" s="39">
      <c r="A545" s="67" t="inlineStr">
        <is>
          <t>Advanced EWM</t>
        </is>
      </c>
      <c r="B545" s="67" t="n">
        <v>0</v>
      </c>
      <c r="C545" s="67" t="n">
        <v>0</v>
      </c>
      <c r="D545" s="67" t="n">
        <v>0</v>
      </c>
      <c r="E545" s="67" t="n">
        <v>0</v>
      </c>
      <c r="F545" s="67" t="n">
        <v>0</v>
      </c>
      <c r="G545" s="67" t="n">
        <v>0</v>
      </c>
      <c r="H545" s="67" t="n">
        <v>0</v>
      </c>
      <c r="I545" s="67" t="n">
        <v>0</v>
      </c>
      <c r="J545" s="67" t="n">
        <v>0</v>
      </c>
      <c r="K545" s="67" t="n">
        <v>0</v>
      </c>
      <c r="L545" s="67" t="n">
        <v>0</v>
      </c>
      <c r="M545" s="67" t="n">
        <v>0</v>
      </c>
      <c r="N545" s="67" t="n">
        <v>0</v>
      </c>
      <c r="O545" s="67" t="n">
        <v>0</v>
      </c>
      <c r="P545" s="67" t="n">
        <v>0</v>
      </c>
      <c r="Q545" s="66" t="inlineStr">
        <is>
          <t>Rollout</t>
        </is>
      </c>
      <c r="Z545" s="66">
        <f>"LARGE|"&amp;A545</f>
        <v/>
      </c>
      <c r="AA545" s="66">
        <f>Q545&amp;"|"&amp;Z545</f>
        <v/>
      </c>
    </row>
    <row r="546" ht="15" customHeight="1" s="39">
      <c r="A546" s="67" t="inlineStr">
        <is>
          <t>TM</t>
        </is>
      </c>
      <c r="B546" s="67" t="n">
        <v>147</v>
      </c>
      <c r="C546" s="67" t="n">
        <v>5</v>
      </c>
      <c r="D546" s="67" t="n">
        <v>4</v>
      </c>
      <c r="E546" s="67" t="n">
        <v>3</v>
      </c>
      <c r="F546" s="67" t="n">
        <v>6</v>
      </c>
      <c r="G546" s="67" t="n">
        <v>2</v>
      </c>
      <c r="H546" s="67" t="n">
        <v>4</v>
      </c>
      <c r="I546" s="67" t="n">
        <v>15</v>
      </c>
      <c r="J546" s="67" t="n">
        <v>15</v>
      </c>
      <c r="K546" s="67" t="n">
        <v>2</v>
      </c>
      <c r="L546" s="67" t="n">
        <v>2</v>
      </c>
      <c r="M546" s="67" t="n">
        <v>6</v>
      </c>
      <c r="N546" s="67" t="n">
        <v>8</v>
      </c>
      <c r="O546" s="67" t="n">
        <v>0</v>
      </c>
      <c r="P546" s="67" t="n">
        <v>0</v>
      </c>
      <c r="Q546" s="66" t="inlineStr">
        <is>
          <t>Rollout</t>
        </is>
      </c>
      <c r="Z546" s="66">
        <f>"LARGE|"&amp;A546</f>
        <v/>
      </c>
      <c r="AA546" s="66">
        <f>Q546&amp;"|"&amp;Z546</f>
        <v/>
      </c>
    </row>
    <row r="547" ht="15" customHeight="1" s="39">
      <c r="A547" s="67" t="inlineStr">
        <is>
          <t>PPDS</t>
        </is>
      </c>
      <c r="B547" s="67" t="n">
        <v>147</v>
      </c>
      <c r="C547" s="67" t="n">
        <v>4</v>
      </c>
      <c r="D547" s="67" t="n">
        <v>3</v>
      </c>
      <c r="E547" s="67" t="n">
        <v>5</v>
      </c>
      <c r="F547" s="67" t="n">
        <v>5</v>
      </c>
      <c r="G547" s="67" t="n">
        <v>1</v>
      </c>
      <c r="H547" s="67" t="n">
        <v>2</v>
      </c>
      <c r="I547" s="67" t="n">
        <v>15</v>
      </c>
      <c r="J547" s="67" t="n">
        <v>15</v>
      </c>
      <c r="K547" s="67" t="n">
        <v>1</v>
      </c>
      <c r="L547" s="67" t="n">
        <v>1</v>
      </c>
      <c r="M547" s="67" t="n">
        <v>3</v>
      </c>
      <c r="N547" s="67" t="n">
        <v>3</v>
      </c>
      <c r="O547" s="67" t="n">
        <v>0</v>
      </c>
      <c r="P547" s="67" t="n">
        <v>0</v>
      </c>
      <c r="Q547" s="66" t="inlineStr">
        <is>
          <t>Rollout</t>
        </is>
      </c>
      <c r="Z547" s="66">
        <f>"LARGE|"&amp;A547</f>
        <v/>
      </c>
      <c r="AA547" s="66">
        <f>Q547&amp;"|"&amp;Z547</f>
        <v/>
      </c>
    </row>
    <row r="548" ht="15" customHeight="1" s="39">
      <c r="A548" s="67" t="inlineStr">
        <is>
          <t>ABAP</t>
        </is>
      </c>
      <c r="B548" s="67" t="n">
        <v>0</v>
      </c>
      <c r="C548" s="67" t="n">
        <v>0</v>
      </c>
      <c r="D548" s="67" t="n">
        <v>0</v>
      </c>
      <c r="E548" s="67" t="n">
        <v>0</v>
      </c>
      <c r="F548" s="67" t="n">
        <v>0</v>
      </c>
      <c r="G548" s="67" t="n">
        <v>0</v>
      </c>
      <c r="H548" s="67" t="n">
        <v>0</v>
      </c>
      <c r="I548" s="67" t="n">
        <v>0</v>
      </c>
      <c r="J548" s="67" t="n">
        <v>0</v>
      </c>
      <c r="K548" s="67" t="n">
        <v>0</v>
      </c>
      <c r="L548" s="67" t="n">
        <v>0</v>
      </c>
      <c r="M548" s="67" t="n">
        <v>0</v>
      </c>
      <c r="N548" s="67" t="n">
        <v>0</v>
      </c>
      <c r="O548" s="67" t="n">
        <v>0</v>
      </c>
      <c r="P548" s="67" t="n">
        <v>0</v>
      </c>
      <c r="Q548" s="66" t="inlineStr">
        <is>
          <t>Rollout</t>
        </is>
      </c>
      <c r="Z548" s="66">
        <f>"LARGE|"&amp;A548</f>
        <v/>
      </c>
      <c r="AA548" s="66">
        <f>Q548&amp;"|"&amp;Z548</f>
        <v/>
      </c>
    </row>
    <row r="549" ht="15" customHeight="1" s="39">
      <c r="A549" s="67" t="inlineStr">
        <is>
          <t>BASIS</t>
        </is>
      </c>
      <c r="B549" s="67" t="n">
        <v>0</v>
      </c>
      <c r="C549" s="67" t="n">
        <v>0</v>
      </c>
      <c r="D549" s="67" t="n">
        <v>0</v>
      </c>
      <c r="E549" s="67" t="n">
        <v>0</v>
      </c>
      <c r="F549" s="67" t="n">
        <v>0</v>
      </c>
      <c r="G549" s="67" t="n">
        <v>0</v>
      </c>
      <c r="H549" s="67" t="n">
        <v>0</v>
      </c>
      <c r="I549" s="67" t="n">
        <v>0</v>
      </c>
      <c r="J549" s="67" t="n">
        <v>0</v>
      </c>
      <c r="K549" s="67" t="n">
        <v>0</v>
      </c>
      <c r="L549" s="67" t="n">
        <v>0</v>
      </c>
      <c r="M549" s="67" t="n">
        <v>0</v>
      </c>
      <c r="N549" s="67" t="n">
        <v>0</v>
      </c>
      <c r="O549" s="67" t="n">
        <v>0</v>
      </c>
      <c r="P549" s="67" t="n">
        <v>0</v>
      </c>
      <c r="Q549" s="66" t="inlineStr">
        <is>
          <t>Rollout</t>
        </is>
      </c>
      <c r="Z549" s="66">
        <f>"LARGE|"&amp;A549</f>
        <v/>
      </c>
      <c r="AA549" s="66">
        <f>Q549&amp;"|"&amp;Z549</f>
        <v/>
      </c>
    </row>
    <row r="550" ht="15" customHeight="1" s="39">
      <c r="A550" s="67" t="inlineStr">
        <is>
          <t>E-Fatura/Arşiv</t>
        </is>
      </c>
      <c r="B550" s="67" t="n">
        <v>5</v>
      </c>
      <c r="C550" s="67" t="n">
        <v>2</v>
      </c>
      <c r="D550" s="67" t="n">
        <v>0</v>
      </c>
      <c r="E550" s="67" t="n">
        <v>2</v>
      </c>
      <c r="F550" s="67" t="n">
        <v>2</v>
      </c>
      <c r="G550" s="67" t="n">
        <v>1</v>
      </c>
      <c r="H550" s="67" t="n">
        <v>1</v>
      </c>
      <c r="I550" s="67" t="n">
        <v>3</v>
      </c>
      <c r="J550" s="67" t="n">
        <v>3</v>
      </c>
      <c r="K550" s="67" t="n">
        <v>0</v>
      </c>
      <c r="L550" s="67" t="n">
        <v>1</v>
      </c>
      <c r="M550" s="67" t="n">
        <v>1</v>
      </c>
      <c r="N550" s="67" t="n">
        <v>0</v>
      </c>
      <c r="O550" s="67" t="n">
        <v>0</v>
      </c>
      <c r="P550" s="67" t="n">
        <v>0</v>
      </c>
      <c r="Q550" s="66" t="inlineStr">
        <is>
          <t>Rollout</t>
        </is>
      </c>
      <c r="Z550" s="66">
        <f>"LARGE|"&amp;A550</f>
        <v/>
      </c>
      <c r="AA550" s="66">
        <f>Q550&amp;"|"&amp;Z550</f>
        <v/>
      </c>
    </row>
    <row r="551" ht="15" customHeight="1" s="39">
      <c r="A551" s="67" t="inlineStr">
        <is>
          <t>E-İrsaliye</t>
        </is>
      </c>
      <c r="B551" s="67" t="n">
        <v>5</v>
      </c>
      <c r="C551" s="67" t="n">
        <v>2</v>
      </c>
      <c r="D551" s="67" t="n">
        <v>0</v>
      </c>
      <c r="E551" s="67" t="n">
        <v>2</v>
      </c>
      <c r="F551" s="67" t="n">
        <v>2</v>
      </c>
      <c r="G551" s="67" t="n">
        <v>1</v>
      </c>
      <c r="H551" s="67" t="n">
        <v>1</v>
      </c>
      <c r="I551" s="67" t="n">
        <v>3</v>
      </c>
      <c r="J551" s="67" t="n">
        <v>3</v>
      </c>
      <c r="K551" s="67" t="n">
        <v>0</v>
      </c>
      <c r="L551" s="67" t="n">
        <v>1</v>
      </c>
      <c r="M551" s="67" t="n">
        <v>1</v>
      </c>
      <c r="N551" s="67" t="n">
        <v>0</v>
      </c>
      <c r="O551" s="67" t="n">
        <v>0</v>
      </c>
      <c r="P551" s="67" t="n">
        <v>0</v>
      </c>
      <c r="Q551" s="66" t="inlineStr">
        <is>
          <t>Rollout</t>
        </is>
      </c>
      <c r="Z551" s="66">
        <f>"LARGE|"&amp;A551</f>
        <v/>
      </c>
      <c r="AA551" s="66">
        <f>Q551&amp;"|"&amp;Z551</f>
        <v/>
      </c>
    </row>
    <row r="552" ht="15" customHeight="1" s="39">
      <c r="A552" s="67" t="inlineStr">
        <is>
          <t>E-Defter</t>
        </is>
      </c>
      <c r="B552" s="67" t="n">
        <v>3</v>
      </c>
      <c r="C552" s="67" t="n">
        <v>2</v>
      </c>
      <c r="D552" s="67" t="n">
        <v>0</v>
      </c>
      <c r="E552" s="67" t="n">
        <v>3</v>
      </c>
      <c r="F552" s="67" t="n">
        <v>3</v>
      </c>
      <c r="G552" s="67" t="n">
        <v>1</v>
      </c>
      <c r="H552" s="67" t="n">
        <v>1</v>
      </c>
      <c r="I552" s="67" t="n">
        <v>0</v>
      </c>
      <c r="J552" s="67" t="n">
        <v>0</v>
      </c>
      <c r="K552" s="67" t="n">
        <v>0</v>
      </c>
      <c r="L552" s="67" t="n">
        <v>3</v>
      </c>
      <c r="M552" s="67" t="n">
        <v>1</v>
      </c>
      <c r="N552" s="67" t="n">
        <v>0</v>
      </c>
      <c r="O552" s="67" t="n">
        <v>0</v>
      </c>
      <c r="P552" s="67" t="n">
        <v>0</v>
      </c>
      <c r="Q552" s="66" t="inlineStr">
        <is>
          <t>Rollout</t>
        </is>
      </c>
      <c r="Z552" s="66">
        <f>"LARGE|"&amp;A552</f>
        <v/>
      </c>
      <c r="AA552" s="66">
        <f>Q552&amp;"|"&amp;Z552</f>
        <v/>
      </c>
    </row>
    <row r="553" ht="15" customHeight="1" s="39">
      <c r="A553" s="67" t="inlineStr">
        <is>
          <t>E-Hesap Özeti</t>
        </is>
      </c>
      <c r="B553" s="67" t="n">
        <v>5</v>
      </c>
      <c r="C553" s="67" t="n">
        <v>3</v>
      </c>
      <c r="D553" s="67" t="n">
        <v>0</v>
      </c>
      <c r="E553" s="67" t="n">
        <v>4</v>
      </c>
      <c r="F553" s="67" t="n">
        <v>3</v>
      </c>
      <c r="G553" s="67" t="n">
        <v>1</v>
      </c>
      <c r="H553" s="67" t="n">
        <v>0</v>
      </c>
      <c r="I553" s="67" t="n">
        <v>3</v>
      </c>
      <c r="J553" s="67" t="n">
        <v>3</v>
      </c>
      <c r="K553" s="67" t="n">
        <v>0</v>
      </c>
      <c r="L553" s="67" t="n">
        <v>2</v>
      </c>
      <c r="M553" s="67" t="n">
        <v>1</v>
      </c>
      <c r="N553" s="67" t="n">
        <v>0</v>
      </c>
      <c r="O553" s="67" t="n">
        <v>0</v>
      </c>
      <c r="P553" s="67" t="n">
        <v>0</v>
      </c>
      <c r="Q553" s="66" t="inlineStr">
        <is>
          <t>Rollout</t>
        </is>
      </c>
      <c r="Z553" s="66">
        <f>"LARGE|"&amp;A553</f>
        <v/>
      </c>
      <c r="AA553" s="66">
        <f>Q553&amp;"|"&amp;Z553</f>
        <v/>
      </c>
    </row>
    <row r="554" ht="15" customHeight="1" s="39">
      <c r="A554" s="67" t="inlineStr">
        <is>
          <t>E-Ödeme</t>
        </is>
      </c>
      <c r="B554" s="67" t="n">
        <v>5</v>
      </c>
      <c r="C554" s="67" t="n">
        <v>3</v>
      </c>
      <c r="D554" s="67" t="n">
        <v>0</v>
      </c>
      <c r="E554" s="67" t="n">
        <v>4</v>
      </c>
      <c r="F554" s="67" t="n">
        <v>3</v>
      </c>
      <c r="G554" s="67" t="n">
        <v>1</v>
      </c>
      <c r="H554" s="67" t="n">
        <v>0</v>
      </c>
      <c r="I554" s="67" t="n">
        <v>3</v>
      </c>
      <c r="J554" s="67" t="n">
        <v>3</v>
      </c>
      <c r="K554" s="67" t="n">
        <v>0</v>
      </c>
      <c r="L554" s="67" t="n">
        <v>2</v>
      </c>
      <c r="M554" s="67" t="n">
        <v>1</v>
      </c>
      <c r="N554" s="67" t="n">
        <v>0</v>
      </c>
      <c r="O554" s="67" t="n">
        <v>0</v>
      </c>
      <c r="P554" s="67" t="n">
        <v>0</v>
      </c>
      <c r="Q554" s="66" t="inlineStr">
        <is>
          <t>Rollout</t>
        </is>
      </c>
      <c r="Z554" s="66">
        <f>"LARGE|"&amp;A554</f>
        <v/>
      </c>
      <c r="AA554" s="66">
        <f>Q554&amp;"|"&amp;Z554</f>
        <v/>
      </c>
    </row>
    <row r="555" ht="15" customHeight="1" s="39">
      <c r="A555" s="67" t="inlineStr">
        <is>
          <t>E-Mutabakat</t>
        </is>
      </c>
      <c r="B555" s="67" t="n">
        <v>5</v>
      </c>
      <c r="C555" s="67" t="n">
        <v>3</v>
      </c>
      <c r="D555" s="67" t="n">
        <v>0</v>
      </c>
      <c r="E555" s="67" t="n">
        <v>3</v>
      </c>
      <c r="F555" s="67" t="n">
        <v>3</v>
      </c>
      <c r="G555" s="67" t="n">
        <v>1</v>
      </c>
      <c r="H555" s="67" t="n">
        <v>0</v>
      </c>
      <c r="I555" s="67" t="n">
        <v>3</v>
      </c>
      <c r="J555" s="67" t="n">
        <v>3</v>
      </c>
      <c r="K555" s="67" t="n">
        <v>0</v>
      </c>
      <c r="L555" s="67" t="n">
        <v>2</v>
      </c>
      <c r="M555" s="67" t="n">
        <v>1</v>
      </c>
      <c r="N555" s="67" t="n">
        <v>0</v>
      </c>
      <c r="O555" s="67" t="n">
        <v>0</v>
      </c>
      <c r="P555" s="67" t="n">
        <v>0</v>
      </c>
      <c r="Q555" s="66" t="inlineStr">
        <is>
          <t>Rollout</t>
        </is>
      </c>
      <c r="Z555" s="66">
        <f>"LARGE|"&amp;A555</f>
        <v/>
      </c>
      <c r="AA555" s="66">
        <f>Q555&amp;"|"&amp;Z555</f>
        <v/>
      </c>
    </row>
    <row r="556" ht="15" customHeight="1" s="39">
      <c r="A556" s="67" t="inlineStr">
        <is>
          <t>E-Beyanname</t>
        </is>
      </c>
      <c r="B556" s="67" t="n">
        <v>6</v>
      </c>
      <c r="C556" s="67" t="n">
        <v>3</v>
      </c>
      <c r="D556" s="67" t="n">
        <v>0</v>
      </c>
      <c r="E556" s="67" t="n">
        <v>6</v>
      </c>
      <c r="F556" s="67" t="n">
        <v>3</v>
      </c>
      <c r="G556" s="67" t="n">
        <v>2</v>
      </c>
      <c r="H556" s="67" t="n">
        <v>0</v>
      </c>
      <c r="I556" s="67" t="n">
        <v>0</v>
      </c>
      <c r="J556" s="67" t="n">
        <v>0</v>
      </c>
      <c r="K556" s="67" t="n">
        <v>0</v>
      </c>
      <c r="L556" s="67" t="n">
        <v>4</v>
      </c>
      <c r="M556" s="67" t="n">
        <v>2</v>
      </c>
      <c r="N556" s="67" t="n">
        <v>0</v>
      </c>
      <c r="O556" s="67" t="n">
        <v>0</v>
      </c>
      <c r="P556" s="67" t="n">
        <v>0</v>
      </c>
      <c r="Q556" s="66" t="inlineStr">
        <is>
          <t>Rollout</t>
        </is>
      </c>
      <c r="Z556" s="66">
        <f>"LARGE|"&amp;A556</f>
        <v/>
      </c>
      <c r="AA556" s="66">
        <f>Q556&amp;"|"&amp;Z556</f>
        <v/>
      </c>
    </row>
    <row r="557" ht="15" customHeight="1" s="39">
      <c r="A557" s="67" t="inlineStr">
        <is>
          <t>Gelen Fatura Otomasyon</t>
        </is>
      </c>
      <c r="B557" s="67" t="n">
        <v>5</v>
      </c>
      <c r="C557" s="67" t="n">
        <v>2</v>
      </c>
      <c r="D557" s="67" t="n">
        <v>0</v>
      </c>
      <c r="E557" s="67" t="n">
        <v>3</v>
      </c>
      <c r="F557" s="67" t="n">
        <v>4</v>
      </c>
      <c r="G557" s="67" t="n">
        <v>2</v>
      </c>
      <c r="H557" s="67" t="n">
        <v>0</v>
      </c>
      <c r="I557" s="67" t="n">
        <v>2</v>
      </c>
      <c r="J557" s="67" t="n">
        <v>2</v>
      </c>
      <c r="K557" s="67" t="n">
        <v>0</v>
      </c>
      <c r="L557" s="67" t="n">
        <v>4</v>
      </c>
      <c r="M557" s="67" t="n">
        <v>1</v>
      </c>
      <c r="N557" s="67" t="n">
        <v>0</v>
      </c>
      <c r="O557" s="67" t="n">
        <v>0</v>
      </c>
      <c r="P557" s="67" t="n">
        <v>0</v>
      </c>
      <c r="Q557" s="66" t="inlineStr">
        <is>
          <t>Rollout</t>
        </is>
      </c>
      <c r="Z557" s="66">
        <f>"LARGE|"&amp;A557</f>
        <v/>
      </c>
      <c r="AA557" s="66">
        <f>Q557&amp;"|"&amp;Z557</f>
        <v/>
      </c>
    </row>
    <row r="558" ht="15" customHeight="1" s="39">
      <c r="A558" s="67" t="inlineStr">
        <is>
          <t>GLASSWING</t>
        </is>
      </c>
      <c r="B558" s="67" t="n">
        <v>60</v>
      </c>
      <c r="C558" s="67" t="n">
        <v>6</v>
      </c>
      <c r="D558" s="67" t="n">
        <v>2</v>
      </c>
      <c r="E558" s="67" t="n">
        <v>15</v>
      </c>
      <c r="F558" s="67" t="n">
        <v>10</v>
      </c>
      <c r="G558" s="67" t="n">
        <v>2</v>
      </c>
      <c r="H558" s="67" t="n">
        <v>0</v>
      </c>
      <c r="I558" s="67" t="n">
        <v>25</v>
      </c>
      <c r="J558" s="67" t="n">
        <v>25</v>
      </c>
      <c r="K558" s="67" t="n">
        <v>13</v>
      </c>
      <c r="L558" s="67" t="n">
        <v>2</v>
      </c>
      <c r="M558" s="67" t="n">
        <v>5</v>
      </c>
      <c r="N558" s="67" t="n">
        <v>10</v>
      </c>
      <c r="O558" s="67" t="n">
        <v>0</v>
      </c>
      <c r="P558" s="67" t="n">
        <v>0</v>
      </c>
      <c r="Q558" s="66" t="inlineStr">
        <is>
          <t>Rollout</t>
        </is>
      </c>
      <c r="Z558" s="66">
        <f>"LARGE|"&amp;A558</f>
        <v/>
      </c>
      <c r="AA558" s="66">
        <f>Q558&amp;"|"&amp;Z558</f>
        <v/>
      </c>
    </row>
    <row r="559" ht="15" customHeight="1" s="39">
      <c r="A559" s="67" t="inlineStr">
        <is>
          <t>COMMODITY</t>
        </is>
      </c>
      <c r="B559" s="67" t="n">
        <v>100</v>
      </c>
      <c r="C559" s="67" t="n">
        <v>9</v>
      </c>
      <c r="D559" s="67" t="n">
        <v>3</v>
      </c>
      <c r="E559" s="67" t="n">
        <v>15</v>
      </c>
      <c r="F559" s="67" t="n">
        <v>15</v>
      </c>
      <c r="G559" s="67" t="n">
        <v>2</v>
      </c>
      <c r="H559" s="67" t="n">
        <v>1</v>
      </c>
      <c r="I559" s="67" t="n">
        <v>30</v>
      </c>
      <c r="J559" s="67" t="n">
        <v>30</v>
      </c>
      <c r="K559" s="67" t="n">
        <v>10</v>
      </c>
      <c r="L559" s="67" t="n">
        <v>2</v>
      </c>
      <c r="M559" s="67" t="n">
        <v>8</v>
      </c>
      <c r="N559" s="67" t="n">
        <v>15</v>
      </c>
      <c r="O559" s="67" t="n">
        <v>0</v>
      </c>
      <c r="P559" s="67" t="n">
        <v>0</v>
      </c>
      <c r="Q559" s="66" t="inlineStr">
        <is>
          <t>Rollout</t>
        </is>
      </c>
      <c r="Z559" s="66">
        <f>"LARGE|"&amp;A559</f>
        <v/>
      </c>
      <c r="AA559" s="66">
        <f>Q559&amp;"|"&amp;Z559</f>
        <v/>
      </c>
    </row>
    <row r="560" ht="15" customHeight="1" s="39">
      <c r="A560" s="67" t="inlineStr">
        <is>
          <t>Dış Ticaret Çözümü</t>
        </is>
      </c>
      <c r="B560" s="67" t="n">
        <v>0</v>
      </c>
      <c r="C560" s="67" t="n">
        <v>0</v>
      </c>
      <c r="D560" s="67" t="n">
        <v>0</v>
      </c>
      <c r="E560" s="67" t="n">
        <v>0</v>
      </c>
      <c r="F560" s="67" t="n">
        <v>0</v>
      </c>
      <c r="G560" s="67" t="n">
        <v>0</v>
      </c>
      <c r="H560" s="67" t="n">
        <v>0</v>
      </c>
      <c r="I560" s="67" t="n">
        <v>0</v>
      </c>
      <c r="J560" s="67" t="n">
        <v>0</v>
      </c>
      <c r="K560" s="67" t="n">
        <v>0</v>
      </c>
      <c r="L560" s="67" t="n">
        <v>0</v>
      </c>
      <c r="M560" s="67" t="n">
        <v>0</v>
      </c>
      <c r="N560" s="67" t="n">
        <v>0</v>
      </c>
      <c r="O560" s="67" t="n">
        <v>0</v>
      </c>
      <c r="P560" s="67" t="n">
        <v>0</v>
      </c>
      <c r="Q560" s="66" t="inlineStr">
        <is>
          <t>Rollout</t>
        </is>
      </c>
      <c r="Z560" s="66">
        <f>"LARGE|"&amp;A560</f>
        <v/>
      </c>
      <c r="AA560" s="66">
        <f>Q560&amp;"|"&amp;Z560</f>
        <v/>
      </c>
    </row>
    <row r="561" ht="15" customHeight="1" s="39">
      <c r="A561" s="67" t="inlineStr">
        <is>
          <t>Seyahat ve Masraf Yönetimi</t>
        </is>
      </c>
      <c r="B561" s="67" t="n">
        <v>0</v>
      </c>
      <c r="C561" s="67" t="n">
        <v>0</v>
      </c>
      <c r="D561" s="67" t="n">
        <v>0</v>
      </c>
      <c r="E561" s="67" t="n">
        <v>0</v>
      </c>
      <c r="F561" s="67" t="n">
        <v>0</v>
      </c>
      <c r="G561" s="67" t="n">
        <v>0</v>
      </c>
      <c r="H561" s="67" t="n">
        <v>0</v>
      </c>
      <c r="I561" s="67" t="n">
        <v>0</v>
      </c>
      <c r="J561" s="67" t="n">
        <v>0</v>
      </c>
      <c r="K561" s="67" t="n">
        <v>0</v>
      </c>
      <c r="L561" s="67" t="n">
        <v>0</v>
      </c>
      <c r="M561" s="67" t="n">
        <v>0</v>
      </c>
      <c r="N561" s="67" t="n">
        <v>0</v>
      </c>
      <c r="O561" s="67" t="n">
        <v>0</v>
      </c>
      <c r="P561" s="67" t="n">
        <v>0</v>
      </c>
      <c r="Q561" s="66" t="inlineStr">
        <is>
          <t>Rollout</t>
        </is>
      </c>
      <c r="Z561" s="66">
        <f>"LARGE|"&amp;A561</f>
        <v/>
      </c>
      <c r="AA561" s="66">
        <f>Q561&amp;"|"&amp;Z561</f>
        <v/>
      </c>
    </row>
    <row r="562" ht="15" customHeight="1" s="39">
      <c r="A562" s="67" t="inlineStr">
        <is>
          <t>NTT Data POS</t>
        </is>
      </c>
      <c r="B562" s="67" t="n">
        <v>0</v>
      </c>
      <c r="C562" s="67" t="n">
        <v>0</v>
      </c>
      <c r="D562" s="67" t="n">
        <v>0</v>
      </c>
      <c r="E562" s="67" t="n">
        <v>0</v>
      </c>
      <c r="F562" s="67" t="n">
        <v>0</v>
      </c>
      <c r="G562" s="67" t="n">
        <v>0</v>
      </c>
      <c r="H562" s="67" t="n">
        <v>0</v>
      </c>
      <c r="I562" s="67" t="n">
        <v>0</v>
      </c>
      <c r="J562" s="67" t="n">
        <v>0</v>
      </c>
      <c r="K562" s="67" t="n">
        <v>0</v>
      </c>
      <c r="L562" s="67" t="n">
        <v>0</v>
      </c>
      <c r="M562" s="67" t="n">
        <v>0</v>
      </c>
      <c r="N562" s="67" t="n">
        <v>0</v>
      </c>
      <c r="O562" s="67" t="n">
        <v>0</v>
      </c>
      <c r="P562" s="67" t="n">
        <v>0</v>
      </c>
      <c r="Q562" s="66" t="inlineStr">
        <is>
          <t>Rollout</t>
        </is>
      </c>
      <c r="Z562" s="66">
        <f>"LARGE|"&amp;A562</f>
        <v/>
      </c>
      <c r="AA562" s="66">
        <f>Q562&amp;"|"&amp;Z562</f>
        <v/>
      </c>
    </row>
    <row r="564" ht="15" customHeight="1" s="39">
      <c r="A564" s="68" t="inlineStr">
        <is>
          <t>X-LARGE</t>
        </is>
      </c>
      <c r="Q564" s="68" t="inlineStr">
        <is>
          <t>Rollout</t>
        </is>
      </c>
    </row>
    <row r="565" ht="15" customHeight="1" s="39">
      <c r="A565" s="67">
        <f>INDEX(Translations!$D:$ZZ, MATCH(74,Translations!$A:$A,0), MATCH('Project Information'!$C$4,Translations!$D$1:$ZZ$1,0))</f>
        <v/>
      </c>
      <c r="B565" s="67">
        <f>INDEX(Translations!$D:$ZZ, MATCH(75,Translations!$A:$A,0), MATCH('Project Information'!$C$4,Translations!$D$1:$ZZ$1,0))</f>
        <v/>
      </c>
      <c r="C565" s="67">
        <f>INDEX(Translations!$D:$ZZ, MATCH(76,Translations!$A:$A,0), MATCH('Project Information'!$C$4,Translations!$D$1:$ZZ$1,0))</f>
        <v/>
      </c>
      <c r="D565" s="67">
        <f>INDEX(Translations!$D:$ZZ, MATCH(77,Translations!$A:$A,0), MATCH('Project Information'!$C$4,Translations!$D$1:$ZZ$1,0))</f>
        <v/>
      </c>
      <c r="E565" s="67">
        <f>INDEX(Translations!$D:$ZZ, MATCH(78,Translations!$A:$A,0), MATCH('Project Information'!$C$4,Translations!$D$1:$ZZ$1,0))</f>
        <v/>
      </c>
      <c r="F565" s="67">
        <f>INDEX(Translations!$D:$ZZ, MATCH(79,Translations!$A:$A,0), MATCH('Project Information'!$C$4,Translations!$D$1:$ZZ$1,0))</f>
        <v/>
      </c>
      <c r="G565" s="67">
        <f>INDEX(Translations!$D:$ZZ, MATCH(80,Translations!$A:$A,0), MATCH('Project Information'!$C$4,Translations!$D$1:$ZZ$1,0))</f>
        <v/>
      </c>
      <c r="H565" s="67">
        <f>INDEX(Translations!$D:$ZZ, MATCH(81,Translations!$A:$A,0), MATCH('Project Information'!$C$4,Translations!$D$1:$ZZ$1,0))</f>
        <v/>
      </c>
      <c r="I565" s="67">
        <f>INDEX(Translations!$D:$ZZ, MATCH(82,Translations!$A:$A,0), MATCH('Project Information'!$C$4,Translations!$D$1:$ZZ$1,0))</f>
        <v/>
      </c>
      <c r="J565" s="67">
        <f>INDEX(Translations!$D:$ZZ, MATCH(83,Translations!$A:$A,0), MATCH('Project Information'!$C$4,Translations!$D$1:$ZZ$1,0))</f>
        <v/>
      </c>
      <c r="K565" s="67">
        <f>INDEX(Translations!$D:$ZZ, MATCH(84,Translations!$A:$A,0), MATCH('Project Information'!$C$4,Translations!$D$1:$ZZ$1,0))</f>
        <v/>
      </c>
      <c r="L565" s="67">
        <f>INDEX(Translations!$D:$ZZ, MATCH(85,Translations!$A:$A,0), MATCH('Project Information'!$C$4,Translations!$D$1:$ZZ$1,0))</f>
        <v/>
      </c>
      <c r="M565" s="67">
        <f>INDEX(Translations!$D:$ZZ, MATCH(86,Translations!$A:$A,0), MATCH('Project Information'!$C$4,Translations!$D$1:$ZZ$1,0))</f>
        <v/>
      </c>
      <c r="N565" s="67">
        <f>INDEX(Translations!$D:$ZZ, MATCH(87,Translations!$A:$A,0), MATCH('Project Information'!$C$4,Translations!$D$1:$ZZ$1,0))</f>
        <v/>
      </c>
      <c r="O565" s="67">
        <f>INDEX(Translations!$D:$ZZ, MATCH(88,Translations!$A:$A,0), MATCH('Project Information'!$C$4,Translations!$D$1:$ZZ$1,0))</f>
        <v/>
      </c>
      <c r="P565" s="67">
        <f>INDEX(Translations!$D:$ZZ, MATCH(89,Translations!$A:$A,0), MATCH('Project Information'!$C$4,Translations!$D$1:$ZZ$1,0))</f>
        <v/>
      </c>
      <c r="Q565" s="67" t="inlineStr">
        <is>
          <t>Implementation Type</t>
        </is>
      </c>
      <c r="Z565" s="67">
        <f>INDEX(Translations!$D:$ZZ, MATCH(93,Translations!$A:$A,0), MATCH('Project Information'!$C$4,Translations!$D$1:$ZZ$1,0))</f>
        <v/>
      </c>
      <c r="AA565" s="67" t="inlineStr">
        <is>
          <t>Implementation Key</t>
        </is>
      </c>
    </row>
    <row r="566" ht="15" customHeight="1" s="39">
      <c r="A566" s="67" t="inlineStr">
        <is>
          <t>FI</t>
        </is>
      </c>
      <c r="B566" s="67" t="n">
        <v>245</v>
      </c>
      <c r="C566" s="67" t="n">
        <v>10</v>
      </c>
      <c r="D566" s="67" t="n">
        <v>5</v>
      </c>
      <c r="E566" s="67" t="n">
        <v>5</v>
      </c>
      <c r="F566" s="67" t="n">
        <v>5</v>
      </c>
      <c r="G566" s="67" t="n">
        <v>2</v>
      </c>
      <c r="H566" s="67" t="n">
        <v>3</v>
      </c>
      <c r="I566" s="67" t="n">
        <v>28</v>
      </c>
      <c r="J566" s="67" t="n">
        <v>28</v>
      </c>
      <c r="K566" s="67" t="n">
        <v>3</v>
      </c>
      <c r="L566" s="67" t="n">
        <v>2</v>
      </c>
      <c r="M566" s="67" t="n">
        <v>15</v>
      </c>
      <c r="N566" s="67" t="n">
        <v>15</v>
      </c>
      <c r="O566" s="67" t="n">
        <v>0</v>
      </c>
      <c r="P566" s="67" t="n">
        <v>0</v>
      </c>
      <c r="Q566" s="66" t="inlineStr">
        <is>
          <t>Rollout</t>
        </is>
      </c>
      <c r="Z566" s="66">
        <f>"X-LARGE|"&amp;A566</f>
        <v/>
      </c>
      <c r="AA566" s="66">
        <f>Q566&amp;"|"&amp;Z566</f>
        <v/>
      </c>
    </row>
    <row r="567" ht="15" customHeight="1" s="39">
      <c r="A567" s="67" t="inlineStr">
        <is>
          <t>CO</t>
        </is>
      </c>
      <c r="B567" s="67" t="n">
        <v>245</v>
      </c>
      <c r="C567" s="67" t="n">
        <v>10</v>
      </c>
      <c r="D567" s="67" t="n">
        <v>5</v>
      </c>
      <c r="E567" s="67" t="n">
        <v>4</v>
      </c>
      <c r="F567" s="67" t="n">
        <v>5</v>
      </c>
      <c r="G567" s="67" t="n">
        <v>2</v>
      </c>
      <c r="H567" s="67" t="n">
        <v>2</v>
      </c>
      <c r="I567" s="67" t="n">
        <v>28</v>
      </c>
      <c r="J567" s="67" t="n">
        <v>28</v>
      </c>
      <c r="K567" s="67" t="n">
        <v>3</v>
      </c>
      <c r="L567" s="67" t="n">
        <v>2</v>
      </c>
      <c r="M567" s="67" t="n">
        <v>10</v>
      </c>
      <c r="N567" s="67" t="n">
        <v>10</v>
      </c>
      <c r="O567" s="67" t="n">
        <v>0</v>
      </c>
      <c r="P567" s="67" t="n">
        <v>0</v>
      </c>
      <c r="Q567" s="66" t="inlineStr">
        <is>
          <t>Rollout</t>
        </is>
      </c>
      <c r="Z567" s="66">
        <f>"X-LARGE|"&amp;A567</f>
        <v/>
      </c>
      <c r="AA567" s="66">
        <f>Q567&amp;"|"&amp;Z567</f>
        <v/>
      </c>
    </row>
    <row r="568" ht="15" customHeight="1" s="39">
      <c r="A568" s="67" t="inlineStr">
        <is>
          <t>TRM</t>
        </is>
      </c>
      <c r="B568" s="67" t="n">
        <v>100</v>
      </c>
      <c r="C568" s="67" t="n">
        <v>4</v>
      </c>
      <c r="D568" s="67" t="n">
        <v>2</v>
      </c>
      <c r="E568" s="67" t="n">
        <v>2</v>
      </c>
      <c r="F568" s="67" t="n">
        <v>3</v>
      </c>
      <c r="G568" s="67" t="n">
        <v>1</v>
      </c>
      <c r="H568" s="67" t="n">
        <v>1</v>
      </c>
      <c r="I568" s="67" t="n">
        <v>10</v>
      </c>
      <c r="J568" s="67" t="n">
        <v>10</v>
      </c>
      <c r="K568" s="67" t="n">
        <v>1</v>
      </c>
      <c r="L568" s="67" t="n">
        <v>1</v>
      </c>
      <c r="M568" s="67" t="n">
        <v>10</v>
      </c>
      <c r="N568" s="67" t="n">
        <v>10</v>
      </c>
      <c r="O568" s="67" t="n">
        <v>0</v>
      </c>
      <c r="P568" s="67" t="n">
        <v>0</v>
      </c>
      <c r="Q568" s="66" t="inlineStr">
        <is>
          <t>Rollout</t>
        </is>
      </c>
      <c r="Z568" s="66">
        <f>"X-LARGE|"&amp;A568</f>
        <v/>
      </c>
      <c r="AA568" s="66">
        <f>Q568&amp;"|"&amp;Z568</f>
        <v/>
      </c>
    </row>
    <row r="569" ht="15" customHeight="1" s="39">
      <c r="A569" s="67" t="inlineStr">
        <is>
          <t>CM</t>
        </is>
      </c>
      <c r="B569" s="67" t="n">
        <v>100</v>
      </c>
      <c r="C569" s="67" t="n">
        <v>3</v>
      </c>
      <c r="D569" s="67" t="n">
        <v>2</v>
      </c>
      <c r="E569" s="67" t="n">
        <v>2</v>
      </c>
      <c r="F569" s="67" t="n">
        <v>3</v>
      </c>
      <c r="G569" s="67" t="n">
        <v>1</v>
      </c>
      <c r="H569" s="67" t="n">
        <v>1</v>
      </c>
      <c r="I569" s="67" t="n">
        <v>10</v>
      </c>
      <c r="J569" s="67" t="n">
        <v>10</v>
      </c>
      <c r="K569" s="67" t="n">
        <v>1</v>
      </c>
      <c r="L569" s="67" t="n">
        <v>1</v>
      </c>
      <c r="M569" s="67" t="n">
        <v>5</v>
      </c>
      <c r="N569" s="67" t="n">
        <v>5</v>
      </c>
      <c r="O569" s="67" t="n">
        <v>0</v>
      </c>
      <c r="P569" s="67" t="n">
        <v>0</v>
      </c>
      <c r="Q569" s="66" t="inlineStr">
        <is>
          <t>Rollout</t>
        </is>
      </c>
      <c r="Z569" s="66">
        <f>"X-LARGE|"&amp;A569</f>
        <v/>
      </c>
      <c r="AA569" s="66">
        <f>Q569&amp;"|"&amp;Z569</f>
        <v/>
      </c>
    </row>
    <row r="570" ht="15" customHeight="1" s="39">
      <c r="A570" s="67" t="inlineStr">
        <is>
          <t>FM</t>
        </is>
      </c>
      <c r="B570" s="67" t="n">
        <v>100</v>
      </c>
      <c r="C570" s="67" t="n">
        <v>3</v>
      </c>
      <c r="D570" s="67" t="n">
        <v>2</v>
      </c>
      <c r="E570" s="67" t="n">
        <v>2</v>
      </c>
      <c r="F570" s="67" t="n">
        <v>3</v>
      </c>
      <c r="G570" s="67" t="n">
        <v>1</v>
      </c>
      <c r="H570" s="67" t="n">
        <v>1</v>
      </c>
      <c r="I570" s="67" t="n">
        <v>10</v>
      </c>
      <c r="J570" s="67" t="n">
        <v>10</v>
      </c>
      <c r="K570" s="67" t="n">
        <v>1</v>
      </c>
      <c r="L570" s="67" t="n">
        <v>1</v>
      </c>
      <c r="M570" s="67" t="n">
        <v>5</v>
      </c>
      <c r="N570" s="67" t="n">
        <v>5</v>
      </c>
      <c r="O570" s="67" t="n">
        <v>0</v>
      </c>
      <c r="P570" s="67" t="n">
        <v>0</v>
      </c>
      <c r="Q570" s="66" t="inlineStr">
        <is>
          <t>Rollout</t>
        </is>
      </c>
      <c r="Z570" s="66">
        <f>"X-LARGE|"&amp;A570</f>
        <v/>
      </c>
      <c r="AA570" s="66">
        <f>Q570&amp;"|"&amp;Z570</f>
        <v/>
      </c>
    </row>
    <row r="571" ht="15" customHeight="1" s="39">
      <c r="A571" s="67" t="inlineStr">
        <is>
          <t>RM</t>
        </is>
      </c>
      <c r="B571" s="67" t="n">
        <v>0</v>
      </c>
      <c r="C571" s="67" t="n">
        <v>0</v>
      </c>
      <c r="D571" s="67" t="n">
        <v>0</v>
      </c>
      <c r="E571" s="67" t="n">
        <v>0</v>
      </c>
      <c r="F571" s="67" t="n">
        <v>0</v>
      </c>
      <c r="G571" s="67" t="n">
        <v>0</v>
      </c>
      <c r="H571" s="67" t="n">
        <v>0</v>
      </c>
      <c r="I571" s="67" t="n">
        <v>0</v>
      </c>
      <c r="J571" s="67" t="n">
        <v>0</v>
      </c>
      <c r="K571" s="67" t="n">
        <v>0</v>
      </c>
      <c r="L571" s="67" t="n">
        <v>0</v>
      </c>
      <c r="M571" s="67" t="n">
        <v>0</v>
      </c>
      <c r="N571" s="67" t="n">
        <v>0</v>
      </c>
      <c r="O571" s="67" t="n">
        <v>0</v>
      </c>
      <c r="P571" s="67" t="n">
        <v>0</v>
      </c>
      <c r="Q571" s="66" t="inlineStr">
        <is>
          <t>Rollout</t>
        </is>
      </c>
      <c r="Z571" s="66">
        <f>"X-LARGE|"&amp;A571</f>
        <v/>
      </c>
      <c r="AA571" s="66">
        <f>Q571&amp;"|"&amp;Z571</f>
        <v/>
      </c>
    </row>
    <row r="572" ht="15" customHeight="1" s="39">
      <c r="A572" s="67" t="inlineStr">
        <is>
          <t>RE/FX</t>
        </is>
      </c>
      <c r="B572" s="67" t="n">
        <v>0</v>
      </c>
      <c r="C572" s="67" t="n">
        <v>0</v>
      </c>
      <c r="D572" s="67" t="n">
        <v>0</v>
      </c>
      <c r="E572" s="67" t="n">
        <v>0</v>
      </c>
      <c r="F572" s="67" t="n">
        <v>0</v>
      </c>
      <c r="G572" s="67" t="n">
        <v>0</v>
      </c>
      <c r="H572" s="67" t="n">
        <v>0</v>
      </c>
      <c r="I572" s="67" t="n">
        <v>0</v>
      </c>
      <c r="J572" s="67" t="n">
        <v>0</v>
      </c>
      <c r="K572" s="67" t="n">
        <v>0</v>
      </c>
      <c r="L572" s="67" t="n">
        <v>0</v>
      </c>
      <c r="M572" s="67" t="n">
        <v>0</v>
      </c>
      <c r="N572" s="67" t="n">
        <v>0</v>
      </c>
      <c r="O572" s="67" t="n">
        <v>0</v>
      </c>
      <c r="P572" s="67" t="n">
        <v>0</v>
      </c>
      <c r="Q572" s="66" t="inlineStr">
        <is>
          <t>Rollout</t>
        </is>
      </c>
      <c r="Z572" s="66">
        <f>"X-LARGE|"&amp;A572</f>
        <v/>
      </c>
      <c r="AA572" s="66">
        <f>Q572&amp;"|"&amp;Z572</f>
        <v/>
      </c>
    </row>
    <row r="573" ht="15" customHeight="1" s="39">
      <c r="A573" s="67" t="inlineStr">
        <is>
          <t>MM</t>
        </is>
      </c>
      <c r="B573" s="67" t="n">
        <v>245</v>
      </c>
      <c r="C573" s="67" t="n">
        <v>10</v>
      </c>
      <c r="D573" s="67" t="n">
        <v>5</v>
      </c>
      <c r="E573" s="67" t="n">
        <v>5</v>
      </c>
      <c r="F573" s="67" t="n">
        <v>5</v>
      </c>
      <c r="G573" s="67" t="n">
        <v>2</v>
      </c>
      <c r="H573" s="67" t="n">
        <v>7</v>
      </c>
      <c r="I573" s="67" t="n">
        <v>28</v>
      </c>
      <c r="J573" s="67" t="n">
        <v>28</v>
      </c>
      <c r="K573" s="67" t="n">
        <v>3</v>
      </c>
      <c r="L573" s="67" t="n">
        <v>2</v>
      </c>
      <c r="M573" s="67" t="n">
        <v>20</v>
      </c>
      <c r="N573" s="67" t="n">
        <v>20</v>
      </c>
      <c r="O573" s="67" t="n">
        <v>0</v>
      </c>
      <c r="P573" s="67" t="n">
        <v>0</v>
      </c>
      <c r="Q573" s="66" t="inlineStr">
        <is>
          <t>Rollout</t>
        </is>
      </c>
      <c r="Z573" s="66">
        <f>"X-LARGE|"&amp;A573</f>
        <v/>
      </c>
      <c r="AA573" s="66">
        <f>Q573&amp;"|"&amp;Z573</f>
        <v/>
      </c>
    </row>
    <row r="574" ht="15" customHeight="1" s="39">
      <c r="A574" s="67" t="inlineStr">
        <is>
          <t>PP</t>
        </is>
      </c>
      <c r="B574" s="67" t="n">
        <v>245</v>
      </c>
      <c r="C574" s="67" t="n">
        <v>10</v>
      </c>
      <c r="D574" s="67" t="n">
        <v>5</v>
      </c>
      <c r="E574" s="67" t="n">
        <v>5</v>
      </c>
      <c r="F574" s="67" t="n">
        <v>5</v>
      </c>
      <c r="G574" s="67" t="n">
        <v>2</v>
      </c>
      <c r="H574" s="67" t="n">
        <v>7</v>
      </c>
      <c r="I574" s="67" t="n">
        <v>28</v>
      </c>
      <c r="J574" s="67" t="n">
        <v>28</v>
      </c>
      <c r="K574" s="67" t="n">
        <v>3</v>
      </c>
      <c r="L574" s="67" t="n">
        <v>2</v>
      </c>
      <c r="M574" s="67" t="n">
        <v>20</v>
      </c>
      <c r="N574" s="67" t="n">
        <v>20</v>
      </c>
      <c r="O574" s="67" t="n">
        <v>0</v>
      </c>
      <c r="P574" s="67" t="n">
        <v>0</v>
      </c>
      <c r="Q574" s="66" t="inlineStr">
        <is>
          <t>Rollout</t>
        </is>
      </c>
      <c r="Z574" s="66">
        <f>"X-LARGE|"&amp;A574</f>
        <v/>
      </c>
      <c r="AA574" s="66">
        <f>Q574&amp;"|"&amp;Z574</f>
        <v/>
      </c>
    </row>
    <row r="575" ht="15" customHeight="1" s="39">
      <c r="A575" s="67" t="inlineStr">
        <is>
          <t>SD</t>
        </is>
      </c>
      <c r="B575" s="67" t="n">
        <v>245</v>
      </c>
      <c r="C575" s="67" t="n">
        <v>10</v>
      </c>
      <c r="D575" s="67" t="n">
        <v>5</v>
      </c>
      <c r="E575" s="67" t="n">
        <v>5</v>
      </c>
      <c r="F575" s="67" t="n">
        <v>5</v>
      </c>
      <c r="G575" s="67" t="n">
        <v>2</v>
      </c>
      <c r="H575" s="67" t="n">
        <v>5</v>
      </c>
      <c r="I575" s="67" t="n">
        <v>28</v>
      </c>
      <c r="J575" s="67" t="n">
        <v>28</v>
      </c>
      <c r="K575" s="67" t="n">
        <v>3</v>
      </c>
      <c r="L575" s="67" t="n">
        <v>2</v>
      </c>
      <c r="M575" s="67" t="n">
        <v>15</v>
      </c>
      <c r="N575" s="67" t="n">
        <v>15</v>
      </c>
      <c r="O575" s="67" t="n">
        <v>0</v>
      </c>
      <c r="P575" s="67" t="n">
        <v>0</v>
      </c>
      <c r="Q575" s="66" t="inlineStr">
        <is>
          <t>Rollout</t>
        </is>
      </c>
      <c r="Z575" s="66">
        <f>"X-LARGE|"&amp;A575</f>
        <v/>
      </c>
      <c r="AA575" s="66">
        <f>Q575&amp;"|"&amp;Z575</f>
        <v/>
      </c>
    </row>
    <row r="576" ht="15" customHeight="1" s="39">
      <c r="A576" s="67" t="inlineStr">
        <is>
          <t>QM</t>
        </is>
      </c>
      <c r="B576" s="67" t="n">
        <v>245</v>
      </c>
      <c r="C576" s="67" t="n">
        <v>8</v>
      </c>
      <c r="D576" s="67" t="n">
        <v>5</v>
      </c>
      <c r="E576" s="67" t="n">
        <v>4</v>
      </c>
      <c r="F576" s="67" t="n">
        <v>5</v>
      </c>
      <c r="G576" s="67" t="n">
        <v>1</v>
      </c>
      <c r="H576" s="67" t="n">
        <v>6</v>
      </c>
      <c r="I576" s="67" t="n">
        <v>26</v>
      </c>
      <c r="J576" s="67" t="n">
        <v>26</v>
      </c>
      <c r="K576" s="67" t="n">
        <v>2</v>
      </c>
      <c r="L576" s="67" t="n">
        <v>1</v>
      </c>
      <c r="M576" s="67" t="n">
        <v>15</v>
      </c>
      <c r="N576" s="67" t="n">
        <v>15</v>
      </c>
      <c r="O576" s="67" t="n">
        <v>0</v>
      </c>
      <c r="P576" s="67" t="n">
        <v>0</v>
      </c>
      <c r="Q576" s="66" t="inlineStr">
        <is>
          <t>Rollout</t>
        </is>
      </c>
      <c r="Z576" s="66">
        <f>"X-LARGE|"&amp;A576</f>
        <v/>
      </c>
      <c r="AA576" s="66">
        <f>Q576&amp;"|"&amp;Z576</f>
        <v/>
      </c>
    </row>
    <row r="577" ht="15" customHeight="1" s="39">
      <c r="A577" s="67" t="inlineStr">
        <is>
          <t>PM</t>
        </is>
      </c>
      <c r="B577" s="67" t="n">
        <v>196</v>
      </c>
      <c r="C577" s="67" t="n">
        <v>8</v>
      </c>
      <c r="D577" s="67" t="n">
        <v>3</v>
      </c>
      <c r="E577" s="67" t="n">
        <v>3</v>
      </c>
      <c r="F577" s="67" t="n">
        <v>5</v>
      </c>
      <c r="G577" s="67" t="n">
        <v>1</v>
      </c>
      <c r="H577" s="67" t="n">
        <v>4</v>
      </c>
      <c r="I577" s="67" t="n">
        <v>16</v>
      </c>
      <c r="J577" s="67" t="n">
        <v>16</v>
      </c>
      <c r="K577" s="67" t="n">
        <v>2</v>
      </c>
      <c r="L577" s="67" t="n">
        <v>1</v>
      </c>
      <c r="M577" s="67" t="n">
        <v>10</v>
      </c>
      <c r="N577" s="67" t="n">
        <v>10</v>
      </c>
      <c r="O577" s="67" t="n">
        <v>0</v>
      </c>
      <c r="P577" s="67" t="n">
        <v>0</v>
      </c>
      <c r="Q577" s="66" t="inlineStr">
        <is>
          <t>Rollout</t>
        </is>
      </c>
      <c r="Z577" s="66">
        <f>"X-LARGE|"&amp;A577</f>
        <v/>
      </c>
      <c r="AA577" s="66">
        <f>Q577&amp;"|"&amp;Z577</f>
        <v/>
      </c>
    </row>
    <row r="578" ht="15" customHeight="1" s="39">
      <c r="A578" s="67" t="inlineStr">
        <is>
          <t>PS</t>
        </is>
      </c>
      <c r="B578" s="67" t="n">
        <v>196</v>
      </c>
      <c r="C578" s="67" t="n">
        <v>8</v>
      </c>
      <c r="D578" s="67" t="n">
        <v>3</v>
      </c>
      <c r="E578" s="67" t="n">
        <v>3</v>
      </c>
      <c r="F578" s="67" t="n">
        <v>5</v>
      </c>
      <c r="G578" s="67" t="n">
        <v>1</v>
      </c>
      <c r="H578" s="67" t="n">
        <v>4</v>
      </c>
      <c r="I578" s="67" t="n">
        <v>16</v>
      </c>
      <c r="J578" s="67" t="n">
        <v>16</v>
      </c>
      <c r="K578" s="67" t="n">
        <v>2</v>
      </c>
      <c r="L578" s="67" t="n">
        <v>1</v>
      </c>
      <c r="M578" s="67" t="n">
        <v>10</v>
      </c>
      <c r="N578" s="67" t="n">
        <v>10</v>
      </c>
      <c r="O578" s="67" t="n">
        <v>0</v>
      </c>
      <c r="P578" s="67" t="n">
        <v>0</v>
      </c>
      <c r="Q578" s="66" t="inlineStr">
        <is>
          <t>Rollout</t>
        </is>
      </c>
      <c r="Z578" s="66">
        <f>"X-LARGE|"&amp;A578</f>
        <v/>
      </c>
      <c r="AA578" s="66">
        <f>Q578&amp;"|"&amp;Z578</f>
        <v/>
      </c>
    </row>
    <row r="579" ht="15" customHeight="1" s="39">
      <c r="A579" s="67" t="inlineStr">
        <is>
          <t>MII/DM</t>
        </is>
      </c>
      <c r="B579" s="67" t="n">
        <v>0</v>
      </c>
      <c r="C579" s="67" t="n">
        <v>0</v>
      </c>
      <c r="D579" s="67" t="n">
        <v>0</v>
      </c>
      <c r="E579" s="67" t="n">
        <v>0</v>
      </c>
      <c r="F579" s="67" t="n">
        <v>0</v>
      </c>
      <c r="G579" s="67" t="n">
        <v>0</v>
      </c>
      <c r="H579" s="67" t="n">
        <v>0</v>
      </c>
      <c r="I579" s="67" t="n">
        <v>0</v>
      </c>
      <c r="J579" s="67" t="n">
        <v>0</v>
      </c>
      <c r="K579" s="67" t="n">
        <v>0</v>
      </c>
      <c r="L579" s="67" t="n">
        <v>0</v>
      </c>
      <c r="M579" s="67" t="n">
        <v>0</v>
      </c>
      <c r="N579" s="67" t="n">
        <v>0</v>
      </c>
      <c r="O579" s="67" t="n">
        <v>0</v>
      </c>
      <c r="P579" s="67" t="n">
        <v>0</v>
      </c>
      <c r="Q579" s="66" t="inlineStr">
        <is>
          <t>Rollout</t>
        </is>
      </c>
      <c r="Z579" s="66">
        <f>"X-LARGE|"&amp;A579</f>
        <v/>
      </c>
      <c r="AA579" s="66">
        <f>Q579&amp;"|"&amp;Z579</f>
        <v/>
      </c>
    </row>
    <row r="580" ht="15" customHeight="1" s="39">
      <c r="A580" s="67" t="inlineStr">
        <is>
          <t>PM Mobility</t>
        </is>
      </c>
      <c r="B580" s="67" t="n">
        <v>0</v>
      </c>
      <c r="C580" s="67" t="n">
        <v>0</v>
      </c>
      <c r="D580" s="67" t="n">
        <v>0</v>
      </c>
      <c r="E580" s="67" t="n">
        <v>0</v>
      </c>
      <c r="F580" s="67" t="n">
        <v>0</v>
      </c>
      <c r="G580" s="67" t="n">
        <v>0</v>
      </c>
      <c r="H580" s="67" t="n">
        <v>0</v>
      </c>
      <c r="I580" s="67" t="n">
        <v>0</v>
      </c>
      <c r="J580" s="67" t="n">
        <v>0</v>
      </c>
      <c r="K580" s="67" t="n">
        <v>0</v>
      </c>
      <c r="L580" s="67" t="n">
        <v>0</v>
      </c>
      <c r="M580" s="67" t="n">
        <v>0</v>
      </c>
      <c r="N580" s="67" t="n">
        <v>0</v>
      </c>
      <c r="O580" s="67" t="n">
        <v>0</v>
      </c>
      <c r="P580" s="67" t="n">
        <v>0</v>
      </c>
      <c r="Q580" s="66" t="inlineStr">
        <is>
          <t>Rollout</t>
        </is>
      </c>
      <c r="Z580" s="66">
        <f>"X-LARGE|"&amp;A580</f>
        <v/>
      </c>
      <c r="AA580" s="66">
        <f>Q580&amp;"|"&amp;Z580</f>
        <v/>
      </c>
    </row>
    <row r="581" ht="15" customHeight="1" s="39">
      <c r="A581" s="67" t="inlineStr">
        <is>
          <t>Basic EWM</t>
        </is>
      </c>
      <c r="B581" s="67" t="n">
        <v>245</v>
      </c>
      <c r="C581" s="67" t="n">
        <v>10</v>
      </c>
      <c r="D581" s="67" t="n">
        <v>5</v>
      </c>
      <c r="E581" s="67" t="n">
        <v>5</v>
      </c>
      <c r="F581" s="67" t="n">
        <v>5</v>
      </c>
      <c r="G581" s="67" t="n">
        <v>2</v>
      </c>
      <c r="H581" s="67" t="n">
        <v>4</v>
      </c>
      <c r="I581" s="67" t="n">
        <v>28</v>
      </c>
      <c r="J581" s="67" t="n">
        <v>28</v>
      </c>
      <c r="K581" s="67" t="n">
        <v>2</v>
      </c>
      <c r="L581" s="67" t="n">
        <v>2</v>
      </c>
      <c r="M581" s="67" t="n">
        <v>10</v>
      </c>
      <c r="N581" s="67" t="n">
        <v>10</v>
      </c>
      <c r="O581" s="67" t="n">
        <v>0</v>
      </c>
      <c r="P581" s="67" t="n">
        <v>0</v>
      </c>
      <c r="Q581" s="66" t="inlineStr">
        <is>
          <t>Rollout</t>
        </is>
      </c>
      <c r="Z581" s="66">
        <f>"X-LARGE|"&amp;A581</f>
        <v/>
      </c>
      <c r="AA581" s="66">
        <f>Q581&amp;"|"&amp;Z581</f>
        <v/>
      </c>
    </row>
    <row r="582" ht="15" customHeight="1" s="39">
      <c r="A582" s="67" t="inlineStr">
        <is>
          <t>Advanced EWM</t>
        </is>
      </c>
      <c r="B582" s="67" t="n">
        <v>0</v>
      </c>
      <c r="C582" s="67" t="n">
        <v>0</v>
      </c>
      <c r="D582" s="67" t="n">
        <v>0</v>
      </c>
      <c r="E582" s="67" t="n">
        <v>0</v>
      </c>
      <c r="F582" s="67" t="n">
        <v>0</v>
      </c>
      <c r="G582" s="67" t="n">
        <v>0</v>
      </c>
      <c r="H582" s="67" t="n">
        <v>0</v>
      </c>
      <c r="I582" s="67" t="n">
        <v>0</v>
      </c>
      <c r="J582" s="67" t="n">
        <v>0</v>
      </c>
      <c r="K582" s="67" t="n">
        <v>0</v>
      </c>
      <c r="L582" s="67" t="n">
        <v>0</v>
      </c>
      <c r="M582" s="67" t="n">
        <v>0</v>
      </c>
      <c r="N582" s="67" t="n">
        <v>0</v>
      </c>
      <c r="O582" s="67" t="n">
        <v>0</v>
      </c>
      <c r="P582" s="67" t="n">
        <v>0</v>
      </c>
      <c r="Q582" s="66" t="inlineStr">
        <is>
          <t>Rollout</t>
        </is>
      </c>
      <c r="Z582" s="66">
        <f>"X-LARGE|"&amp;A582</f>
        <v/>
      </c>
      <c r="AA582" s="66">
        <f>Q582&amp;"|"&amp;Z582</f>
        <v/>
      </c>
    </row>
    <row r="583" ht="15" customHeight="1" s="39">
      <c r="A583" s="67" t="inlineStr">
        <is>
          <t>TM</t>
        </is>
      </c>
      <c r="B583" s="67" t="n">
        <v>147</v>
      </c>
      <c r="C583" s="67" t="n">
        <v>5</v>
      </c>
      <c r="D583" s="67" t="n">
        <v>4</v>
      </c>
      <c r="E583" s="67" t="n">
        <v>3</v>
      </c>
      <c r="F583" s="67" t="n">
        <v>6</v>
      </c>
      <c r="G583" s="67" t="n">
        <v>2</v>
      </c>
      <c r="H583" s="67" t="n">
        <v>4</v>
      </c>
      <c r="I583" s="67" t="n">
        <v>15</v>
      </c>
      <c r="J583" s="67" t="n">
        <v>15</v>
      </c>
      <c r="K583" s="67" t="n">
        <v>2</v>
      </c>
      <c r="L583" s="67" t="n">
        <v>2</v>
      </c>
      <c r="M583" s="67" t="n">
        <v>6</v>
      </c>
      <c r="N583" s="67" t="n">
        <v>8</v>
      </c>
      <c r="O583" s="67" t="n">
        <v>0</v>
      </c>
      <c r="P583" s="67" t="n">
        <v>0</v>
      </c>
      <c r="Q583" s="66" t="inlineStr">
        <is>
          <t>Rollout</t>
        </is>
      </c>
      <c r="Z583" s="66">
        <f>"X-LARGE|"&amp;A583</f>
        <v/>
      </c>
      <c r="AA583" s="66">
        <f>Q583&amp;"|"&amp;Z583</f>
        <v/>
      </c>
    </row>
    <row r="584" ht="15" customHeight="1" s="39">
      <c r="A584" s="67" t="inlineStr">
        <is>
          <t>PPDS</t>
        </is>
      </c>
      <c r="B584" s="67" t="n">
        <v>147</v>
      </c>
      <c r="C584" s="67" t="n">
        <v>4</v>
      </c>
      <c r="D584" s="67" t="n">
        <v>3</v>
      </c>
      <c r="E584" s="67" t="n">
        <v>5</v>
      </c>
      <c r="F584" s="67" t="n">
        <v>5</v>
      </c>
      <c r="G584" s="67" t="n">
        <v>1</v>
      </c>
      <c r="H584" s="67" t="n">
        <v>2</v>
      </c>
      <c r="I584" s="67" t="n">
        <v>15</v>
      </c>
      <c r="J584" s="67" t="n">
        <v>15</v>
      </c>
      <c r="K584" s="67" t="n">
        <v>1</v>
      </c>
      <c r="L584" s="67" t="n">
        <v>1</v>
      </c>
      <c r="M584" s="67" t="n">
        <v>3</v>
      </c>
      <c r="N584" s="67" t="n">
        <v>3</v>
      </c>
      <c r="O584" s="67" t="n">
        <v>0</v>
      </c>
      <c r="P584" s="67" t="n">
        <v>0</v>
      </c>
      <c r="Q584" s="66" t="inlineStr">
        <is>
          <t>Rollout</t>
        </is>
      </c>
      <c r="Z584" s="66">
        <f>"X-LARGE|"&amp;A584</f>
        <v/>
      </c>
      <c r="AA584" s="66">
        <f>Q584&amp;"|"&amp;Z584</f>
        <v/>
      </c>
    </row>
    <row r="585" ht="15" customHeight="1" s="39">
      <c r="A585" s="67" t="inlineStr">
        <is>
          <t>ABAP</t>
        </is>
      </c>
      <c r="B585" s="67" t="n">
        <v>0</v>
      </c>
      <c r="C585" s="67" t="n">
        <v>0</v>
      </c>
      <c r="D585" s="67" t="n">
        <v>0</v>
      </c>
      <c r="E585" s="67" t="n">
        <v>0</v>
      </c>
      <c r="F585" s="67" t="n">
        <v>0</v>
      </c>
      <c r="G585" s="67" t="n">
        <v>0</v>
      </c>
      <c r="H585" s="67" t="n">
        <v>0</v>
      </c>
      <c r="I585" s="67" t="n">
        <v>0</v>
      </c>
      <c r="J585" s="67" t="n">
        <v>0</v>
      </c>
      <c r="K585" s="67" t="n">
        <v>0</v>
      </c>
      <c r="L585" s="67" t="n">
        <v>0</v>
      </c>
      <c r="M585" s="67" t="n">
        <v>0</v>
      </c>
      <c r="N585" s="67" t="n">
        <v>0</v>
      </c>
      <c r="O585" s="67" t="n">
        <v>0</v>
      </c>
      <c r="P585" s="67" t="n">
        <v>0</v>
      </c>
      <c r="Q585" s="66" t="inlineStr">
        <is>
          <t>Rollout</t>
        </is>
      </c>
      <c r="Z585" s="66">
        <f>"X-LARGE|"&amp;A585</f>
        <v/>
      </c>
      <c r="AA585" s="66">
        <f>Q585&amp;"|"&amp;Z585</f>
        <v/>
      </c>
    </row>
    <row r="586" ht="15" customHeight="1" s="39">
      <c r="A586" s="67" t="inlineStr">
        <is>
          <t>BASIS</t>
        </is>
      </c>
      <c r="B586" s="67" t="n">
        <v>0</v>
      </c>
      <c r="C586" s="67" t="n">
        <v>0</v>
      </c>
      <c r="D586" s="67" t="n">
        <v>0</v>
      </c>
      <c r="E586" s="67" t="n">
        <v>0</v>
      </c>
      <c r="F586" s="67" t="n">
        <v>0</v>
      </c>
      <c r="G586" s="67" t="n">
        <v>0</v>
      </c>
      <c r="H586" s="67" t="n">
        <v>0</v>
      </c>
      <c r="I586" s="67" t="n">
        <v>0</v>
      </c>
      <c r="J586" s="67" t="n">
        <v>0</v>
      </c>
      <c r="K586" s="67" t="n">
        <v>0</v>
      </c>
      <c r="L586" s="67" t="n">
        <v>0</v>
      </c>
      <c r="M586" s="67" t="n">
        <v>0</v>
      </c>
      <c r="N586" s="67" t="n">
        <v>0</v>
      </c>
      <c r="O586" s="67" t="n">
        <v>0</v>
      </c>
      <c r="P586" s="67" t="n">
        <v>0</v>
      </c>
      <c r="Q586" s="66" t="inlineStr">
        <is>
          <t>Rollout</t>
        </is>
      </c>
      <c r="Z586" s="66">
        <f>"X-LARGE|"&amp;A586</f>
        <v/>
      </c>
      <c r="AA586" s="66">
        <f>Q586&amp;"|"&amp;Z586</f>
        <v/>
      </c>
    </row>
    <row r="587" ht="15" customHeight="1" s="39">
      <c r="A587" s="67" t="inlineStr">
        <is>
          <t>E-Fatura/Arşiv</t>
        </is>
      </c>
      <c r="B587" s="67" t="n">
        <v>5</v>
      </c>
      <c r="C587" s="67" t="n">
        <v>2</v>
      </c>
      <c r="D587" s="67" t="n">
        <v>0</v>
      </c>
      <c r="E587" s="67" t="n">
        <v>2</v>
      </c>
      <c r="F587" s="67" t="n">
        <v>2</v>
      </c>
      <c r="G587" s="67" t="n">
        <v>1</v>
      </c>
      <c r="H587" s="67" t="n">
        <v>1</v>
      </c>
      <c r="I587" s="67" t="n">
        <v>3</v>
      </c>
      <c r="J587" s="67" t="n">
        <v>3</v>
      </c>
      <c r="K587" s="67" t="n">
        <v>0</v>
      </c>
      <c r="L587" s="67" t="n">
        <v>1</v>
      </c>
      <c r="M587" s="67" t="n">
        <v>1</v>
      </c>
      <c r="N587" s="67" t="n">
        <v>0</v>
      </c>
      <c r="O587" s="67" t="n">
        <v>0</v>
      </c>
      <c r="P587" s="67" t="n">
        <v>0</v>
      </c>
      <c r="Q587" s="66" t="inlineStr">
        <is>
          <t>Rollout</t>
        </is>
      </c>
      <c r="Z587" s="66">
        <f>"X-LARGE|"&amp;A587</f>
        <v/>
      </c>
      <c r="AA587" s="66">
        <f>Q587&amp;"|"&amp;Z587</f>
        <v/>
      </c>
    </row>
    <row r="588" ht="15" customHeight="1" s="39">
      <c r="A588" s="67" t="inlineStr">
        <is>
          <t>E-İrsaliye</t>
        </is>
      </c>
      <c r="B588" s="67" t="n">
        <v>5</v>
      </c>
      <c r="C588" s="67" t="n">
        <v>2</v>
      </c>
      <c r="D588" s="67" t="n">
        <v>0</v>
      </c>
      <c r="E588" s="67" t="n">
        <v>2</v>
      </c>
      <c r="F588" s="67" t="n">
        <v>2</v>
      </c>
      <c r="G588" s="67" t="n">
        <v>1</v>
      </c>
      <c r="H588" s="67" t="n">
        <v>1</v>
      </c>
      <c r="I588" s="67" t="n">
        <v>3</v>
      </c>
      <c r="J588" s="67" t="n">
        <v>3</v>
      </c>
      <c r="K588" s="67" t="n">
        <v>0</v>
      </c>
      <c r="L588" s="67" t="n">
        <v>1</v>
      </c>
      <c r="M588" s="67" t="n">
        <v>1</v>
      </c>
      <c r="N588" s="67" t="n">
        <v>0</v>
      </c>
      <c r="O588" s="67" t="n">
        <v>0</v>
      </c>
      <c r="P588" s="67" t="n">
        <v>0</v>
      </c>
      <c r="Q588" s="66" t="inlineStr">
        <is>
          <t>Rollout</t>
        </is>
      </c>
      <c r="Z588" s="66">
        <f>"X-LARGE|"&amp;A588</f>
        <v/>
      </c>
      <c r="AA588" s="66">
        <f>Q588&amp;"|"&amp;Z588</f>
        <v/>
      </c>
    </row>
    <row r="589" ht="15" customHeight="1" s="39">
      <c r="A589" s="67" t="inlineStr">
        <is>
          <t>E-Defter</t>
        </is>
      </c>
      <c r="B589" s="67" t="n">
        <v>3</v>
      </c>
      <c r="C589" s="67" t="n">
        <v>2</v>
      </c>
      <c r="D589" s="67" t="n">
        <v>0</v>
      </c>
      <c r="E589" s="67" t="n">
        <v>3</v>
      </c>
      <c r="F589" s="67" t="n">
        <v>3</v>
      </c>
      <c r="G589" s="67" t="n">
        <v>1</v>
      </c>
      <c r="H589" s="67" t="n">
        <v>1</v>
      </c>
      <c r="I589" s="67" t="n">
        <v>0</v>
      </c>
      <c r="J589" s="67" t="n">
        <v>0</v>
      </c>
      <c r="K589" s="67" t="n">
        <v>0</v>
      </c>
      <c r="L589" s="67" t="n">
        <v>3</v>
      </c>
      <c r="M589" s="67" t="n">
        <v>1</v>
      </c>
      <c r="N589" s="67" t="n">
        <v>0</v>
      </c>
      <c r="O589" s="67" t="n">
        <v>0</v>
      </c>
      <c r="P589" s="67" t="n">
        <v>0</v>
      </c>
      <c r="Q589" s="66" t="inlineStr">
        <is>
          <t>Rollout</t>
        </is>
      </c>
      <c r="Z589" s="66">
        <f>"X-LARGE|"&amp;A589</f>
        <v/>
      </c>
      <c r="AA589" s="66">
        <f>Q589&amp;"|"&amp;Z589</f>
        <v/>
      </c>
    </row>
    <row r="590" ht="15" customHeight="1" s="39">
      <c r="A590" s="67" t="inlineStr">
        <is>
          <t>E-Hesap Özeti</t>
        </is>
      </c>
      <c r="B590" s="67" t="n">
        <v>5</v>
      </c>
      <c r="C590" s="67" t="n">
        <v>3</v>
      </c>
      <c r="D590" s="67" t="n">
        <v>0</v>
      </c>
      <c r="E590" s="67" t="n">
        <v>4</v>
      </c>
      <c r="F590" s="67" t="n">
        <v>3</v>
      </c>
      <c r="G590" s="67" t="n">
        <v>1</v>
      </c>
      <c r="H590" s="67" t="n">
        <v>0</v>
      </c>
      <c r="I590" s="67" t="n">
        <v>3</v>
      </c>
      <c r="J590" s="67" t="n">
        <v>3</v>
      </c>
      <c r="K590" s="67" t="n">
        <v>0</v>
      </c>
      <c r="L590" s="67" t="n">
        <v>2</v>
      </c>
      <c r="M590" s="67" t="n">
        <v>1</v>
      </c>
      <c r="N590" s="67" t="n">
        <v>0</v>
      </c>
      <c r="O590" s="67" t="n">
        <v>0</v>
      </c>
      <c r="P590" s="67" t="n">
        <v>0</v>
      </c>
      <c r="Q590" s="66" t="inlineStr">
        <is>
          <t>Rollout</t>
        </is>
      </c>
      <c r="Z590" s="66">
        <f>"X-LARGE|"&amp;A590</f>
        <v/>
      </c>
      <c r="AA590" s="66">
        <f>Q590&amp;"|"&amp;Z590</f>
        <v/>
      </c>
    </row>
    <row r="591" ht="15" customHeight="1" s="39">
      <c r="A591" s="67" t="inlineStr">
        <is>
          <t>E-Ödeme</t>
        </is>
      </c>
      <c r="B591" s="67" t="n">
        <v>5</v>
      </c>
      <c r="C591" s="67" t="n">
        <v>3</v>
      </c>
      <c r="D591" s="67" t="n">
        <v>0</v>
      </c>
      <c r="E591" s="67" t="n">
        <v>4</v>
      </c>
      <c r="F591" s="67" t="n">
        <v>3</v>
      </c>
      <c r="G591" s="67" t="n">
        <v>1</v>
      </c>
      <c r="H591" s="67" t="n">
        <v>0</v>
      </c>
      <c r="I591" s="67" t="n">
        <v>3</v>
      </c>
      <c r="J591" s="67" t="n">
        <v>3</v>
      </c>
      <c r="K591" s="67" t="n">
        <v>0</v>
      </c>
      <c r="L591" s="67" t="n">
        <v>2</v>
      </c>
      <c r="M591" s="67" t="n">
        <v>1</v>
      </c>
      <c r="N591" s="67" t="n">
        <v>0</v>
      </c>
      <c r="O591" s="67" t="n">
        <v>0</v>
      </c>
      <c r="P591" s="67" t="n">
        <v>0</v>
      </c>
      <c r="Q591" s="66" t="inlineStr">
        <is>
          <t>Rollout</t>
        </is>
      </c>
      <c r="Z591" s="66">
        <f>"X-LARGE|"&amp;A591</f>
        <v/>
      </c>
      <c r="AA591" s="66">
        <f>Q591&amp;"|"&amp;Z591</f>
        <v/>
      </c>
    </row>
    <row r="592" ht="15" customHeight="1" s="39">
      <c r="A592" s="67" t="inlineStr">
        <is>
          <t>E-Mutabakat</t>
        </is>
      </c>
      <c r="B592" s="67" t="n">
        <v>5</v>
      </c>
      <c r="C592" s="67" t="n">
        <v>3</v>
      </c>
      <c r="D592" s="67" t="n">
        <v>0</v>
      </c>
      <c r="E592" s="67" t="n">
        <v>3</v>
      </c>
      <c r="F592" s="67" t="n">
        <v>3</v>
      </c>
      <c r="G592" s="67" t="n">
        <v>1</v>
      </c>
      <c r="H592" s="67" t="n">
        <v>0</v>
      </c>
      <c r="I592" s="67" t="n">
        <v>3</v>
      </c>
      <c r="J592" s="67" t="n">
        <v>3</v>
      </c>
      <c r="K592" s="67" t="n">
        <v>0</v>
      </c>
      <c r="L592" s="67" t="n">
        <v>2</v>
      </c>
      <c r="M592" s="67" t="n">
        <v>1</v>
      </c>
      <c r="N592" s="67" t="n">
        <v>0</v>
      </c>
      <c r="O592" s="67" t="n">
        <v>0</v>
      </c>
      <c r="P592" s="67" t="n">
        <v>0</v>
      </c>
      <c r="Q592" s="66" t="inlineStr">
        <is>
          <t>Rollout</t>
        </is>
      </c>
      <c r="Z592" s="66">
        <f>"X-LARGE|"&amp;A592</f>
        <v/>
      </c>
      <c r="AA592" s="66">
        <f>Q592&amp;"|"&amp;Z592</f>
        <v/>
      </c>
    </row>
    <row r="593" ht="15" customHeight="1" s="39">
      <c r="A593" s="67" t="inlineStr">
        <is>
          <t>E-Beyanname</t>
        </is>
      </c>
      <c r="B593" s="67" t="n">
        <v>6</v>
      </c>
      <c r="C593" s="67" t="n">
        <v>3</v>
      </c>
      <c r="D593" s="67" t="n">
        <v>0</v>
      </c>
      <c r="E593" s="67" t="n">
        <v>6</v>
      </c>
      <c r="F593" s="67" t="n">
        <v>3</v>
      </c>
      <c r="G593" s="67" t="n">
        <v>2</v>
      </c>
      <c r="H593" s="67" t="n">
        <v>0</v>
      </c>
      <c r="I593" s="67" t="n">
        <v>0</v>
      </c>
      <c r="J593" s="67" t="n">
        <v>0</v>
      </c>
      <c r="K593" s="67" t="n">
        <v>0</v>
      </c>
      <c r="L593" s="67" t="n">
        <v>4</v>
      </c>
      <c r="M593" s="67" t="n">
        <v>2</v>
      </c>
      <c r="N593" s="67" t="n">
        <v>0</v>
      </c>
      <c r="O593" s="67" t="n">
        <v>0</v>
      </c>
      <c r="P593" s="67" t="n">
        <v>0</v>
      </c>
      <c r="Q593" s="66" t="inlineStr">
        <is>
          <t>Rollout</t>
        </is>
      </c>
      <c r="Z593" s="66">
        <f>"X-LARGE|"&amp;A593</f>
        <v/>
      </c>
      <c r="AA593" s="66">
        <f>Q593&amp;"|"&amp;Z593</f>
        <v/>
      </c>
    </row>
    <row r="594" ht="15" customHeight="1" s="39">
      <c r="A594" s="67" t="inlineStr">
        <is>
          <t>Gelen Fatura Otomasyon</t>
        </is>
      </c>
      <c r="B594" s="67" t="n">
        <v>5</v>
      </c>
      <c r="C594" s="67" t="n">
        <v>2</v>
      </c>
      <c r="D594" s="67" t="n">
        <v>0</v>
      </c>
      <c r="E594" s="67" t="n">
        <v>3</v>
      </c>
      <c r="F594" s="67" t="n">
        <v>4</v>
      </c>
      <c r="G594" s="67" t="n">
        <v>2</v>
      </c>
      <c r="H594" s="67" t="n">
        <v>0</v>
      </c>
      <c r="I594" s="67" t="n">
        <v>2</v>
      </c>
      <c r="J594" s="67" t="n">
        <v>2</v>
      </c>
      <c r="K594" s="67" t="n">
        <v>0</v>
      </c>
      <c r="L594" s="67" t="n">
        <v>4</v>
      </c>
      <c r="M594" s="67" t="n">
        <v>1</v>
      </c>
      <c r="N594" s="67" t="n">
        <v>0</v>
      </c>
      <c r="O594" s="67" t="n">
        <v>0</v>
      </c>
      <c r="P594" s="67" t="n">
        <v>0</v>
      </c>
      <c r="Q594" s="66" t="inlineStr">
        <is>
          <t>Rollout</t>
        </is>
      </c>
      <c r="Z594" s="66">
        <f>"X-LARGE|"&amp;A594</f>
        <v/>
      </c>
      <c r="AA594" s="66">
        <f>Q594&amp;"|"&amp;Z594</f>
        <v/>
      </c>
    </row>
    <row r="595" ht="15" customHeight="1" s="39">
      <c r="A595" s="67" t="inlineStr">
        <is>
          <t>GLASSWING</t>
        </is>
      </c>
      <c r="B595" s="67" t="n">
        <v>60</v>
      </c>
      <c r="C595" s="67" t="n">
        <v>6</v>
      </c>
      <c r="D595" s="67" t="n">
        <v>2</v>
      </c>
      <c r="E595" s="67" t="n">
        <v>15</v>
      </c>
      <c r="F595" s="67" t="n">
        <v>10</v>
      </c>
      <c r="G595" s="67" t="n">
        <v>2</v>
      </c>
      <c r="H595" s="67" t="n">
        <v>0</v>
      </c>
      <c r="I595" s="67" t="n">
        <v>25</v>
      </c>
      <c r="J595" s="67" t="n">
        <v>25</v>
      </c>
      <c r="K595" s="67" t="n">
        <v>13</v>
      </c>
      <c r="L595" s="67" t="n">
        <v>2</v>
      </c>
      <c r="M595" s="67" t="n">
        <v>5</v>
      </c>
      <c r="N595" s="67" t="n">
        <v>10</v>
      </c>
      <c r="O595" s="67" t="n">
        <v>0</v>
      </c>
      <c r="P595" s="67" t="n">
        <v>0</v>
      </c>
      <c r="Q595" s="66" t="inlineStr">
        <is>
          <t>Rollout</t>
        </is>
      </c>
      <c r="Z595" s="66">
        <f>"X-LARGE|"&amp;A595</f>
        <v/>
      </c>
      <c r="AA595" s="66">
        <f>Q595&amp;"|"&amp;Z595</f>
        <v/>
      </c>
    </row>
    <row r="596" ht="15" customHeight="1" s="39">
      <c r="A596" s="67" t="inlineStr">
        <is>
          <t>COMMODITY</t>
        </is>
      </c>
      <c r="B596" s="67" t="n">
        <v>100</v>
      </c>
      <c r="C596" s="67" t="n">
        <v>9</v>
      </c>
      <c r="D596" s="67" t="n">
        <v>3</v>
      </c>
      <c r="E596" s="67" t="n">
        <v>15</v>
      </c>
      <c r="F596" s="67" t="n">
        <v>15</v>
      </c>
      <c r="G596" s="67" t="n">
        <v>2</v>
      </c>
      <c r="H596" s="67" t="n">
        <v>1</v>
      </c>
      <c r="I596" s="67" t="n">
        <v>30</v>
      </c>
      <c r="J596" s="67" t="n">
        <v>30</v>
      </c>
      <c r="K596" s="67" t="n">
        <v>10</v>
      </c>
      <c r="L596" s="67" t="n">
        <v>2</v>
      </c>
      <c r="M596" s="67" t="n">
        <v>8</v>
      </c>
      <c r="N596" s="67" t="n">
        <v>15</v>
      </c>
      <c r="O596" s="67" t="n">
        <v>0</v>
      </c>
      <c r="P596" s="67" t="n">
        <v>0</v>
      </c>
      <c r="Q596" s="66" t="inlineStr">
        <is>
          <t>Rollout</t>
        </is>
      </c>
      <c r="Z596" s="66">
        <f>"X-LARGE|"&amp;A596</f>
        <v/>
      </c>
      <c r="AA596" s="66">
        <f>Q596&amp;"|"&amp;Z596</f>
        <v/>
      </c>
    </row>
    <row r="597" ht="15" customHeight="1" s="39">
      <c r="A597" s="67" t="inlineStr">
        <is>
          <t>Dış Ticaret Çözümü</t>
        </is>
      </c>
      <c r="B597" s="67" t="n">
        <v>0</v>
      </c>
      <c r="C597" s="67" t="n">
        <v>0</v>
      </c>
      <c r="D597" s="67" t="n">
        <v>0</v>
      </c>
      <c r="E597" s="67" t="n">
        <v>0</v>
      </c>
      <c r="F597" s="67" t="n">
        <v>0</v>
      </c>
      <c r="G597" s="67" t="n">
        <v>0</v>
      </c>
      <c r="H597" s="67" t="n">
        <v>0</v>
      </c>
      <c r="I597" s="67" t="n">
        <v>0</v>
      </c>
      <c r="J597" s="67" t="n">
        <v>0</v>
      </c>
      <c r="K597" s="67" t="n">
        <v>0</v>
      </c>
      <c r="L597" s="67" t="n">
        <v>0</v>
      </c>
      <c r="M597" s="67" t="n">
        <v>0</v>
      </c>
      <c r="N597" s="67" t="n">
        <v>0</v>
      </c>
      <c r="O597" s="67" t="n">
        <v>0</v>
      </c>
      <c r="P597" s="67" t="n">
        <v>0</v>
      </c>
      <c r="Q597" s="66" t="inlineStr">
        <is>
          <t>Rollout</t>
        </is>
      </c>
      <c r="Z597" s="66">
        <f>"X-LARGE|"&amp;A597</f>
        <v/>
      </c>
      <c r="AA597" s="66">
        <f>Q597&amp;"|"&amp;Z597</f>
        <v/>
      </c>
    </row>
    <row r="598" ht="15" customHeight="1" s="39">
      <c r="A598" s="67" t="inlineStr">
        <is>
          <t>Seyahat ve Masraf Yönetimi</t>
        </is>
      </c>
      <c r="B598" s="67" t="n">
        <v>0</v>
      </c>
      <c r="C598" s="67" t="n">
        <v>0</v>
      </c>
      <c r="D598" s="67" t="n">
        <v>0</v>
      </c>
      <c r="E598" s="67" t="n">
        <v>0</v>
      </c>
      <c r="F598" s="67" t="n">
        <v>0</v>
      </c>
      <c r="G598" s="67" t="n">
        <v>0</v>
      </c>
      <c r="H598" s="67" t="n">
        <v>0</v>
      </c>
      <c r="I598" s="67" t="n">
        <v>0</v>
      </c>
      <c r="J598" s="67" t="n">
        <v>0</v>
      </c>
      <c r="K598" s="67" t="n">
        <v>0</v>
      </c>
      <c r="L598" s="67" t="n">
        <v>0</v>
      </c>
      <c r="M598" s="67" t="n">
        <v>0</v>
      </c>
      <c r="N598" s="67" t="n">
        <v>0</v>
      </c>
      <c r="O598" s="67" t="n">
        <v>0</v>
      </c>
      <c r="P598" s="67" t="n">
        <v>0</v>
      </c>
      <c r="Q598" s="66" t="inlineStr">
        <is>
          <t>Rollout</t>
        </is>
      </c>
      <c r="Z598" s="66">
        <f>"X-LARGE|"&amp;A598</f>
        <v/>
      </c>
      <c r="AA598" s="66">
        <f>Q598&amp;"|"&amp;Z598</f>
        <v/>
      </c>
    </row>
    <row r="599" ht="15" customHeight="1" s="39">
      <c r="A599" s="67" t="inlineStr">
        <is>
          <t>NTT Data POS</t>
        </is>
      </c>
      <c r="B599" s="67" t="n">
        <v>0</v>
      </c>
      <c r="C599" s="67" t="n">
        <v>0</v>
      </c>
      <c r="D599" s="67" t="n">
        <v>0</v>
      </c>
      <c r="E599" s="67" t="n">
        <v>0</v>
      </c>
      <c r="F599" s="67" t="n">
        <v>0</v>
      </c>
      <c r="G599" s="67" t="n">
        <v>0</v>
      </c>
      <c r="H599" s="67" t="n">
        <v>0</v>
      </c>
      <c r="I599" s="67" t="n">
        <v>0</v>
      </c>
      <c r="J599" s="67" t="n">
        <v>0</v>
      </c>
      <c r="K599" s="67" t="n">
        <v>0</v>
      </c>
      <c r="L599" s="67" t="n">
        <v>0</v>
      </c>
      <c r="M599" s="67" t="n">
        <v>0</v>
      </c>
      <c r="N599" s="67" t="n">
        <v>0</v>
      </c>
      <c r="O599" s="67" t="n">
        <v>0</v>
      </c>
      <c r="P599" s="67" t="n">
        <v>0</v>
      </c>
      <c r="Q599" s="66" t="inlineStr">
        <is>
          <t>Rollout</t>
        </is>
      </c>
      <c r="Z599" s="66">
        <f>"X-LARGE|"&amp;A599</f>
        <v/>
      </c>
      <c r="AA599" s="66">
        <f>Q599&amp;"|"&amp;Z599</f>
        <v/>
      </c>
    </row>
    <row r="602" ht="15" customHeight="1" s="39">
      <c r="A602" s="68" t="inlineStr">
        <is>
          <t>Implementation Type: Migration</t>
        </is>
      </c>
      <c r="Q602" s="68" t="inlineStr">
        <is>
          <t>Migration</t>
        </is>
      </c>
    </row>
    <row r="603" ht="15" customHeight="1" s="39">
      <c r="A603" s="68" t="inlineStr">
        <is>
          <t>SMALL</t>
        </is>
      </c>
      <c r="Q603" s="68" t="inlineStr">
        <is>
          <t>Migration</t>
        </is>
      </c>
    </row>
    <row r="604" ht="15" customHeight="1" s="39">
      <c r="A604" s="67">
        <f>INDEX(Translations!$D:$ZZ, MATCH(74,Translations!$A:$A,0), MATCH('Project Information'!$C$4,Translations!$D$1:$ZZ$1,0))</f>
        <v/>
      </c>
      <c r="B604" s="67">
        <f>INDEX(Translations!$D:$ZZ, MATCH(75,Translations!$A:$A,0), MATCH('Project Information'!$C$4,Translations!$D$1:$ZZ$1,0))</f>
        <v/>
      </c>
      <c r="C604" s="67">
        <f>INDEX(Translations!$D:$ZZ, MATCH(76,Translations!$A:$A,0), MATCH('Project Information'!$C$4,Translations!$D$1:$ZZ$1,0))</f>
        <v/>
      </c>
      <c r="D604" s="67">
        <f>INDEX(Translations!$D:$ZZ, MATCH(77,Translations!$A:$A,0), MATCH('Project Information'!$C$4,Translations!$D$1:$ZZ$1,0))</f>
        <v/>
      </c>
      <c r="E604" s="67">
        <f>INDEX(Translations!$D:$ZZ, MATCH(78,Translations!$A:$A,0), MATCH('Project Information'!$C$4,Translations!$D$1:$ZZ$1,0))</f>
        <v/>
      </c>
      <c r="F604" s="67">
        <f>INDEX(Translations!$D:$ZZ, MATCH(79,Translations!$A:$A,0), MATCH('Project Information'!$C$4,Translations!$D$1:$ZZ$1,0))</f>
        <v/>
      </c>
      <c r="G604" s="67">
        <f>INDEX(Translations!$D:$ZZ, MATCH(80,Translations!$A:$A,0), MATCH('Project Information'!$C$4,Translations!$D$1:$ZZ$1,0))</f>
        <v/>
      </c>
      <c r="H604" s="67">
        <f>INDEX(Translations!$D:$ZZ, MATCH(81,Translations!$A:$A,0), MATCH('Project Information'!$C$4,Translations!$D$1:$ZZ$1,0))</f>
        <v/>
      </c>
      <c r="I604" s="67">
        <f>INDEX(Translations!$D:$ZZ, MATCH(82,Translations!$A:$A,0), MATCH('Project Information'!$C$4,Translations!$D$1:$ZZ$1,0))</f>
        <v/>
      </c>
      <c r="J604" s="67">
        <f>INDEX(Translations!$D:$ZZ, MATCH(83,Translations!$A:$A,0), MATCH('Project Information'!$C$4,Translations!$D$1:$ZZ$1,0))</f>
        <v/>
      </c>
      <c r="K604" s="67">
        <f>INDEX(Translations!$D:$ZZ, MATCH(84,Translations!$A:$A,0), MATCH('Project Information'!$C$4,Translations!$D$1:$ZZ$1,0))</f>
        <v/>
      </c>
      <c r="L604" s="67">
        <f>INDEX(Translations!$D:$ZZ, MATCH(85,Translations!$A:$A,0), MATCH('Project Information'!$C$4,Translations!$D$1:$ZZ$1,0))</f>
        <v/>
      </c>
      <c r="M604" s="67">
        <f>INDEX(Translations!$D:$ZZ, MATCH(86,Translations!$A:$A,0), MATCH('Project Information'!$C$4,Translations!$D$1:$ZZ$1,0))</f>
        <v/>
      </c>
      <c r="N604" s="67">
        <f>INDEX(Translations!$D:$ZZ, MATCH(87,Translations!$A:$A,0), MATCH('Project Information'!$C$4,Translations!$D$1:$ZZ$1,0))</f>
        <v/>
      </c>
      <c r="O604" s="67">
        <f>INDEX(Translations!$D:$ZZ, MATCH(88,Translations!$A:$A,0), MATCH('Project Information'!$C$4,Translations!$D$1:$ZZ$1,0))</f>
        <v/>
      </c>
      <c r="P604" s="67">
        <f>INDEX(Translations!$D:$ZZ, MATCH(89,Translations!$A:$A,0), MATCH('Project Information'!$C$4,Translations!$D$1:$ZZ$1,0))</f>
        <v/>
      </c>
      <c r="Q604" s="67" t="inlineStr">
        <is>
          <t>Implementation Type</t>
        </is>
      </c>
      <c r="Z604" s="67">
        <f>INDEX(Translations!$D:$ZZ, MATCH(93,Translations!$A:$A,0), MATCH('Project Information'!$C$4,Translations!$D$1:$ZZ$1,0))</f>
        <v/>
      </c>
      <c r="AA604" s="67" t="inlineStr">
        <is>
          <t>Implementation Key</t>
        </is>
      </c>
    </row>
    <row r="605" ht="15" customHeight="1" s="39">
      <c r="A605" s="67" t="inlineStr">
        <is>
          <t>FI</t>
        </is>
      </c>
      <c r="B605" s="67" t="n">
        <v>20</v>
      </c>
      <c r="C605" s="67" t="n">
        <v>3</v>
      </c>
      <c r="D605" s="67" t="n">
        <v>2</v>
      </c>
      <c r="E605" s="67" t="n">
        <v>3</v>
      </c>
      <c r="F605" s="67" t="n">
        <v>2</v>
      </c>
      <c r="G605" s="67" t="n">
        <v>1</v>
      </c>
      <c r="H605" s="67" t="n">
        <v>1</v>
      </c>
      <c r="I605" s="67" t="n">
        <v>5</v>
      </c>
      <c r="J605" s="67" t="n">
        <v>5</v>
      </c>
      <c r="K605" s="67" t="n">
        <v>1</v>
      </c>
      <c r="L605" s="67" t="n">
        <v>1</v>
      </c>
      <c r="M605" s="67" t="n">
        <v>4</v>
      </c>
      <c r="N605" s="67" t="n">
        <v>4</v>
      </c>
      <c r="O605" s="67" t="n">
        <v>0</v>
      </c>
      <c r="P605" s="67" t="n">
        <v>0</v>
      </c>
      <c r="Q605" s="66" t="inlineStr">
        <is>
          <t>Migration</t>
        </is>
      </c>
      <c r="Z605" s="66">
        <f>"SMALL|"&amp;A605</f>
        <v/>
      </c>
      <c r="AA605" s="66">
        <f>Q605&amp;"|"&amp;Z605</f>
        <v/>
      </c>
    </row>
    <row r="606" ht="15" customHeight="1" s="39">
      <c r="A606" s="67" t="inlineStr">
        <is>
          <t>CO</t>
        </is>
      </c>
      <c r="B606" s="67" t="n">
        <v>20</v>
      </c>
      <c r="C606" s="67" t="n">
        <v>3</v>
      </c>
      <c r="D606" s="67" t="n">
        <v>2</v>
      </c>
      <c r="E606" s="67" t="n">
        <v>3</v>
      </c>
      <c r="F606" s="67" t="n">
        <v>2</v>
      </c>
      <c r="G606" s="67" t="n">
        <v>1</v>
      </c>
      <c r="H606" s="67" t="n">
        <v>1</v>
      </c>
      <c r="I606" s="67" t="n">
        <v>5</v>
      </c>
      <c r="J606" s="67" t="n">
        <v>5</v>
      </c>
      <c r="K606" s="67" t="n">
        <v>1</v>
      </c>
      <c r="L606" s="67" t="n">
        <v>1</v>
      </c>
      <c r="M606" s="67" t="n">
        <v>4</v>
      </c>
      <c r="N606" s="67" t="n">
        <v>4</v>
      </c>
      <c r="O606" s="67" t="n">
        <v>0</v>
      </c>
      <c r="P606" s="67" t="n">
        <v>0</v>
      </c>
      <c r="Q606" s="66" t="inlineStr">
        <is>
          <t>Migration</t>
        </is>
      </c>
      <c r="Z606" s="66">
        <f>"SMALL|"&amp;A606</f>
        <v/>
      </c>
      <c r="AA606" s="66">
        <f>Q606&amp;"|"&amp;Z606</f>
        <v/>
      </c>
    </row>
    <row r="607" ht="15" customHeight="1" s="39">
      <c r="A607" s="67" t="inlineStr">
        <is>
          <t>TRM</t>
        </is>
      </c>
      <c r="B607" s="67" t="n">
        <v>10</v>
      </c>
      <c r="C607" s="67" t="n">
        <v>2</v>
      </c>
      <c r="D607" s="67" t="n">
        <v>1</v>
      </c>
      <c r="E607" s="67" t="n">
        <v>2</v>
      </c>
      <c r="F607" s="67" t="n">
        <v>1</v>
      </c>
      <c r="G607" s="67" t="n">
        <v>0.5</v>
      </c>
      <c r="H607" s="67" t="n">
        <v>0.5</v>
      </c>
      <c r="I607" s="67" t="n">
        <v>3</v>
      </c>
      <c r="J607" s="67" t="n">
        <v>3</v>
      </c>
      <c r="K607" s="67" t="n">
        <v>0.5</v>
      </c>
      <c r="L607" s="67" t="n">
        <v>0.5</v>
      </c>
      <c r="M607" s="67" t="n">
        <v>3</v>
      </c>
      <c r="N607" s="67" t="n">
        <v>3</v>
      </c>
      <c r="O607" s="67" t="n">
        <v>0</v>
      </c>
      <c r="P607" s="67" t="n">
        <v>0</v>
      </c>
      <c r="Q607" s="66" t="inlineStr">
        <is>
          <t>Migration</t>
        </is>
      </c>
      <c r="Z607" s="66">
        <f>"SMALL|"&amp;A607</f>
        <v/>
      </c>
      <c r="AA607" s="66">
        <f>Q607&amp;"|"&amp;Z607</f>
        <v/>
      </c>
    </row>
    <row r="608" ht="15" customHeight="1" s="39">
      <c r="A608" s="67" t="inlineStr">
        <is>
          <t>CM</t>
        </is>
      </c>
      <c r="B608" s="67" t="n">
        <v>5</v>
      </c>
      <c r="C608" s="67" t="n">
        <v>1</v>
      </c>
      <c r="D608" s="67" t="n">
        <v>1</v>
      </c>
      <c r="E608" s="67" t="n">
        <v>1</v>
      </c>
      <c r="F608" s="67" t="n">
        <v>1</v>
      </c>
      <c r="G608" s="67" t="n">
        <v>0.5</v>
      </c>
      <c r="H608" s="67" t="n">
        <v>0.5</v>
      </c>
      <c r="I608" s="67" t="n">
        <v>1</v>
      </c>
      <c r="J608" s="67" t="n">
        <v>1</v>
      </c>
      <c r="K608" s="67" t="n">
        <v>0.5</v>
      </c>
      <c r="L608" s="67" t="n">
        <v>0.5</v>
      </c>
      <c r="M608" s="67" t="n">
        <v>2</v>
      </c>
      <c r="N608" s="67" t="n">
        <v>2</v>
      </c>
      <c r="O608" s="67" t="n">
        <v>0</v>
      </c>
      <c r="P608" s="67" t="n">
        <v>0</v>
      </c>
      <c r="Q608" s="66" t="inlineStr">
        <is>
          <t>Migration</t>
        </is>
      </c>
      <c r="Z608" s="66">
        <f>"SMALL|"&amp;A608</f>
        <v/>
      </c>
      <c r="AA608" s="66">
        <f>Q608&amp;"|"&amp;Z608</f>
        <v/>
      </c>
    </row>
    <row r="609" ht="15" customHeight="1" s="39">
      <c r="A609" s="67" t="inlineStr">
        <is>
          <t>FM</t>
        </is>
      </c>
      <c r="B609" s="67" t="n">
        <v>5</v>
      </c>
      <c r="C609" s="67" t="n">
        <v>1</v>
      </c>
      <c r="D609" s="67" t="n">
        <v>1</v>
      </c>
      <c r="E609" s="67" t="n">
        <v>1</v>
      </c>
      <c r="F609" s="67" t="n">
        <v>1</v>
      </c>
      <c r="G609" s="67" t="n">
        <v>0.5</v>
      </c>
      <c r="H609" s="67" t="n">
        <v>0.5</v>
      </c>
      <c r="I609" s="67" t="n">
        <v>1</v>
      </c>
      <c r="J609" s="67" t="n">
        <v>1</v>
      </c>
      <c r="K609" s="67" t="n">
        <v>0.5</v>
      </c>
      <c r="L609" s="67" t="n">
        <v>0.5</v>
      </c>
      <c r="M609" s="67" t="n">
        <v>2</v>
      </c>
      <c r="N609" s="67" t="n">
        <v>2</v>
      </c>
      <c r="O609" s="67" t="n">
        <v>0</v>
      </c>
      <c r="P609" s="67" t="n">
        <v>0</v>
      </c>
      <c r="Q609" s="66" t="inlineStr">
        <is>
          <t>Migration</t>
        </is>
      </c>
      <c r="Z609" s="66">
        <f>"SMALL|"&amp;A609</f>
        <v/>
      </c>
      <c r="AA609" s="66">
        <f>Q609&amp;"|"&amp;Z609</f>
        <v/>
      </c>
    </row>
    <row r="610" ht="15" customHeight="1" s="39">
      <c r="A610" s="67" t="inlineStr">
        <is>
          <t>RM</t>
        </is>
      </c>
      <c r="B610" s="67" t="n">
        <v>0</v>
      </c>
      <c r="C610" s="67" t="n">
        <v>0</v>
      </c>
      <c r="D610" s="67" t="n">
        <v>0</v>
      </c>
      <c r="E610" s="67" t="n">
        <v>0</v>
      </c>
      <c r="F610" s="67" t="n">
        <v>0</v>
      </c>
      <c r="G610" s="67" t="n">
        <v>0</v>
      </c>
      <c r="H610" s="67" t="n">
        <v>0</v>
      </c>
      <c r="I610" s="67" t="n">
        <v>0</v>
      </c>
      <c r="J610" s="67" t="n">
        <v>0</v>
      </c>
      <c r="K610" s="67" t="n">
        <v>0</v>
      </c>
      <c r="L610" s="67" t="n">
        <v>0</v>
      </c>
      <c r="M610" s="67" t="n">
        <v>0</v>
      </c>
      <c r="N610" s="67" t="n">
        <v>0</v>
      </c>
      <c r="O610" s="67" t="n">
        <v>0</v>
      </c>
      <c r="P610" s="67" t="n">
        <v>0</v>
      </c>
      <c r="Q610" s="66" t="inlineStr">
        <is>
          <t>Migration</t>
        </is>
      </c>
      <c r="Z610" s="66">
        <f>"SMALL|"&amp;A610</f>
        <v/>
      </c>
      <c r="AA610" s="66">
        <f>Q610&amp;"|"&amp;Z610</f>
        <v/>
      </c>
    </row>
    <row r="611" ht="15" customHeight="1" s="39">
      <c r="A611" s="67" t="inlineStr">
        <is>
          <t>RE/FX</t>
        </is>
      </c>
      <c r="B611" s="67" t="n">
        <v>0</v>
      </c>
      <c r="C611" s="67" t="n">
        <v>0</v>
      </c>
      <c r="D611" s="67" t="n">
        <v>0</v>
      </c>
      <c r="E611" s="67" t="n">
        <v>0</v>
      </c>
      <c r="F611" s="67" t="n">
        <v>0</v>
      </c>
      <c r="G611" s="67" t="n">
        <v>0</v>
      </c>
      <c r="H611" s="67" t="n">
        <v>0</v>
      </c>
      <c r="I611" s="67" t="n">
        <v>0</v>
      </c>
      <c r="J611" s="67" t="n">
        <v>0</v>
      </c>
      <c r="K611" s="67" t="n">
        <v>0</v>
      </c>
      <c r="L611" s="67" t="n">
        <v>0</v>
      </c>
      <c r="M611" s="67" t="n">
        <v>0</v>
      </c>
      <c r="N611" s="67" t="n">
        <v>0</v>
      </c>
      <c r="O611" s="67" t="n">
        <v>0</v>
      </c>
      <c r="P611" s="67" t="n">
        <v>0</v>
      </c>
      <c r="Q611" s="66" t="inlineStr">
        <is>
          <t>Migration</t>
        </is>
      </c>
      <c r="Z611" s="66">
        <f>"SMALL|"&amp;A611</f>
        <v/>
      </c>
      <c r="AA611" s="66">
        <f>Q611&amp;"|"&amp;Z611</f>
        <v/>
      </c>
    </row>
    <row r="612" ht="15" customHeight="1" s="39">
      <c r="A612" s="67" t="inlineStr">
        <is>
          <t>MM</t>
        </is>
      </c>
      <c r="B612" s="67" t="n">
        <v>24</v>
      </c>
      <c r="C612" s="67" t="n">
        <v>3</v>
      </c>
      <c r="D612" s="67" t="n">
        <v>2</v>
      </c>
      <c r="E612" s="67" t="n">
        <v>3</v>
      </c>
      <c r="F612" s="67" t="n">
        <v>2</v>
      </c>
      <c r="G612" s="67" t="n">
        <v>1</v>
      </c>
      <c r="H612" s="67" t="n">
        <v>1</v>
      </c>
      <c r="I612" s="67" t="n">
        <v>5</v>
      </c>
      <c r="J612" s="67" t="n">
        <v>5</v>
      </c>
      <c r="K612" s="67" t="n">
        <v>1</v>
      </c>
      <c r="L612" s="67" t="n">
        <v>1</v>
      </c>
      <c r="M612" s="67" t="n">
        <v>4</v>
      </c>
      <c r="N612" s="67" t="n">
        <v>4</v>
      </c>
      <c r="O612" s="67" t="n">
        <v>0</v>
      </c>
      <c r="P612" s="67" t="n">
        <v>0</v>
      </c>
      <c r="Q612" s="66" t="inlineStr">
        <is>
          <t>Migration</t>
        </is>
      </c>
      <c r="Z612" s="66">
        <f>"SMALL|"&amp;A612</f>
        <v/>
      </c>
      <c r="AA612" s="66">
        <f>Q612&amp;"|"&amp;Z612</f>
        <v/>
      </c>
    </row>
    <row r="613" ht="15" customHeight="1" s="39">
      <c r="A613" s="67" t="inlineStr">
        <is>
          <t>PP</t>
        </is>
      </c>
      <c r="B613" s="67" t="n">
        <v>24</v>
      </c>
      <c r="C613" s="67" t="n">
        <v>3</v>
      </c>
      <c r="D613" s="67" t="n">
        <v>2</v>
      </c>
      <c r="E613" s="67" t="n">
        <v>3</v>
      </c>
      <c r="F613" s="67" t="n">
        <v>2</v>
      </c>
      <c r="G613" s="67" t="n">
        <v>1</v>
      </c>
      <c r="H613" s="67" t="n">
        <v>1</v>
      </c>
      <c r="I613" s="67" t="n">
        <v>5</v>
      </c>
      <c r="J613" s="67" t="n">
        <v>5</v>
      </c>
      <c r="K613" s="67" t="n">
        <v>1</v>
      </c>
      <c r="L613" s="67" t="n">
        <v>1</v>
      </c>
      <c r="M613" s="67" t="n">
        <v>4</v>
      </c>
      <c r="N613" s="67" t="n">
        <v>4</v>
      </c>
      <c r="O613" s="67" t="n">
        <v>0</v>
      </c>
      <c r="P613" s="67" t="n">
        <v>0</v>
      </c>
      <c r="Q613" s="66" t="inlineStr">
        <is>
          <t>Migration</t>
        </is>
      </c>
      <c r="Z613" s="66">
        <f>"SMALL|"&amp;A613</f>
        <v/>
      </c>
      <c r="AA613" s="66">
        <f>Q613&amp;"|"&amp;Z613</f>
        <v/>
      </c>
    </row>
    <row r="614" ht="15" customHeight="1" s="39">
      <c r="A614" s="67" t="inlineStr">
        <is>
          <t>SD</t>
        </is>
      </c>
      <c r="B614" s="67" t="n">
        <v>24</v>
      </c>
      <c r="C614" s="67" t="n">
        <v>3</v>
      </c>
      <c r="D614" s="67" t="n">
        <v>2</v>
      </c>
      <c r="E614" s="67" t="n">
        <v>3</v>
      </c>
      <c r="F614" s="67" t="n">
        <v>2</v>
      </c>
      <c r="G614" s="67" t="n">
        <v>1</v>
      </c>
      <c r="H614" s="67" t="n">
        <v>1</v>
      </c>
      <c r="I614" s="67" t="n">
        <v>5</v>
      </c>
      <c r="J614" s="67" t="n">
        <v>5</v>
      </c>
      <c r="K614" s="67" t="n">
        <v>1</v>
      </c>
      <c r="L614" s="67" t="n">
        <v>1</v>
      </c>
      <c r="M614" s="67" t="n">
        <v>4</v>
      </c>
      <c r="N614" s="67" t="n">
        <v>4</v>
      </c>
      <c r="O614" s="67" t="n">
        <v>0</v>
      </c>
      <c r="P614" s="67" t="n">
        <v>0</v>
      </c>
      <c r="Q614" s="66" t="inlineStr">
        <is>
          <t>Migration</t>
        </is>
      </c>
      <c r="Z614" s="66">
        <f>"SMALL|"&amp;A614</f>
        <v/>
      </c>
      <c r="AA614" s="66">
        <f>Q614&amp;"|"&amp;Z614</f>
        <v/>
      </c>
    </row>
    <row r="615" ht="15" customHeight="1" s="39">
      <c r="A615" s="67" t="inlineStr">
        <is>
          <t>QM</t>
        </is>
      </c>
      <c r="B615" s="67" t="n">
        <v>15</v>
      </c>
      <c r="C615" s="67" t="n">
        <v>2</v>
      </c>
      <c r="D615" s="67" t="n">
        <v>1</v>
      </c>
      <c r="E615" s="67" t="n">
        <v>2</v>
      </c>
      <c r="F615" s="67" t="n">
        <v>2</v>
      </c>
      <c r="G615" s="67" t="n">
        <v>0.5</v>
      </c>
      <c r="H615" s="67" t="n">
        <v>1</v>
      </c>
      <c r="I615" s="67" t="n">
        <v>3</v>
      </c>
      <c r="J615" s="67" t="n">
        <v>3</v>
      </c>
      <c r="K615" s="67" t="n">
        <v>1</v>
      </c>
      <c r="L615" s="67" t="n">
        <v>0.5</v>
      </c>
      <c r="M615" s="67" t="n">
        <v>4</v>
      </c>
      <c r="N615" s="67" t="n">
        <v>4</v>
      </c>
      <c r="O615" s="67" t="n">
        <v>0</v>
      </c>
      <c r="P615" s="67" t="n">
        <v>0</v>
      </c>
      <c r="Q615" s="66" t="inlineStr">
        <is>
          <t>Migration</t>
        </is>
      </c>
      <c r="Z615" s="66">
        <f>"SMALL|"&amp;A615</f>
        <v/>
      </c>
      <c r="AA615" s="66">
        <f>Q615&amp;"|"&amp;Z615</f>
        <v/>
      </c>
    </row>
    <row r="616" ht="15" customHeight="1" s="39">
      <c r="A616" s="67" t="inlineStr">
        <is>
          <t>PM</t>
        </is>
      </c>
      <c r="B616" s="67" t="n">
        <v>12</v>
      </c>
      <c r="C616" s="67" t="n">
        <v>2</v>
      </c>
      <c r="D616" s="67" t="n">
        <v>1</v>
      </c>
      <c r="E616" s="67" t="n">
        <v>2</v>
      </c>
      <c r="F616" s="67" t="n">
        <v>2</v>
      </c>
      <c r="G616" s="67" t="n">
        <v>0.5</v>
      </c>
      <c r="H616" s="67" t="n">
        <v>1</v>
      </c>
      <c r="I616" s="67" t="n">
        <v>3</v>
      </c>
      <c r="J616" s="67" t="n">
        <v>3</v>
      </c>
      <c r="K616" s="67" t="n">
        <v>1</v>
      </c>
      <c r="L616" s="67" t="n">
        <v>0.5</v>
      </c>
      <c r="M616" s="67" t="n">
        <v>4</v>
      </c>
      <c r="N616" s="67" t="n">
        <v>4</v>
      </c>
      <c r="O616" s="67" t="n">
        <v>0</v>
      </c>
      <c r="P616" s="67" t="n">
        <v>0</v>
      </c>
      <c r="Q616" s="66" t="inlineStr">
        <is>
          <t>Migration</t>
        </is>
      </c>
      <c r="Z616" s="66">
        <f>"SMALL|"&amp;A616</f>
        <v/>
      </c>
      <c r="AA616" s="66">
        <f>Q616&amp;"|"&amp;Z616</f>
        <v/>
      </c>
    </row>
    <row r="617" ht="15" customHeight="1" s="39">
      <c r="A617" s="67" t="inlineStr">
        <is>
          <t>PS</t>
        </is>
      </c>
      <c r="B617" s="67" t="n">
        <v>12</v>
      </c>
      <c r="C617" s="67" t="n">
        <v>2</v>
      </c>
      <c r="D617" s="67" t="n">
        <v>1</v>
      </c>
      <c r="E617" s="67" t="n">
        <v>2</v>
      </c>
      <c r="F617" s="67" t="n">
        <v>2</v>
      </c>
      <c r="G617" s="67" t="n">
        <v>0.5</v>
      </c>
      <c r="H617" s="67" t="n">
        <v>1</v>
      </c>
      <c r="I617" s="67" t="n">
        <v>3</v>
      </c>
      <c r="J617" s="67" t="n">
        <v>3</v>
      </c>
      <c r="K617" s="67" t="n">
        <v>1</v>
      </c>
      <c r="L617" s="67" t="n">
        <v>0.5</v>
      </c>
      <c r="M617" s="67" t="n">
        <v>4</v>
      </c>
      <c r="N617" s="67" t="n">
        <v>4</v>
      </c>
      <c r="O617" s="67" t="n">
        <v>0</v>
      </c>
      <c r="P617" s="67" t="n">
        <v>0</v>
      </c>
      <c r="Q617" s="66" t="inlineStr">
        <is>
          <t>Migration</t>
        </is>
      </c>
      <c r="Z617" s="66">
        <f>"SMALL|"&amp;A617</f>
        <v/>
      </c>
      <c r="AA617" s="66">
        <f>Q617&amp;"|"&amp;Z617</f>
        <v/>
      </c>
    </row>
    <row r="618" ht="15" customHeight="1" s="39">
      <c r="A618" s="67" t="inlineStr">
        <is>
          <t>MII/DM</t>
        </is>
      </c>
      <c r="B618" s="67" t="n">
        <v>0</v>
      </c>
      <c r="C618" s="67" t="n">
        <v>0</v>
      </c>
      <c r="D618" s="67" t="n">
        <v>0</v>
      </c>
      <c r="E618" s="67" t="n">
        <v>0</v>
      </c>
      <c r="F618" s="67" t="n">
        <v>0</v>
      </c>
      <c r="G618" s="67" t="n">
        <v>0</v>
      </c>
      <c r="H618" s="67" t="n">
        <v>0</v>
      </c>
      <c r="I618" s="67" t="n">
        <v>0</v>
      </c>
      <c r="J618" s="67" t="n">
        <v>0</v>
      </c>
      <c r="K618" s="67" t="n">
        <v>0</v>
      </c>
      <c r="L618" s="67" t="n">
        <v>0</v>
      </c>
      <c r="M618" s="67" t="n">
        <v>0</v>
      </c>
      <c r="N618" s="67" t="n">
        <v>0</v>
      </c>
      <c r="O618" s="67" t="n">
        <v>0</v>
      </c>
      <c r="P618" s="67" t="n">
        <v>0</v>
      </c>
      <c r="Q618" s="66" t="inlineStr">
        <is>
          <t>Migration</t>
        </is>
      </c>
      <c r="Z618" s="66">
        <f>"SMALL|"&amp;A618</f>
        <v/>
      </c>
      <c r="AA618" s="66">
        <f>Q618&amp;"|"&amp;Z618</f>
        <v/>
      </c>
    </row>
    <row r="619" ht="15" customHeight="1" s="39">
      <c r="A619" s="67" t="inlineStr">
        <is>
          <t>PM Mobility</t>
        </is>
      </c>
      <c r="B619" s="67" t="n">
        <v>0</v>
      </c>
      <c r="C619" s="67" t="n">
        <v>0</v>
      </c>
      <c r="D619" s="67" t="n">
        <v>0</v>
      </c>
      <c r="E619" s="67" t="n">
        <v>0</v>
      </c>
      <c r="F619" s="67" t="n">
        <v>0</v>
      </c>
      <c r="G619" s="67" t="n">
        <v>0</v>
      </c>
      <c r="H619" s="67" t="n">
        <v>0</v>
      </c>
      <c r="I619" s="67" t="n">
        <v>0</v>
      </c>
      <c r="J619" s="67" t="n">
        <v>0</v>
      </c>
      <c r="K619" s="67" t="n">
        <v>0</v>
      </c>
      <c r="L619" s="67" t="n">
        <v>0</v>
      </c>
      <c r="M619" s="67" t="n">
        <v>0</v>
      </c>
      <c r="N619" s="67" t="n">
        <v>0</v>
      </c>
      <c r="O619" s="67" t="n">
        <v>0</v>
      </c>
      <c r="P619" s="67" t="n">
        <v>0</v>
      </c>
      <c r="Q619" s="66" t="inlineStr">
        <is>
          <t>Migration</t>
        </is>
      </c>
      <c r="Z619" s="66">
        <f>"SMALL|"&amp;A619</f>
        <v/>
      </c>
      <c r="AA619" s="66">
        <f>Q619&amp;"|"&amp;Z619</f>
        <v/>
      </c>
    </row>
    <row r="620" ht="15" customHeight="1" s="39">
      <c r="A620" s="67" t="inlineStr">
        <is>
          <t>Basic EWM</t>
        </is>
      </c>
      <c r="B620" s="67" t="n">
        <v>24</v>
      </c>
      <c r="C620" s="67" t="n">
        <v>3</v>
      </c>
      <c r="D620" s="67" t="n">
        <v>2</v>
      </c>
      <c r="E620" s="67" t="n">
        <v>3</v>
      </c>
      <c r="F620" s="67" t="n">
        <v>2</v>
      </c>
      <c r="G620" s="67" t="n">
        <v>1</v>
      </c>
      <c r="H620" s="67" t="n">
        <v>1</v>
      </c>
      <c r="I620" s="67" t="n">
        <v>5</v>
      </c>
      <c r="J620" s="67" t="n">
        <v>5</v>
      </c>
      <c r="K620" s="67" t="n">
        <v>1</v>
      </c>
      <c r="L620" s="67" t="n">
        <v>1</v>
      </c>
      <c r="M620" s="67" t="n">
        <v>4</v>
      </c>
      <c r="N620" s="67" t="n">
        <v>4</v>
      </c>
      <c r="O620" s="67" t="n">
        <v>0</v>
      </c>
      <c r="P620" s="67" t="n">
        <v>0</v>
      </c>
      <c r="Q620" s="66" t="inlineStr">
        <is>
          <t>Migration</t>
        </is>
      </c>
      <c r="Z620" s="66">
        <f>"SMALL|"&amp;A620</f>
        <v/>
      </c>
      <c r="AA620" s="66">
        <f>Q620&amp;"|"&amp;Z620</f>
        <v/>
      </c>
    </row>
    <row r="621" ht="15" customHeight="1" s="39">
      <c r="A621" s="67" t="inlineStr">
        <is>
          <t>Advanced EWM</t>
        </is>
      </c>
      <c r="B621" s="67" t="n">
        <v>0</v>
      </c>
      <c r="C621" s="67" t="n">
        <v>0</v>
      </c>
      <c r="D621" s="67" t="n">
        <v>0</v>
      </c>
      <c r="E621" s="67" t="n">
        <v>0</v>
      </c>
      <c r="F621" s="67" t="n">
        <v>0</v>
      </c>
      <c r="G621" s="67" t="n">
        <v>0</v>
      </c>
      <c r="H621" s="67" t="n">
        <v>0</v>
      </c>
      <c r="I621" s="67" t="n">
        <v>0</v>
      </c>
      <c r="J621" s="67" t="n">
        <v>0</v>
      </c>
      <c r="K621" s="67" t="n">
        <v>0</v>
      </c>
      <c r="L621" s="67" t="n">
        <v>0</v>
      </c>
      <c r="M621" s="67" t="n">
        <v>0</v>
      </c>
      <c r="N621" s="67" t="n">
        <v>0</v>
      </c>
      <c r="O621" s="67" t="n">
        <v>0</v>
      </c>
      <c r="P621" s="67" t="n">
        <v>0</v>
      </c>
      <c r="Q621" s="66" t="inlineStr">
        <is>
          <t>Migration</t>
        </is>
      </c>
      <c r="Z621" s="66">
        <f>"SMALL|"&amp;A621</f>
        <v/>
      </c>
      <c r="AA621" s="66">
        <f>Q621&amp;"|"&amp;Z621</f>
        <v/>
      </c>
    </row>
    <row r="622" ht="15" customHeight="1" s="39">
      <c r="A622" s="67" t="inlineStr">
        <is>
          <t>TM</t>
        </is>
      </c>
      <c r="B622" s="67" t="n">
        <v>15</v>
      </c>
      <c r="C622" s="67" t="n">
        <v>3</v>
      </c>
      <c r="D622" s="67" t="n">
        <v>1</v>
      </c>
      <c r="E622" s="67" t="n">
        <v>2</v>
      </c>
      <c r="F622" s="67" t="n">
        <v>2</v>
      </c>
      <c r="G622" s="67" t="n">
        <v>0.5</v>
      </c>
      <c r="H622" s="67" t="n">
        <v>1</v>
      </c>
      <c r="I622" s="67" t="n">
        <v>4</v>
      </c>
      <c r="J622" s="67" t="n">
        <v>4</v>
      </c>
      <c r="K622" s="67" t="n">
        <v>1</v>
      </c>
      <c r="L622" s="67" t="n">
        <v>1</v>
      </c>
      <c r="M622" s="67" t="n">
        <v>4</v>
      </c>
      <c r="N622" s="67" t="n">
        <v>4</v>
      </c>
      <c r="O622" s="67" t="n">
        <v>0</v>
      </c>
      <c r="P622" s="67" t="n">
        <v>0</v>
      </c>
      <c r="Q622" s="66" t="inlineStr">
        <is>
          <t>Migration</t>
        </is>
      </c>
      <c r="Z622" s="66">
        <f>"SMALL|"&amp;A622</f>
        <v/>
      </c>
      <c r="AA622" s="66">
        <f>Q622&amp;"|"&amp;Z622</f>
        <v/>
      </c>
    </row>
    <row r="623" ht="15" customHeight="1" s="39">
      <c r="A623" s="67" t="inlineStr">
        <is>
          <t>PPDS</t>
        </is>
      </c>
      <c r="B623" s="67" t="n">
        <v>16</v>
      </c>
      <c r="C623" s="67" t="n">
        <v>2</v>
      </c>
      <c r="D623" s="67" t="n">
        <v>2</v>
      </c>
      <c r="E623" s="67" t="n">
        <v>3</v>
      </c>
      <c r="F623" s="67" t="n">
        <v>3</v>
      </c>
      <c r="G623" s="67" t="n">
        <v>0.5</v>
      </c>
      <c r="H623" s="67" t="n">
        <v>0.5</v>
      </c>
      <c r="I623" s="67" t="n">
        <v>3</v>
      </c>
      <c r="J623" s="67" t="n">
        <v>3</v>
      </c>
      <c r="K623" s="67" t="n">
        <v>0.5</v>
      </c>
      <c r="L623" s="67" t="n">
        <v>0.5</v>
      </c>
      <c r="M623" s="67" t="n">
        <v>2</v>
      </c>
      <c r="N623" s="67" t="n">
        <v>2</v>
      </c>
      <c r="O623" s="67" t="n">
        <v>0</v>
      </c>
      <c r="P623" s="67" t="n">
        <v>0</v>
      </c>
      <c r="Q623" s="66" t="inlineStr">
        <is>
          <t>Migration</t>
        </is>
      </c>
      <c r="Z623" s="66">
        <f>"SMALL|"&amp;A623</f>
        <v/>
      </c>
      <c r="AA623" s="66">
        <f>Q623&amp;"|"&amp;Z623</f>
        <v/>
      </c>
    </row>
    <row r="624" ht="15" customHeight="1" s="39">
      <c r="A624" s="67" t="inlineStr">
        <is>
          <t>ABAP</t>
        </is>
      </c>
      <c r="B624" s="67" t="n">
        <v>0</v>
      </c>
      <c r="C624" s="67" t="n">
        <v>0</v>
      </c>
      <c r="D624" s="67" t="n">
        <v>0</v>
      </c>
      <c r="E624" s="67" t="n">
        <v>0</v>
      </c>
      <c r="F624" s="67" t="n">
        <v>0</v>
      </c>
      <c r="G624" s="67" t="n">
        <v>0</v>
      </c>
      <c r="H624" s="67" t="n">
        <v>0</v>
      </c>
      <c r="I624" s="67" t="n">
        <v>0</v>
      </c>
      <c r="J624" s="67" t="n">
        <v>0</v>
      </c>
      <c r="K624" s="67" t="n">
        <v>0</v>
      </c>
      <c r="L624" s="67" t="n">
        <v>0</v>
      </c>
      <c r="M624" s="67" t="n">
        <v>0</v>
      </c>
      <c r="N624" s="67" t="n">
        <v>0</v>
      </c>
      <c r="O624" s="67" t="n">
        <v>0</v>
      </c>
      <c r="P624" s="67" t="n">
        <v>0</v>
      </c>
      <c r="Q624" s="66" t="inlineStr">
        <is>
          <t>Migration</t>
        </is>
      </c>
      <c r="Z624" s="66">
        <f>"SMALL|"&amp;A624</f>
        <v/>
      </c>
      <c r="AA624" s="66">
        <f>Q624&amp;"|"&amp;Z624</f>
        <v/>
      </c>
    </row>
    <row r="625" ht="15" customHeight="1" s="39">
      <c r="A625" s="67" t="inlineStr">
        <is>
          <t>BASIS</t>
        </is>
      </c>
      <c r="B625" s="67" t="n">
        <v>0</v>
      </c>
      <c r="C625" s="67" t="n">
        <v>0</v>
      </c>
      <c r="D625" s="67" t="n">
        <v>0</v>
      </c>
      <c r="E625" s="67" t="n">
        <v>0</v>
      </c>
      <c r="F625" s="67" t="n">
        <v>0</v>
      </c>
      <c r="G625" s="67" t="n">
        <v>0</v>
      </c>
      <c r="H625" s="67" t="n">
        <v>0</v>
      </c>
      <c r="I625" s="67" t="n">
        <v>0</v>
      </c>
      <c r="J625" s="67" t="n">
        <v>0</v>
      </c>
      <c r="K625" s="67" t="n">
        <v>0</v>
      </c>
      <c r="L625" s="67" t="n">
        <v>0</v>
      </c>
      <c r="M625" s="67" t="n">
        <v>0</v>
      </c>
      <c r="N625" s="67" t="n">
        <v>0</v>
      </c>
      <c r="O625" s="67" t="n">
        <v>0</v>
      </c>
      <c r="P625" s="67" t="n">
        <v>0</v>
      </c>
      <c r="Q625" s="66" t="inlineStr">
        <is>
          <t>Migration</t>
        </is>
      </c>
      <c r="Z625" s="66">
        <f>"SMALL|"&amp;A625</f>
        <v/>
      </c>
      <c r="AA625" s="66">
        <f>Q625&amp;"|"&amp;Z625</f>
        <v/>
      </c>
    </row>
    <row r="626" ht="15" customHeight="1" s="39">
      <c r="A626" s="67" t="inlineStr">
        <is>
          <t>E-Fatura/Arşiv</t>
        </is>
      </c>
      <c r="B626" s="67" t="n">
        <v>3</v>
      </c>
      <c r="C626" s="67" t="n">
        <v>1</v>
      </c>
      <c r="D626" s="67" t="n">
        <v>0</v>
      </c>
      <c r="E626" s="67" t="n">
        <v>1</v>
      </c>
      <c r="F626" s="67" t="n">
        <v>2</v>
      </c>
      <c r="G626" s="67" t="n">
        <v>1</v>
      </c>
      <c r="H626" s="67" t="n">
        <v>1</v>
      </c>
      <c r="I626" s="67" t="n">
        <v>3</v>
      </c>
      <c r="J626" s="67" t="n">
        <v>3</v>
      </c>
      <c r="K626" s="67" t="n">
        <v>0</v>
      </c>
      <c r="L626" s="67" t="n">
        <v>1</v>
      </c>
      <c r="M626" s="67" t="n">
        <v>1</v>
      </c>
      <c r="N626" s="67" t="n">
        <v>0</v>
      </c>
      <c r="O626" s="67" t="n">
        <v>0</v>
      </c>
      <c r="P626" s="67" t="n">
        <v>0</v>
      </c>
      <c r="Q626" s="66" t="inlineStr">
        <is>
          <t>Migration</t>
        </is>
      </c>
      <c r="Z626" s="66">
        <f>"SMALL|"&amp;A626</f>
        <v/>
      </c>
      <c r="AA626" s="66">
        <f>Q626&amp;"|"&amp;Z626</f>
        <v/>
      </c>
    </row>
    <row r="627" ht="15" customHeight="1" s="39">
      <c r="A627" s="67" t="inlineStr">
        <is>
          <t>E-İrsaliye</t>
        </is>
      </c>
      <c r="B627" s="67" t="n">
        <v>3</v>
      </c>
      <c r="C627" s="67" t="n">
        <v>1</v>
      </c>
      <c r="D627" s="67" t="n">
        <v>0</v>
      </c>
      <c r="E627" s="67" t="n">
        <v>1</v>
      </c>
      <c r="F627" s="67" t="n">
        <v>2</v>
      </c>
      <c r="G627" s="67" t="n">
        <v>1</v>
      </c>
      <c r="H627" s="67" t="n">
        <v>1</v>
      </c>
      <c r="I627" s="67" t="n">
        <v>3</v>
      </c>
      <c r="J627" s="67" t="n">
        <v>3</v>
      </c>
      <c r="K627" s="67" t="n">
        <v>0</v>
      </c>
      <c r="L627" s="67" t="n">
        <v>1</v>
      </c>
      <c r="M627" s="67" t="n">
        <v>1</v>
      </c>
      <c r="N627" s="67" t="n">
        <v>0</v>
      </c>
      <c r="O627" s="67" t="n">
        <v>0</v>
      </c>
      <c r="P627" s="67" t="n">
        <v>0</v>
      </c>
      <c r="Q627" s="66" t="inlineStr">
        <is>
          <t>Migration</t>
        </is>
      </c>
      <c r="Z627" s="66">
        <f>"SMALL|"&amp;A627</f>
        <v/>
      </c>
      <c r="AA627" s="66">
        <f>Q627&amp;"|"&amp;Z627</f>
        <v/>
      </c>
    </row>
    <row r="628" ht="15" customHeight="1" s="39">
      <c r="A628" s="67" t="inlineStr">
        <is>
          <t>E-Defter</t>
        </is>
      </c>
      <c r="B628" s="67" t="n">
        <v>2</v>
      </c>
      <c r="C628" s="67" t="n">
        <v>1</v>
      </c>
      <c r="D628" s="67" t="n">
        <v>0</v>
      </c>
      <c r="E628" s="67" t="n">
        <v>1</v>
      </c>
      <c r="F628" s="67" t="n">
        <v>2</v>
      </c>
      <c r="G628" s="67" t="n">
        <v>1</v>
      </c>
      <c r="H628" s="67" t="n">
        <v>1</v>
      </c>
      <c r="I628" s="67" t="n">
        <v>0</v>
      </c>
      <c r="J628" s="67" t="n">
        <v>0</v>
      </c>
      <c r="K628" s="67" t="n">
        <v>0</v>
      </c>
      <c r="L628" s="67" t="n">
        <v>2</v>
      </c>
      <c r="M628" s="67" t="n">
        <v>1</v>
      </c>
      <c r="N628" s="67" t="n">
        <v>0</v>
      </c>
      <c r="O628" s="67" t="n">
        <v>0</v>
      </c>
      <c r="P628" s="67" t="n">
        <v>0</v>
      </c>
      <c r="Q628" s="66" t="inlineStr">
        <is>
          <t>Migration</t>
        </is>
      </c>
      <c r="Z628" s="66">
        <f>"SMALL|"&amp;A628</f>
        <v/>
      </c>
      <c r="AA628" s="66">
        <f>Q628&amp;"|"&amp;Z628</f>
        <v/>
      </c>
    </row>
    <row r="629" ht="15" customHeight="1" s="39">
      <c r="A629" s="67" t="inlineStr">
        <is>
          <t>E-Hesap Özeti</t>
        </is>
      </c>
      <c r="B629" s="67" t="n">
        <v>4</v>
      </c>
      <c r="C629" s="67" t="n">
        <v>1</v>
      </c>
      <c r="D629" s="67" t="n">
        <v>0</v>
      </c>
      <c r="E629" s="67" t="n">
        <v>3</v>
      </c>
      <c r="F629" s="67" t="n">
        <v>3</v>
      </c>
      <c r="G629" s="67" t="n">
        <v>1</v>
      </c>
      <c r="H629" s="67" t="n">
        <v>0</v>
      </c>
      <c r="I629" s="67" t="n">
        <v>2</v>
      </c>
      <c r="J629" s="67" t="n">
        <v>2</v>
      </c>
      <c r="K629" s="67" t="n">
        <v>0</v>
      </c>
      <c r="L629" s="67" t="n">
        <v>1</v>
      </c>
      <c r="M629" s="67" t="n">
        <v>1</v>
      </c>
      <c r="N629" s="67" t="n">
        <v>0</v>
      </c>
      <c r="O629" s="67" t="n">
        <v>0</v>
      </c>
      <c r="P629" s="67" t="n">
        <v>0</v>
      </c>
      <c r="Q629" s="66" t="inlineStr">
        <is>
          <t>Migration</t>
        </is>
      </c>
      <c r="Z629" s="66">
        <f>"SMALL|"&amp;A629</f>
        <v/>
      </c>
      <c r="AA629" s="66">
        <f>Q629&amp;"|"&amp;Z629</f>
        <v/>
      </c>
    </row>
    <row r="630" ht="15" customHeight="1" s="39">
      <c r="A630" s="67" t="inlineStr">
        <is>
          <t>E-Ödeme</t>
        </is>
      </c>
      <c r="B630" s="67" t="n">
        <v>4</v>
      </c>
      <c r="C630" s="67" t="n">
        <v>1</v>
      </c>
      <c r="D630" s="67" t="n">
        <v>0</v>
      </c>
      <c r="E630" s="67" t="n">
        <v>3</v>
      </c>
      <c r="F630" s="67" t="n">
        <v>3</v>
      </c>
      <c r="G630" s="67" t="n">
        <v>1</v>
      </c>
      <c r="H630" s="67" t="n">
        <v>0</v>
      </c>
      <c r="I630" s="67" t="n">
        <v>2</v>
      </c>
      <c r="J630" s="67" t="n">
        <v>2</v>
      </c>
      <c r="K630" s="67" t="n">
        <v>0</v>
      </c>
      <c r="L630" s="67" t="n">
        <v>1</v>
      </c>
      <c r="M630" s="67" t="n">
        <v>1</v>
      </c>
      <c r="N630" s="67" t="n">
        <v>0</v>
      </c>
      <c r="O630" s="67" t="n">
        <v>0</v>
      </c>
      <c r="P630" s="67" t="n">
        <v>0</v>
      </c>
      <c r="Q630" s="66" t="inlineStr">
        <is>
          <t>Migration</t>
        </is>
      </c>
      <c r="Z630" s="66">
        <f>"SMALL|"&amp;A630</f>
        <v/>
      </c>
      <c r="AA630" s="66">
        <f>Q630&amp;"|"&amp;Z630</f>
        <v/>
      </c>
    </row>
    <row r="631" ht="15" customHeight="1" s="39">
      <c r="A631" s="67" t="inlineStr">
        <is>
          <t>E-Mutabakat</t>
        </is>
      </c>
      <c r="B631" s="67" t="n">
        <v>2</v>
      </c>
      <c r="C631" s="67" t="n">
        <v>1</v>
      </c>
      <c r="D631" s="67" t="n">
        <v>0</v>
      </c>
      <c r="E631" s="67" t="n">
        <v>3</v>
      </c>
      <c r="F631" s="67" t="n">
        <v>3</v>
      </c>
      <c r="G631" s="67" t="n">
        <v>1</v>
      </c>
      <c r="H631" s="67" t="n">
        <v>0</v>
      </c>
      <c r="I631" s="67" t="n">
        <v>2</v>
      </c>
      <c r="J631" s="67" t="n">
        <v>2</v>
      </c>
      <c r="K631" s="67" t="n">
        <v>0</v>
      </c>
      <c r="L631" s="67" t="n">
        <v>1</v>
      </c>
      <c r="M631" s="67" t="n">
        <v>1</v>
      </c>
      <c r="N631" s="67" t="n">
        <v>0</v>
      </c>
      <c r="O631" s="67" t="n">
        <v>0</v>
      </c>
      <c r="P631" s="67" t="n">
        <v>0</v>
      </c>
      <c r="Q631" s="66" t="inlineStr">
        <is>
          <t>Migration</t>
        </is>
      </c>
      <c r="Z631" s="66">
        <f>"SMALL|"&amp;A631</f>
        <v/>
      </c>
      <c r="AA631" s="66">
        <f>Q631&amp;"|"&amp;Z631</f>
        <v/>
      </c>
    </row>
    <row r="632" ht="15" customHeight="1" s="39">
      <c r="A632" s="67" t="inlineStr">
        <is>
          <t>E-Beyanname</t>
        </is>
      </c>
      <c r="B632" s="67" t="n">
        <v>4</v>
      </c>
      <c r="C632" s="67" t="n">
        <v>2</v>
      </c>
      <c r="D632" s="67" t="n">
        <v>0</v>
      </c>
      <c r="E632" s="67" t="n">
        <v>4</v>
      </c>
      <c r="F632" s="67" t="n">
        <v>3</v>
      </c>
      <c r="G632" s="67" t="n">
        <v>1</v>
      </c>
      <c r="H632" s="67" t="n">
        <v>0</v>
      </c>
      <c r="I632" s="67" t="n">
        <v>0</v>
      </c>
      <c r="J632" s="67" t="n">
        <v>0</v>
      </c>
      <c r="K632" s="67" t="n">
        <v>0</v>
      </c>
      <c r="L632" s="67" t="n">
        <v>1</v>
      </c>
      <c r="M632" s="67" t="n">
        <v>1</v>
      </c>
      <c r="N632" s="67" t="n">
        <v>0</v>
      </c>
      <c r="O632" s="67" t="n">
        <v>0</v>
      </c>
      <c r="P632" s="67" t="n">
        <v>0</v>
      </c>
      <c r="Q632" s="66" t="inlineStr">
        <is>
          <t>Migration</t>
        </is>
      </c>
      <c r="Z632" s="66">
        <f>"SMALL|"&amp;A632</f>
        <v/>
      </c>
      <c r="AA632" s="66">
        <f>Q632&amp;"|"&amp;Z632</f>
        <v/>
      </c>
    </row>
    <row r="633" ht="15" customHeight="1" s="39">
      <c r="A633" s="67" t="inlineStr">
        <is>
          <t>Gelen Fatura Otomasyon</t>
        </is>
      </c>
      <c r="B633" s="67" t="n">
        <v>4</v>
      </c>
      <c r="C633" s="67" t="n">
        <v>1</v>
      </c>
      <c r="D633" s="67" t="n">
        <v>0</v>
      </c>
      <c r="E633" s="67" t="n">
        <v>3</v>
      </c>
      <c r="F633" s="67" t="n">
        <v>3</v>
      </c>
      <c r="G633" s="67" t="n">
        <v>1</v>
      </c>
      <c r="H633" s="67" t="n">
        <v>0</v>
      </c>
      <c r="I633" s="67" t="n">
        <v>2</v>
      </c>
      <c r="J633" s="67" t="n">
        <v>2</v>
      </c>
      <c r="K633" s="67" t="n">
        <v>0</v>
      </c>
      <c r="L633" s="67" t="n">
        <v>1</v>
      </c>
      <c r="M633" s="67" t="n">
        <v>1</v>
      </c>
      <c r="N633" s="67" t="n">
        <v>0</v>
      </c>
      <c r="O633" s="67" t="n">
        <v>0</v>
      </c>
      <c r="P633" s="67" t="n">
        <v>0</v>
      </c>
      <c r="Q633" s="66" t="inlineStr">
        <is>
          <t>Migration</t>
        </is>
      </c>
      <c r="Z633" s="66">
        <f>"SMALL|"&amp;A633</f>
        <v/>
      </c>
      <c r="AA633" s="66">
        <f>Q633&amp;"|"&amp;Z633</f>
        <v/>
      </c>
    </row>
    <row r="634" ht="15" customHeight="1" s="39">
      <c r="A634" s="67" t="inlineStr">
        <is>
          <t>GLASSWING</t>
        </is>
      </c>
      <c r="B634" s="67" t="n">
        <v>20</v>
      </c>
      <c r="C634" s="67" t="n">
        <v>2</v>
      </c>
      <c r="D634" s="67" t="n">
        <v>1</v>
      </c>
      <c r="E634" s="67" t="n">
        <v>5</v>
      </c>
      <c r="F634" s="67" t="n">
        <v>4</v>
      </c>
      <c r="G634" s="67" t="n">
        <v>1</v>
      </c>
      <c r="H634" s="67" t="n">
        <v>0</v>
      </c>
      <c r="I634" s="67" t="n">
        <v>8</v>
      </c>
      <c r="J634" s="67" t="n">
        <v>10</v>
      </c>
      <c r="K634" s="67" t="n">
        <v>4</v>
      </c>
      <c r="L634" s="67" t="n">
        <v>1</v>
      </c>
      <c r="M634" s="67" t="n">
        <v>1</v>
      </c>
      <c r="N634" s="67" t="n">
        <v>3</v>
      </c>
      <c r="O634" s="67" t="n">
        <v>0</v>
      </c>
      <c r="P634" s="67" t="n">
        <v>0</v>
      </c>
      <c r="Q634" s="66" t="inlineStr">
        <is>
          <t>Migration</t>
        </is>
      </c>
      <c r="Z634" s="66">
        <f>"SMALL|"&amp;A634</f>
        <v/>
      </c>
      <c r="AA634" s="66">
        <f>Q634&amp;"|"&amp;Z634</f>
        <v/>
      </c>
    </row>
    <row r="635" ht="15" customHeight="1" s="39">
      <c r="A635" s="67" t="inlineStr">
        <is>
          <t>COMMODITY</t>
        </is>
      </c>
      <c r="B635" s="67" t="n">
        <v>42</v>
      </c>
      <c r="C635" s="67" t="n">
        <v>6</v>
      </c>
      <c r="D635" s="67" t="n">
        <v>2</v>
      </c>
      <c r="E635" s="67" t="n">
        <v>5</v>
      </c>
      <c r="F635" s="67" t="n">
        <v>6</v>
      </c>
      <c r="G635" s="67" t="n">
        <v>2</v>
      </c>
      <c r="H635" s="67" t="n">
        <v>1</v>
      </c>
      <c r="I635" s="67" t="n">
        <v>12</v>
      </c>
      <c r="J635" s="67" t="n">
        <v>12</v>
      </c>
      <c r="K635" s="67" t="n">
        <v>2</v>
      </c>
      <c r="L635" s="67" t="n">
        <v>2</v>
      </c>
      <c r="M635" s="67" t="n">
        <v>3</v>
      </c>
      <c r="N635" s="67" t="n">
        <v>5</v>
      </c>
      <c r="O635" s="67" t="n">
        <v>0</v>
      </c>
      <c r="P635" s="67" t="n">
        <v>0</v>
      </c>
      <c r="Q635" s="66" t="inlineStr">
        <is>
          <t>Migration</t>
        </is>
      </c>
      <c r="Z635" s="66">
        <f>"SMALL|"&amp;A635</f>
        <v/>
      </c>
      <c r="AA635" s="66">
        <f>Q635&amp;"|"&amp;Z635</f>
        <v/>
      </c>
    </row>
    <row r="636" ht="15" customHeight="1" s="39">
      <c r="A636" s="67" t="inlineStr">
        <is>
          <t>Dış Ticaret Çözümü</t>
        </is>
      </c>
      <c r="B636" s="67" t="n">
        <v>0</v>
      </c>
      <c r="C636" s="67" t="n">
        <v>0</v>
      </c>
      <c r="D636" s="67" t="n">
        <v>0</v>
      </c>
      <c r="E636" s="67" t="n">
        <v>0</v>
      </c>
      <c r="F636" s="67" t="n">
        <v>0</v>
      </c>
      <c r="G636" s="67" t="n">
        <v>0</v>
      </c>
      <c r="H636" s="67" t="n">
        <v>0</v>
      </c>
      <c r="I636" s="67" t="n">
        <v>0</v>
      </c>
      <c r="J636" s="67" t="n">
        <v>0</v>
      </c>
      <c r="K636" s="67" t="n">
        <v>0</v>
      </c>
      <c r="L636" s="67" t="n">
        <v>0</v>
      </c>
      <c r="M636" s="67" t="n">
        <v>0</v>
      </c>
      <c r="N636" s="67" t="n">
        <v>0</v>
      </c>
      <c r="O636" s="67" t="n">
        <v>0</v>
      </c>
      <c r="P636" s="67" t="n">
        <v>0</v>
      </c>
      <c r="Q636" s="66" t="inlineStr">
        <is>
          <t>Migration</t>
        </is>
      </c>
      <c r="Z636" s="66">
        <f>"SMALL|"&amp;A636</f>
        <v/>
      </c>
      <c r="AA636" s="66">
        <f>Q636&amp;"|"&amp;Z636</f>
        <v/>
      </c>
    </row>
    <row r="637" ht="15" customHeight="1" s="39">
      <c r="A637" s="67" t="inlineStr">
        <is>
          <t>Seyahat ve Masraf Yönetimi</t>
        </is>
      </c>
      <c r="B637" s="67" t="n">
        <v>0</v>
      </c>
      <c r="C637" s="67" t="n">
        <v>0</v>
      </c>
      <c r="D637" s="67" t="n">
        <v>0</v>
      </c>
      <c r="E637" s="67" t="n">
        <v>0</v>
      </c>
      <c r="F637" s="67" t="n">
        <v>0</v>
      </c>
      <c r="G637" s="67" t="n">
        <v>0</v>
      </c>
      <c r="H637" s="67" t="n">
        <v>0</v>
      </c>
      <c r="I637" s="67" t="n">
        <v>0</v>
      </c>
      <c r="J637" s="67" t="n">
        <v>0</v>
      </c>
      <c r="K637" s="67" t="n">
        <v>0</v>
      </c>
      <c r="L637" s="67" t="n">
        <v>0</v>
      </c>
      <c r="M637" s="67" t="n">
        <v>0</v>
      </c>
      <c r="N637" s="67" t="n">
        <v>0</v>
      </c>
      <c r="O637" s="67" t="n">
        <v>0</v>
      </c>
      <c r="P637" s="67" t="n">
        <v>0</v>
      </c>
      <c r="Q637" s="66" t="inlineStr">
        <is>
          <t>Migration</t>
        </is>
      </c>
      <c r="Z637" s="66">
        <f>"SMALL|"&amp;A637</f>
        <v/>
      </c>
      <c r="AA637" s="66">
        <f>Q637&amp;"|"&amp;Z637</f>
        <v/>
      </c>
    </row>
    <row r="638" ht="15" customHeight="1" s="39">
      <c r="A638" s="67" t="inlineStr">
        <is>
          <t>NTT Data POS</t>
        </is>
      </c>
      <c r="B638" s="67" t="n">
        <v>0</v>
      </c>
      <c r="C638" s="67" t="n">
        <v>0</v>
      </c>
      <c r="D638" s="67" t="n">
        <v>0</v>
      </c>
      <c r="E638" s="67" t="n">
        <v>0</v>
      </c>
      <c r="F638" s="67" t="n">
        <v>0</v>
      </c>
      <c r="G638" s="67" t="n">
        <v>0</v>
      </c>
      <c r="H638" s="67" t="n">
        <v>0</v>
      </c>
      <c r="I638" s="67" t="n">
        <v>0</v>
      </c>
      <c r="J638" s="67" t="n">
        <v>0</v>
      </c>
      <c r="K638" s="67" t="n">
        <v>0</v>
      </c>
      <c r="L638" s="67" t="n">
        <v>0</v>
      </c>
      <c r="M638" s="67" t="n">
        <v>0</v>
      </c>
      <c r="N638" s="67" t="n">
        <v>0</v>
      </c>
      <c r="O638" s="67" t="n">
        <v>0</v>
      </c>
      <c r="P638" s="67" t="n">
        <v>0</v>
      </c>
      <c r="Q638" s="66" t="inlineStr">
        <is>
          <t>Migration</t>
        </is>
      </c>
      <c r="Z638" s="66">
        <f>"SMALL|"&amp;A638</f>
        <v/>
      </c>
      <c r="AA638" s="66">
        <f>Q638&amp;"|"&amp;Z638</f>
        <v/>
      </c>
    </row>
    <row r="640" ht="15" customHeight="1" s="39">
      <c r="A640" s="68" t="inlineStr">
        <is>
          <t>MEDIUM</t>
        </is>
      </c>
      <c r="Q640" s="68" t="inlineStr">
        <is>
          <t>Migration</t>
        </is>
      </c>
    </row>
    <row r="641" ht="15" customHeight="1" s="39">
      <c r="A641" s="67">
        <f>INDEX(Translations!$D:$ZZ, MATCH(74,Translations!$A:$A,0), MATCH('Project Information'!$C$4,Translations!$D$1:$ZZ$1,0))</f>
        <v/>
      </c>
      <c r="B641" s="67">
        <f>INDEX(Translations!$D:$ZZ, MATCH(75,Translations!$A:$A,0), MATCH('Project Information'!$C$4,Translations!$D$1:$ZZ$1,0))</f>
        <v/>
      </c>
      <c r="C641" s="67">
        <f>INDEX(Translations!$D:$ZZ, MATCH(76,Translations!$A:$A,0), MATCH('Project Information'!$C$4,Translations!$D$1:$ZZ$1,0))</f>
        <v/>
      </c>
      <c r="D641" s="67">
        <f>INDEX(Translations!$D:$ZZ, MATCH(77,Translations!$A:$A,0), MATCH('Project Information'!$C$4,Translations!$D$1:$ZZ$1,0))</f>
        <v/>
      </c>
      <c r="E641" s="67">
        <f>INDEX(Translations!$D:$ZZ, MATCH(78,Translations!$A:$A,0), MATCH('Project Information'!$C$4,Translations!$D$1:$ZZ$1,0))</f>
        <v/>
      </c>
      <c r="F641" s="67">
        <f>INDEX(Translations!$D:$ZZ, MATCH(79,Translations!$A:$A,0), MATCH('Project Information'!$C$4,Translations!$D$1:$ZZ$1,0))</f>
        <v/>
      </c>
      <c r="G641" s="67">
        <f>INDEX(Translations!$D:$ZZ, MATCH(80,Translations!$A:$A,0), MATCH('Project Information'!$C$4,Translations!$D$1:$ZZ$1,0))</f>
        <v/>
      </c>
      <c r="H641" s="67">
        <f>INDEX(Translations!$D:$ZZ, MATCH(81,Translations!$A:$A,0), MATCH('Project Information'!$C$4,Translations!$D$1:$ZZ$1,0))</f>
        <v/>
      </c>
      <c r="I641" s="67">
        <f>INDEX(Translations!$D:$ZZ, MATCH(82,Translations!$A:$A,0), MATCH('Project Information'!$C$4,Translations!$D$1:$ZZ$1,0))</f>
        <v/>
      </c>
      <c r="J641" s="67">
        <f>INDEX(Translations!$D:$ZZ, MATCH(83,Translations!$A:$A,0), MATCH('Project Information'!$C$4,Translations!$D$1:$ZZ$1,0))</f>
        <v/>
      </c>
      <c r="K641" s="67">
        <f>INDEX(Translations!$D:$ZZ, MATCH(84,Translations!$A:$A,0), MATCH('Project Information'!$C$4,Translations!$D$1:$ZZ$1,0))</f>
        <v/>
      </c>
      <c r="L641" s="67">
        <f>INDEX(Translations!$D:$ZZ, MATCH(85,Translations!$A:$A,0), MATCH('Project Information'!$C$4,Translations!$D$1:$ZZ$1,0))</f>
        <v/>
      </c>
      <c r="M641" s="67">
        <f>INDEX(Translations!$D:$ZZ, MATCH(86,Translations!$A:$A,0), MATCH('Project Information'!$C$4,Translations!$D$1:$ZZ$1,0))</f>
        <v/>
      </c>
      <c r="N641" s="67">
        <f>INDEX(Translations!$D:$ZZ, MATCH(87,Translations!$A:$A,0), MATCH('Project Information'!$C$4,Translations!$D$1:$ZZ$1,0))</f>
        <v/>
      </c>
      <c r="O641" s="67">
        <f>INDEX(Translations!$D:$ZZ, MATCH(88,Translations!$A:$A,0), MATCH('Project Information'!$C$4,Translations!$D$1:$ZZ$1,0))</f>
        <v/>
      </c>
      <c r="P641" s="67">
        <f>INDEX(Translations!$D:$ZZ, MATCH(89,Translations!$A:$A,0), MATCH('Project Information'!$C$4,Translations!$D$1:$ZZ$1,0))</f>
        <v/>
      </c>
      <c r="Q641" s="67" t="inlineStr">
        <is>
          <t>Implementation Type</t>
        </is>
      </c>
      <c r="Z641" s="67">
        <f>INDEX(Translations!$D:$ZZ, MATCH(93,Translations!$A:$A,0), MATCH('Project Information'!$C$4,Translations!$D$1:$ZZ$1,0))</f>
        <v/>
      </c>
      <c r="AA641" s="67" t="inlineStr">
        <is>
          <t>Implementation Key</t>
        </is>
      </c>
    </row>
    <row r="642" ht="15" customHeight="1" s="39">
      <c r="A642" s="67" t="inlineStr">
        <is>
          <t>FI</t>
        </is>
      </c>
      <c r="B642" s="67" t="n">
        <v>36</v>
      </c>
      <c r="C642" s="67" t="n">
        <v>3</v>
      </c>
      <c r="D642" s="67" t="n">
        <v>2</v>
      </c>
      <c r="E642" s="67" t="n">
        <v>3</v>
      </c>
      <c r="F642" s="67" t="n">
        <v>2</v>
      </c>
      <c r="G642" s="67" t="n">
        <v>1</v>
      </c>
      <c r="H642" s="67" t="n">
        <v>2</v>
      </c>
      <c r="I642" s="67" t="n">
        <v>18</v>
      </c>
      <c r="J642" s="67" t="n">
        <v>18</v>
      </c>
      <c r="K642" s="67" t="n">
        <v>1</v>
      </c>
      <c r="L642" s="67" t="n">
        <v>1</v>
      </c>
      <c r="M642" s="67" t="n">
        <v>8</v>
      </c>
      <c r="N642" s="67" t="n">
        <v>8</v>
      </c>
      <c r="O642" s="67" t="n">
        <v>0</v>
      </c>
      <c r="P642" s="67" t="n">
        <v>0</v>
      </c>
      <c r="Q642" s="66" t="inlineStr">
        <is>
          <t>Migration</t>
        </is>
      </c>
      <c r="Z642" s="66">
        <f>"MEDIUM|"&amp;A642</f>
        <v/>
      </c>
      <c r="AA642" s="66">
        <f>Q642&amp;"|"&amp;Z642</f>
        <v/>
      </c>
    </row>
    <row r="643" ht="15" customHeight="1" s="39">
      <c r="A643" s="67" t="inlineStr">
        <is>
          <t>CO</t>
        </is>
      </c>
      <c r="B643" s="67" t="n">
        <v>32</v>
      </c>
      <c r="C643" s="67" t="n">
        <v>3</v>
      </c>
      <c r="D643" s="67" t="n">
        <v>2</v>
      </c>
      <c r="E643" s="67" t="n">
        <v>3</v>
      </c>
      <c r="F643" s="67" t="n">
        <v>2</v>
      </c>
      <c r="G643" s="67" t="n">
        <v>1</v>
      </c>
      <c r="H643" s="67" t="n">
        <v>1</v>
      </c>
      <c r="I643" s="67" t="n">
        <v>18</v>
      </c>
      <c r="J643" s="67" t="n">
        <v>18</v>
      </c>
      <c r="K643" s="67" t="n">
        <v>1</v>
      </c>
      <c r="L643" s="67" t="n">
        <v>1</v>
      </c>
      <c r="M643" s="67" t="n">
        <v>5</v>
      </c>
      <c r="N643" s="67" t="n">
        <v>5</v>
      </c>
      <c r="O643" s="67" t="n">
        <v>0</v>
      </c>
      <c r="P643" s="67" t="n">
        <v>0</v>
      </c>
      <c r="Q643" s="66" t="inlineStr">
        <is>
          <t>Migration</t>
        </is>
      </c>
      <c r="Z643" s="66">
        <f>"MEDIUM|"&amp;A643</f>
        <v/>
      </c>
      <c r="AA643" s="66">
        <f>Q643&amp;"|"&amp;Z643</f>
        <v/>
      </c>
    </row>
    <row r="644" ht="15" customHeight="1" s="39">
      <c r="A644" s="67" t="inlineStr">
        <is>
          <t>TRM</t>
        </is>
      </c>
      <c r="B644" s="67" t="n">
        <v>12</v>
      </c>
      <c r="C644" s="67" t="n">
        <v>2</v>
      </c>
      <c r="D644" s="67" t="n">
        <v>1</v>
      </c>
      <c r="E644" s="67" t="n">
        <v>2</v>
      </c>
      <c r="F644" s="67" t="n">
        <v>1</v>
      </c>
      <c r="G644" s="67" t="n">
        <v>0.5</v>
      </c>
      <c r="H644" s="67" t="n">
        <v>0.5</v>
      </c>
      <c r="I644" s="67" t="n">
        <v>6</v>
      </c>
      <c r="J644" s="67" t="n">
        <v>6</v>
      </c>
      <c r="K644" s="67" t="n">
        <v>0.5</v>
      </c>
      <c r="L644" s="67" t="n">
        <v>0.5</v>
      </c>
      <c r="M644" s="67" t="n">
        <v>5</v>
      </c>
      <c r="N644" s="67" t="n">
        <v>5</v>
      </c>
      <c r="O644" s="67" t="n">
        <v>0</v>
      </c>
      <c r="P644" s="67" t="n">
        <v>0</v>
      </c>
      <c r="Q644" s="66" t="inlineStr">
        <is>
          <t>Migration</t>
        </is>
      </c>
      <c r="Z644" s="66">
        <f>"MEDIUM|"&amp;A644</f>
        <v/>
      </c>
      <c r="AA644" s="66">
        <f>Q644&amp;"|"&amp;Z644</f>
        <v/>
      </c>
    </row>
    <row r="645" ht="15" customHeight="1" s="39">
      <c r="A645" s="67" t="inlineStr">
        <is>
          <t>CM</t>
        </is>
      </c>
      <c r="B645" s="67" t="n">
        <v>8</v>
      </c>
      <c r="C645" s="67" t="n">
        <v>1</v>
      </c>
      <c r="D645" s="67" t="n">
        <v>1</v>
      </c>
      <c r="E645" s="67" t="n">
        <v>1</v>
      </c>
      <c r="F645" s="67" t="n">
        <v>1</v>
      </c>
      <c r="G645" s="67" t="n">
        <v>0.5</v>
      </c>
      <c r="H645" s="67" t="n">
        <v>0.5</v>
      </c>
      <c r="I645" s="67" t="n">
        <v>2</v>
      </c>
      <c r="J645" s="67" t="n">
        <v>2</v>
      </c>
      <c r="K645" s="67" t="n">
        <v>0.5</v>
      </c>
      <c r="L645" s="67" t="n">
        <v>0.5</v>
      </c>
      <c r="M645" s="67" t="n">
        <v>2</v>
      </c>
      <c r="N645" s="67" t="n">
        <v>2</v>
      </c>
      <c r="O645" s="67" t="n">
        <v>0</v>
      </c>
      <c r="P645" s="67" t="n">
        <v>0</v>
      </c>
      <c r="Q645" s="66" t="inlineStr">
        <is>
          <t>Migration</t>
        </is>
      </c>
      <c r="Z645" s="66">
        <f>"MEDIUM|"&amp;A645</f>
        <v/>
      </c>
      <c r="AA645" s="66">
        <f>Q645&amp;"|"&amp;Z645</f>
        <v/>
      </c>
    </row>
    <row r="646" ht="15" customHeight="1" s="39">
      <c r="A646" s="67" t="inlineStr">
        <is>
          <t>FM</t>
        </is>
      </c>
      <c r="B646" s="67" t="n">
        <v>8</v>
      </c>
      <c r="C646" s="67" t="n">
        <v>1</v>
      </c>
      <c r="D646" s="67" t="n">
        <v>1</v>
      </c>
      <c r="E646" s="67" t="n">
        <v>1</v>
      </c>
      <c r="F646" s="67" t="n">
        <v>1</v>
      </c>
      <c r="G646" s="67" t="n">
        <v>0.5</v>
      </c>
      <c r="H646" s="67" t="n">
        <v>0.5</v>
      </c>
      <c r="I646" s="67" t="n">
        <v>2</v>
      </c>
      <c r="J646" s="67" t="n">
        <v>2</v>
      </c>
      <c r="K646" s="67" t="n">
        <v>0.5</v>
      </c>
      <c r="L646" s="67" t="n">
        <v>0.5</v>
      </c>
      <c r="M646" s="67" t="n">
        <v>2</v>
      </c>
      <c r="N646" s="67" t="n">
        <v>2</v>
      </c>
      <c r="O646" s="67" t="n">
        <v>0</v>
      </c>
      <c r="P646" s="67" t="n">
        <v>0</v>
      </c>
      <c r="Q646" s="66" t="inlineStr">
        <is>
          <t>Migration</t>
        </is>
      </c>
      <c r="Z646" s="66">
        <f>"MEDIUM|"&amp;A646</f>
        <v/>
      </c>
      <c r="AA646" s="66">
        <f>Q646&amp;"|"&amp;Z646</f>
        <v/>
      </c>
    </row>
    <row r="647" ht="15" customHeight="1" s="39">
      <c r="A647" s="67" t="inlineStr">
        <is>
          <t>RM</t>
        </is>
      </c>
      <c r="B647" s="67" t="n">
        <v>0</v>
      </c>
      <c r="C647" s="67" t="n">
        <v>0</v>
      </c>
      <c r="D647" s="67" t="n">
        <v>0</v>
      </c>
      <c r="E647" s="67" t="n">
        <v>0</v>
      </c>
      <c r="F647" s="67" t="n">
        <v>0</v>
      </c>
      <c r="G647" s="67" t="n">
        <v>0</v>
      </c>
      <c r="H647" s="67" t="n">
        <v>0</v>
      </c>
      <c r="I647" s="67" t="n">
        <v>0</v>
      </c>
      <c r="J647" s="67" t="n">
        <v>0</v>
      </c>
      <c r="K647" s="67" t="n">
        <v>0</v>
      </c>
      <c r="L647" s="67" t="n">
        <v>0</v>
      </c>
      <c r="M647" s="67" t="n">
        <v>0</v>
      </c>
      <c r="N647" s="67" t="n">
        <v>0</v>
      </c>
      <c r="O647" s="67" t="n">
        <v>0</v>
      </c>
      <c r="P647" s="67" t="n">
        <v>0</v>
      </c>
      <c r="Q647" s="66" t="inlineStr">
        <is>
          <t>Migration</t>
        </is>
      </c>
      <c r="Z647" s="66">
        <f>"MEDIUM|"&amp;A647</f>
        <v/>
      </c>
      <c r="AA647" s="66">
        <f>Q647&amp;"|"&amp;Z647</f>
        <v/>
      </c>
    </row>
    <row r="648" ht="15" customHeight="1" s="39">
      <c r="A648" s="67" t="inlineStr">
        <is>
          <t>RE/FX</t>
        </is>
      </c>
      <c r="B648" s="67" t="n">
        <v>0</v>
      </c>
      <c r="C648" s="67" t="n">
        <v>0</v>
      </c>
      <c r="D648" s="67" t="n">
        <v>0</v>
      </c>
      <c r="E648" s="67" t="n">
        <v>0</v>
      </c>
      <c r="F648" s="67" t="n">
        <v>0</v>
      </c>
      <c r="G648" s="67" t="n">
        <v>0</v>
      </c>
      <c r="H648" s="67" t="n">
        <v>0</v>
      </c>
      <c r="I648" s="67" t="n">
        <v>0</v>
      </c>
      <c r="J648" s="67" t="n">
        <v>0</v>
      </c>
      <c r="K648" s="67" t="n">
        <v>0</v>
      </c>
      <c r="L648" s="67" t="n">
        <v>0</v>
      </c>
      <c r="M648" s="67" t="n">
        <v>0</v>
      </c>
      <c r="N648" s="67" t="n">
        <v>0</v>
      </c>
      <c r="O648" s="67" t="n">
        <v>0</v>
      </c>
      <c r="P648" s="67" t="n">
        <v>0</v>
      </c>
      <c r="Q648" s="66" t="inlineStr">
        <is>
          <t>Migration</t>
        </is>
      </c>
      <c r="Z648" s="66">
        <f>"MEDIUM|"&amp;A648</f>
        <v/>
      </c>
      <c r="AA648" s="66">
        <f>Q648&amp;"|"&amp;Z648</f>
        <v/>
      </c>
    </row>
    <row r="649" ht="15" customHeight="1" s="39">
      <c r="A649" s="67" t="inlineStr">
        <is>
          <t>MM</t>
        </is>
      </c>
      <c r="B649" s="67" t="n">
        <v>42</v>
      </c>
      <c r="C649" s="67" t="n">
        <v>3</v>
      </c>
      <c r="D649" s="67" t="n">
        <v>2</v>
      </c>
      <c r="E649" s="67" t="n">
        <v>3</v>
      </c>
      <c r="F649" s="67" t="n">
        <v>2</v>
      </c>
      <c r="G649" s="67" t="n">
        <v>1</v>
      </c>
      <c r="H649" s="67" t="n">
        <v>3</v>
      </c>
      <c r="I649" s="67" t="n">
        <v>18</v>
      </c>
      <c r="J649" s="67" t="n">
        <v>18</v>
      </c>
      <c r="K649" s="67" t="n">
        <v>1</v>
      </c>
      <c r="L649" s="67" t="n">
        <v>1</v>
      </c>
      <c r="M649" s="67" t="n">
        <v>10</v>
      </c>
      <c r="N649" s="67" t="n">
        <v>10</v>
      </c>
      <c r="O649" s="67" t="n">
        <v>0</v>
      </c>
      <c r="P649" s="67" t="n">
        <v>0</v>
      </c>
      <c r="Q649" s="66" t="inlineStr">
        <is>
          <t>Migration</t>
        </is>
      </c>
      <c r="Z649" s="66">
        <f>"MEDIUM|"&amp;A649</f>
        <v/>
      </c>
      <c r="AA649" s="66">
        <f>Q649&amp;"|"&amp;Z649</f>
        <v/>
      </c>
    </row>
    <row r="650" ht="15" customHeight="1" s="39">
      <c r="A650" s="67" t="inlineStr">
        <is>
          <t>PP</t>
        </is>
      </c>
      <c r="B650" s="67" t="n">
        <v>42</v>
      </c>
      <c r="C650" s="67" t="n">
        <v>3</v>
      </c>
      <c r="D650" s="67" t="n">
        <v>2</v>
      </c>
      <c r="E650" s="67" t="n">
        <v>3</v>
      </c>
      <c r="F650" s="67" t="n">
        <v>2</v>
      </c>
      <c r="G650" s="67" t="n">
        <v>1</v>
      </c>
      <c r="H650" s="67" t="n">
        <v>3</v>
      </c>
      <c r="I650" s="67" t="n">
        <v>18</v>
      </c>
      <c r="J650" s="67" t="n">
        <v>18</v>
      </c>
      <c r="K650" s="67" t="n">
        <v>1</v>
      </c>
      <c r="L650" s="67" t="n">
        <v>1</v>
      </c>
      <c r="M650" s="67" t="n">
        <v>10</v>
      </c>
      <c r="N650" s="67" t="n">
        <v>10</v>
      </c>
      <c r="O650" s="67" t="n">
        <v>0</v>
      </c>
      <c r="P650" s="67" t="n">
        <v>0</v>
      </c>
      <c r="Q650" s="66" t="inlineStr">
        <is>
          <t>Migration</t>
        </is>
      </c>
      <c r="Z650" s="66">
        <f>"MEDIUM|"&amp;A650</f>
        <v/>
      </c>
      <c r="AA650" s="66">
        <f>Q650&amp;"|"&amp;Z650</f>
        <v/>
      </c>
    </row>
    <row r="651" ht="15" customHeight="1" s="39">
      <c r="A651" s="67" t="inlineStr">
        <is>
          <t>SD</t>
        </is>
      </c>
      <c r="B651" s="67" t="n">
        <v>42</v>
      </c>
      <c r="C651" s="67" t="n">
        <v>3</v>
      </c>
      <c r="D651" s="67" t="n">
        <v>2</v>
      </c>
      <c r="E651" s="67" t="n">
        <v>3</v>
      </c>
      <c r="F651" s="67" t="n">
        <v>2</v>
      </c>
      <c r="G651" s="67" t="n">
        <v>1</v>
      </c>
      <c r="H651" s="67" t="n">
        <v>2</v>
      </c>
      <c r="I651" s="67" t="n">
        <v>18</v>
      </c>
      <c r="J651" s="67" t="n">
        <v>18</v>
      </c>
      <c r="K651" s="67" t="n">
        <v>1</v>
      </c>
      <c r="L651" s="67" t="n">
        <v>1</v>
      </c>
      <c r="M651" s="67" t="n">
        <v>8</v>
      </c>
      <c r="N651" s="67" t="n">
        <v>8</v>
      </c>
      <c r="O651" s="67" t="n">
        <v>0</v>
      </c>
      <c r="P651" s="67" t="n">
        <v>0</v>
      </c>
      <c r="Q651" s="66" t="inlineStr">
        <is>
          <t>Migration</t>
        </is>
      </c>
      <c r="Z651" s="66">
        <f>"MEDIUM|"&amp;A651</f>
        <v/>
      </c>
      <c r="AA651" s="66">
        <f>Q651&amp;"|"&amp;Z651</f>
        <v/>
      </c>
    </row>
    <row r="652" ht="15" customHeight="1" s="39">
      <c r="A652" s="67" t="inlineStr">
        <is>
          <t>QM</t>
        </is>
      </c>
      <c r="B652" s="67" t="n">
        <v>32</v>
      </c>
      <c r="C652" s="67" t="n">
        <v>2</v>
      </c>
      <c r="D652" s="67" t="n">
        <v>1</v>
      </c>
      <c r="E652" s="67" t="n">
        <v>2</v>
      </c>
      <c r="F652" s="67" t="n">
        <v>2</v>
      </c>
      <c r="G652" s="67" t="n">
        <v>0.5</v>
      </c>
      <c r="H652" s="67" t="n">
        <v>3</v>
      </c>
      <c r="I652" s="67" t="n">
        <v>18</v>
      </c>
      <c r="J652" s="67" t="n">
        <v>18</v>
      </c>
      <c r="K652" s="67" t="n">
        <v>1</v>
      </c>
      <c r="L652" s="67" t="n">
        <v>0.5</v>
      </c>
      <c r="M652" s="67" t="n">
        <v>8</v>
      </c>
      <c r="N652" s="67" t="n">
        <v>8</v>
      </c>
      <c r="O652" s="67" t="n">
        <v>0</v>
      </c>
      <c r="P652" s="67" t="n">
        <v>0</v>
      </c>
      <c r="Q652" s="66" t="inlineStr">
        <is>
          <t>Migration</t>
        </is>
      </c>
      <c r="Z652" s="66">
        <f>"MEDIUM|"&amp;A652</f>
        <v/>
      </c>
      <c r="AA652" s="66">
        <f>Q652&amp;"|"&amp;Z652</f>
        <v/>
      </c>
    </row>
    <row r="653" ht="15" customHeight="1" s="39">
      <c r="A653" s="67" t="inlineStr">
        <is>
          <t>PM</t>
        </is>
      </c>
      <c r="B653" s="67" t="n">
        <v>24</v>
      </c>
      <c r="C653" s="67" t="n">
        <v>2</v>
      </c>
      <c r="D653" s="67" t="n">
        <v>1</v>
      </c>
      <c r="E653" s="67" t="n">
        <v>2</v>
      </c>
      <c r="F653" s="67" t="n">
        <v>2</v>
      </c>
      <c r="G653" s="67" t="n">
        <v>0.5</v>
      </c>
      <c r="H653" s="67" t="n">
        <v>2</v>
      </c>
      <c r="I653" s="67" t="n">
        <v>8</v>
      </c>
      <c r="J653" s="67" t="n">
        <v>8</v>
      </c>
      <c r="K653" s="67" t="n">
        <v>1</v>
      </c>
      <c r="L653" s="67" t="n">
        <v>0.5</v>
      </c>
      <c r="M653" s="67" t="n">
        <v>4</v>
      </c>
      <c r="N653" s="67" t="n">
        <v>4</v>
      </c>
      <c r="O653" s="67" t="n">
        <v>0</v>
      </c>
      <c r="P653" s="67" t="n">
        <v>0</v>
      </c>
      <c r="Q653" s="66" t="inlineStr">
        <is>
          <t>Migration</t>
        </is>
      </c>
      <c r="Z653" s="66">
        <f>"MEDIUM|"&amp;A653</f>
        <v/>
      </c>
      <c r="AA653" s="66">
        <f>Q653&amp;"|"&amp;Z653</f>
        <v/>
      </c>
    </row>
    <row r="654" ht="15" customHeight="1" s="39">
      <c r="A654" s="67" t="inlineStr">
        <is>
          <t>PS</t>
        </is>
      </c>
      <c r="B654" s="67" t="n">
        <v>24</v>
      </c>
      <c r="C654" s="67" t="n">
        <v>2</v>
      </c>
      <c r="D654" s="67" t="n">
        <v>1</v>
      </c>
      <c r="E654" s="67" t="n">
        <v>2</v>
      </c>
      <c r="F654" s="67" t="n">
        <v>2</v>
      </c>
      <c r="G654" s="67" t="n">
        <v>0.5</v>
      </c>
      <c r="H654" s="67" t="n">
        <v>2</v>
      </c>
      <c r="I654" s="67" t="n">
        <v>6</v>
      </c>
      <c r="J654" s="67" t="n">
        <v>6</v>
      </c>
      <c r="K654" s="67" t="n">
        <v>1</v>
      </c>
      <c r="L654" s="67" t="n">
        <v>0.5</v>
      </c>
      <c r="M654" s="67" t="n">
        <v>4</v>
      </c>
      <c r="N654" s="67" t="n">
        <v>4</v>
      </c>
      <c r="O654" s="67" t="n">
        <v>0</v>
      </c>
      <c r="P654" s="67" t="n">
        <v>0</v>
      </c>
      <c r="Q654" s="66" t="inlineStr">
        <is>
          <t>Migration</t>
        </is>
      </c>
      <c r="Z654" s="66">
        <f>"MEDIUM|"&amp;A654</f>
        <v/>
      </c>
      <c r="AA654" s="66">
        <f>Q654&amp;"|"&amp;Z654</f>
        <v/>
      </c>
    </row>
    <row r="655" ht="15" customHeight="1" s="39">
      <c r="A655" s="67" t="inlineStr">
        <is>
          <t>MII/DM</t>
        </is>
      </c>
      <c r="B655" s="67" t="n">
        <v>0</v>
      </c>
      <c r="C655" s="67" t="n">
        <v>0</v>
      </c>
      <c r="D655" s="67" t="n">
        <v>0</v>
      </c>
      <c r="E655" s="67" t="n">
        <v>0</v>
      </c>
      <c r="F655" s="67" t="n">
        <v>0</v>
      </c>
      <c r="G655" s="67" t="n">
        <v>0</v>
      </c>
      <c r="H655" s="67" t="n">
        <v>0</v>
      </c>
      <c r="I655" s="67" t="n">
        <v>0</v>
      </c>
      <c r="J655" s="67" t="n">
        <v>0</v>
      </c>
      <c r="K655" s="67" t="n">
        <v>0</v>
      </c>
      <c r="L655" s="67" t="n">
        <v>0</v>
      </c>
      <c r="M655" s="67" t="n">
        <v>0</v>
      </c>
      <c r="N655" s="67" t="n">
        <v>0</v>
      </c>
      <c r="O655" s="67" t="n">
        <v>0</v>
      </c>
      <c r="P655" s="67" t="n">
        <v>0</v>
      </c>
      <c r="Q655" s="66" t="inlineStr">
        <is>
          <t>Migration</t>
        </is>
      </c>
      <c r="Z655" s="66">
        <f>"MEDIUM|"&amp;A655</f>
        <v/>
      </c>
      <c r="AA655" s="66">
        <f>Q655&amp;"|"&amp;Z655</f>
        <v/>
      </c>
    </row>
    <row r="656" ht="15" customHeight="1" s="39">
      <c r="A656" s="67" t="inlineStr">
        <is>
          <t>PM Mobility</t>
        </is>
      </c>
      <c r="B656" s="67" t="n">
        <v>0</v>
      </c>
      <c r="C656" s="67" t="n">
        <v>0</v>
      </c>
      <c r="D656" s="67" t="n">
        <v>0</v>
      </c>
      <c r="E656" s="67" t="n">
        <v>0</v>
      </c>
      <c r="F656" s="67" t="n">
        <v>0</v>
      </c>
      <c r="G656" s="67" t="n">
        <v>0</v>
      </c>
      <c r="H656" s="67" t="n">
        <v>0</v>
      </c>
      <c r="I656" s="67" t="n">
        <v>0</v>
      </c>
      <c r="J656" s="67" t="n">
        <v>0</v>
      </c>
      <c r="K656" s="67" t="n">
        <v>0</v>
      </c>
      <c r="L656" s="67" t="n">
        <v>0</v>
      </c>
      <c r="M656" s="67" t="n">
        <v>0</v>
      </c>
      <c r="N656" s="67" t="n">
        <v>0</v>
      </c>
      <c r="O656" s="67" t="n">
        <v>0</v>
      </c>
      <c r="P656" s="67" t="n">
        <v>0</v>
      </c>
      <c r="Q656" s="66" t="inlineStr">
        <is>
          <t>Migration</t>
        </is>
      </c>
      <c r="Z656" s="66">
        <f>"MEDIUM|"&amp;A656</f>
        <v/>
      </c>
      <c r="AA656" s="66">
        <f>Q656&amp;"|"&amp;Z656</f>
        <v/>
      </c>
    </row>
    <row r="657" ht="15" customHeight="1" s="39">
      <c r="A657" s="67" t="inlineStr">
        <is>
          <t>Basic EWM</t>
        </is>
      </c>
      <c r="B657" s="67" t="n">
        <v>40</v>
      </c>
      <c r="C657" s="67" t="n">
        <v>3</v>
      </c>
      <c r="D657" s="67" t="n">
        <v>2</v>
      </c>
      <c r="E657" s="67" t="n">
        <v>3</v>
      </c>
      <c r="F657" s="67" t="n">
        <v>2</v>
      </c>
      <c r="G657" s="67" t="n">
        <v>1</v>
      </c>
      <c r="H657" s="67" t="n">
        <v>2</v>
      </c>
      <c r="I657" s="67" t="n">
        <v>18</v>
      </c>
      <c r="J657" s="67" t="n">
        <v>18</v>
      </c>
      <c r="K657" s="67" t="n">
        <v>1</v>
      </c>
      <c r="L657" s="67" t="n">
        <v>1</v>
      </c>
      <c r="M657" s="67" t="n">
        <v>8</v>
      </c>
      <c r="N657" s="67" t="n">
        <v>8</v>
      </c>
      <c r="O657" s="67" t="n">
        <v>0</v>
      </c>
      <c r="P657" s="67" t="n">
        <v>0</v>
      </c>
      <c r="Q657" s="66" t="inlineStr">
        <is>
          <t>Migration</t>
        </is>
      </c>
      <c r="Z657" s="66">
        <f>"MEDIUM|"&amp;A657</f>
        <v/>
      </c>
      <c r="AA657" s="66">
        <f>Q657&amp;"|"&amp;Z657</f>
        <v/>
      </c>
    </row>
    <row r="658" ht="15" customHeight="1" s="39">
      <c r="A658" s="67" t="inlineStr">
        <is>
          <t>Advanced EWM</t>
        </is>
      </c>
      <c r="B658" s="67" t="n">
        <v>0</v>
      </c>
      <c r="C658" s="67" t="n">
        <v>0</v>
      </c>
      <c r="D658" s="67" t="n">
        <v>0</v>
      </c>
      <c r="E658" s="67" t="n">
        <v>0</v>
      </c>
      <c r="F658" s="67" t="n">
        <v>0</v>
      </c>
      <c r="G658" s="67" t="n">
        <v>0</v>
      </c>
      <c r="H658" s="67" t="n">
        <v>0</v>
      </c>
      <c r="I658" s="67" t="n">
        <v>0</v>
      </c>
      <c r="J658" s="67" t="n">
        <v>0</v>
      </c>
      <c r="K658" s="67" t="n">
        <v>0</v>
      </c>
      <c r="L658" s="67" t="n">
        <v>0</v>
      </c>
      <c r="M658" s="67" t="n">
        <v>0</v>
      </c>
      <c r="N658" s="67" t="n">
        <v>0</v>
      </c>
      <c r="O658" s="67" t="n">
        <v>0</v>
      </c>
      <c r="P658" s="67" t="n">
        <v>0</v>
      </c>
      <c r="Q658" s="66" t="inlineStr">
        <is>
          <t>Migration</t>
        </is>
      </c>
      <c r="Z658" s="66">
        <f>"MEDIUM|"&amp;A658</f>
        <v/>
      </c>
      <c r="AA658" s="66">
        <f>Q658&amp;"|"&amp;Z658</f>
        <v/>
      </c>
    </row>
    <row r="659" ht="15" customHeight="1" s="39">
      <c r="A659" s="67" t="inlineStr">
        <is>
          <t>TM</t>
        </is>
      </c>
      <c r="B659" s="67" t="n">
        <v>24</v>
      </c>
      <c r="C659" s="67" t="n">
        <v>3</v>
      </c>
      <c r="D659" s="67" t="n">
        <v>2</v>
      </c>
      <c r="E659" s="67" t="n">
        <v>2</v>
      </c>
      <c r="F659" s="67" t="n">
        <v>2</v>
      </c>
      <c r="G659" s="67" t="n">
        <v>1</v>
      </c>
      <c r="H659" s="67" t="n">
        <v>2</v>
      </c>
      <c r="I659" s="67" t="n">
        <v>15</v>
      </c>
      <c r="J659" s="67" t="n">
        <v>15</v>
      </c>
      <c r="K659" s="67" t="n">
        <v>1</v>
      </c>
      <c r="L659" s="67" t="n">
        <v>1</v>
      </c>
      <c r="M659" s="67" t="n">
        <v>4</v>
      </c>
      <c r="N659" s="67" t="n">
        <v>6</v>
      </c>
      <c r="O659" s="67" t="n">
        <v>0</v>
      </c>
      <c r="P659" s="67" t="n">
        <v>0</v>
      </c>
      <c r="Q659" s="66" t="inlineStr">
        <is>
          <t>Migration</t>
        </is>
      </c>
      <c r="Z659" s="66">
        <f>"MEDIUM|"&amp;A659</f>
        <v/>
      </c>
      <c r="AA659" s="66">
        <f>Q659&amp;"|"&amp;Z659</f>
        <v/>
      </c>
    </row>
    <row r="660" ht="15" customHeight="1" s="39">
      <c r="A660" s="67" t="inlineStr">
        <is>
          <t>PPDS</t>
        </is>
      </c>
      <c r="B660" s="67" t="n">
        <v>25</v>
      </c>
      <c r="C660" s="67" t="n">
        <v>2</v>
      </c>
      <c r="D660" s="67" t="n">
        <v>2</v>
      </c>
      <c r="E660" s="67" t="n">
        <v>3</v>
      </c>
      <c r="F660" s="67" t="n">
        <v>3</v>
      </c>
      <c r="G660" s="67" t="n">
        <v>0.5</v>
      </c>
      <c r="H660" s="67" t="n">
        <v>0.5</v>
      </c>
      <c r="I660" s="67" t="n">
        <v>7</v>
      </c>
      <c r="J660" s="67" t="n">
        <v>7</v>
      </c>
      <c r="K660" s="67" t="n">
        <v>0.5</v>
      </c>
      <c r="L660" s="67" t="n">
        <v>0.5</v>
      </c>
      <c r="M660" s="67" t="n">
        <v>2</v>
      </c>
      <c r="N660" s="67" t="n">
        <v>2</v>
      </c>
      <c r="O660" s="67" t="n">
        <v>0</v>
      </c>
      <c r="P660" s="67" t="n">
        <v>0</v>
      </c>
      <c r="Q660" s="66" t="inlineStr">
        <is>
          <t>Migration</t>
        </is>
      </c>
      <c r="Z660" s="66">
        <f>"MEDIUM|"&amp;A660</f>
        <v/>
      </c>
      <c r="AA660" s="66">
        <f>Q660&amp;"|"&amp;Z660</f>
        <v/>
      </c>
    </row>
    <row r="661" ht="15" customHeight="1" s="39">
      <c r="A661" s="67" t="inlineStr">
        <is>
          <t>ABAP</t>
        </is>
      </c>
      <c r="B661" s="67" t="n">
        <v>0</v>
      </c>
      <c r="C661" s="67" t="n">
        <v>0</v>
      </c>
      <c r="D661" s="67" t="n">
        <v>0</v>
      </c>
      <c r="E661" s="67" t="n">
        <v>0</v>
      </c>
      <c r="F661" s="67" t="n">
        <v>0</v>
      </c>
      <c r="G661" s="67" t="n">
        <v>0</v>
      </c>
      <c r="H661" s="67" t="n">
        <v>0</v>
      </c>
      <c r="I661" s="67" t="n">
        <v>0</v>
      </c>
      <c r="J661" s="67" t="n">
        <v>0</v>
      </c>
      <c r="K661" s="67" t="n">
        <v>0</v>
      </c>
      <c r="L661" s="67" t="n">
        <v>0</v>
      </c>
      <c r="M661" s="67" t="n">
        <v>0</v>
      </c>
      <c r="N661" s="67" t="n">
        <v>0</v>
      </c>
      <c r="O661" s="67" t="n">
        <v>0</v>
      </c>
      <c r="P661" s="67" t="n">
        <v>0</v>
      </c>
      <c r="Q661" s="66" t="inlineStr">
        <is>
          <t>Migration</t>
        </is>
      </c>
      <c r="Z661" s="66">
        <f>"MEDIUM|"&amp;A661</f>
        <v/>
      </c>
      <c r="AA661" s="66">
        <f>Q661&amp;"|"&amp;Z661</f>
        <v/>
      </c>
    </row>
    <row r="662" ht="15" customHeight="1" s="39">
      <c r="A662" s="67" t="inlineStr">
        <is>
          <t>BASIS</t>
        </is>
      </c>
      <c r="B662" s="67" t="n">
        <v>0</v>
      </c>
      <c r="C662" s="67" t="n">
        <v>0</v>
      </c>
      <c r="D662" s="67" t="n">
        <v>0</v>
      </c>
      <c r="E662" s="67" t="n">
        <v>0</v>
      </c>
      <c r="F662" s="67" t="n">
        <v>0</v>
      </c>
      <c r="G662" s="67" t="n">
        <v>0</v>
      </c>
      <c r="H662" s="67" t="n">
        <v>0</v>
      </c>
      <c r="I662" s="67" t="n">
        <v>0</v>
      </c>
      <c r="J662" s="67" t="n">
        <v>0</v>
      </c>
      <c r="K662" s="67" t="n">
        <v>0</v>
      </c>
      <c r="L662" s="67" t="n">
        <v>0</v>
      </c>
      <c r="M662" s="67" t="n">
        <v>0</v>
      </c>
      <c r="N662" s="67" t="n">
        <v>0</v>
      </c>
      <c r="O662" s="67" t="n">
        <v>0</v>
      </c>
      <c r="P662" s="67" t="n">
        <v>0</v>
      </c>
      <c r="Q662" s="66" t="inlineStr">
        <is>
          <t>Migration</t>
        </is>
      </c>
      <c r="Z662" s="66">
        <f>"MEDIUM|"&amp;A662</f>
        <v/>
      </c>
      <c r="AA662" s="66">
        <f>Q662&amp;"|"&amp;Z662</f>
        <v/>
      </c>
    </row>
    <row r="663" ht="15" customHeight="1" s="39">
      <c r="A663" s="67" t="inlineStr">
        <is>
          <t>E-Fatura/Arşiv</t>
        </is>
      </c>
      <c r="B663" s="67" t="n">
        <v>4</v>
      </c>
      <c r="C663" s="67" t="n">
        <v>1</v>
      </c>
      <c r="D663" s="67" t="n">
        <v>0</v>
      </c>
      <c r="E663" s="67" t="n">
        <v>2</v>
      </c>
      <c r="F663" s="67" t="n">
        <v>2</v>
      </c>
      <c r="G663" s="67" t="n">
        <v>1</v>
      </c>
      <c r="H663" s="67" t="n">
        <v>1</v>
      </c>
      <c r="I663" s="67" t="n">
        <v>3</v>
      </c>
      <c r="J663" s="67" t="n">
        <v>3</v>
      </c>
      <c r="K663" s="67" t="n">
        <v>0</v>
      </c>
      <c r="L663" s="67" t="n">
        <v>1</v>
      </c>
      <c r="M663" s="67" t="n">
        <v>1</v>
      </c>
      <c r="N663" s="67" t="n">
        <v>0</v>
      </c>
      <c r="O663" s="67" t="n">
        <v>0</v>
      </c>
      <c r="P663" s="67" t="n">
        <v>0</v>
      </c>
      <c r="Q663" s="66" t="inlineStr">
        <is>
          <t>Migration</t>
        </is>
      </c>
      <c r="Z663" s="66">
        <f>"MEDIUM|"&amp;A663</f>
        <v/>
      </c>
      <c r="AA663" s="66">
        <f>Q663&amp;"|"&amp;Z663</f>
        <v/>
      </c>
    </row>
    <row r="664" ht="15" customHeight="1" s="39">
      <c r="A664" s="67" t="inlineStr">
        <is>
          <t>E-İrsaliye</t>
        </is>
      </c>
      <c r="B664" s="67" t="n">
        <v>4</v>
      </c>
      <c r="C664" s="67" t="n">
        <v>1</v>
      </c>
      <c r="D664" s="67" t="n">
        <v>0</v>
      </c>
      <c r="E664" s="67" t="n">
        <v>2</v>
      </c>
      <c r="F664" s="67" t="n">
        <v>2</v>
      </c>
      <c r="G664" s="67" t="n">
        <v>1</v>
      </c>
      <c r="H664" s="67" t="n">
        <v>1</v>
      </c>
      <c r="I664" s="67" t="n">
        <v>3</v>
      </c>
      <c r="J664" s="67" t="n">
        <v>3</v>
      </c>
      <c r="K664" s="67" t="n">
        <v>0</v>
      </c>
      <c r="L664" s="67" t="n">
        <v>1</v>
      </c>
      <c r="M664" s="67" t="n">
        <v>1</v>
      </c>
      <c r="N664" s="67" t="n">
        <v>0</v>
      </c>
      <c r="O664" s="67" t="n">
        <v>0</v>
      </c>
      <c r="P664" s="67" t="n">
        <v>0</v>
      </c>
      <c r="Q664" s="66" t="inlineStr">
        <is>
          <t>Migration</t>
        </is>
      </c>
      <c r="Z664" s="66">
        <f>"MEDIUM|"&amp;A664</f>
        <v/>
      </c>
      <c r="AA664" s="66">
        <f>Q664&amp;"|"&amp;Z664</f>
        <v/>
      </c>
    </row>
    <row r="665" ht="15" customHeight="1" s="39">
      <c r="A665" s="67" t="inlineStr">
        <is>
          <t>E-Defter</t>
        </is>
      </c>
      <c r="B665" s="67" t="n">
        <v>3</v>
      </c>
      <c r="C665" s="67" t="n">
        <v>1</v>
      </c>
      <c r="D665" s="67" t="n">
        <v>0</v>
      </c>
      <c r="E665" s="67" t="n">
        <v>2</v>
      </c>
      <c r="F665" s="67" t="n">
        <v>2</v>
      </c>
      <c r="G665" s="67" t="n">
        <v>1</v>
      </c>
      <c r="H665" s="67" t="n">
        <v>1</v>
      </c>
      <c r="I665" s="67" t="n">
        <v>0</v>
      </c>
      <c r="J665" s="67" t="n">
        <v>0</v>
      </c>
      <c r="K665" s="67" t="n">
        <v>0</v>
      </c>
      <c r="L665" s="67" t="n">
        <v>3</v>
      </c>
      <c r="M665" s="67" t="n">
        <v>1</v>
      </c>
      <c r="N665" s="67" t="n">
        <v>0</v>
      </c>
      <c r="O665" s="67" t="n">
        <v>0</v>
      </c>
      <c r="P665" s="67" t="n">
        <v>0</v>
      </c>
      <c r="Q665" s="66" t="inlineStr">
        <is>
          <t>Migration</t>
        </is>
      </c>
      <c r="Z665" s="66">
        <f>"MEDIUM|"&amp;A665</f>
        <v/>
      </c>
      <c r="AA665" s="66">
        <f>Q665&amp;"|"&amp;Z665</f>
        <v/>
      </c>
    </row>
    <row r="666" ht="15" customHeight="1" s="39">
      <c r="A666" s="67" t="inlineStr">
        <is>
          <t>E-Hesap Özeti</t>
        </is>
      </c>
      <c r="B666" s="67" t="n">
        <v>5</v>
      </c>
      <c r="C666" s="67" t="n">
        <v>1</v>
      </c>
      <c r="D666" s="67" t="n">
        <v>0</v>
      </c>
      <c r="E666" s="67" t="n">
        <v>4</v>
      </c>
      <c r="F666" s="67" t="n">
        <v>3</v>
      </c>
      <c r="G666" s="67" t="n">
        <v>1</v>
      </c>
      <c r="H666" s="67" t="n">
        <v>0</v>
      </c>
      <c r="I666" s="67" t="n">
        <v>2</v>
      </c>
      <c r="J666" s="67" t="n">
        <v>2</v>
      </c>
      <c r="K666" s="67" t="n">
        <v>0</v>
      </c>
      <c r="L666" s="67" t="n">
        <v>2</v>
      </c>
      <c r="M666" s="67" t="n">
        <v>1</v>
      </c>
      <c r="N666" s="67" t="n">
        <v>0</v>
      </c>
      <c r="O666" s="67" t="n">
        <v>0</v>
      </c>
      <c r="P666" s="67" t="n">
        <v>0</v>
      </c>
      <c r="Q666" s="66" t="inlineStr">
        <is>
          <t>Migration</t>
        </is>
      </c>
      <c r="Z666" s="66">
        <f>"MEDIUM|"&amp;A666</f>
        <v/>
      </c>
      <c r="AA666" s="66">
        <f>Q666&amp;"|"&amp;Z666</f>
        <v/>
      </c>
    </row>
    <row r="667" ht="15" customHeight="1" s="39">
      <c r="A667" s="67" t="inlineStr">
        <is>
          <t>E-Ödeme</t>
        </is>
      </c>
      <c r="B667" s="67" t="n">
        <v>5</v>
      </c>
      <c r="C667" s="67" t="n">
        <v>1</v>
      </c>
      <c r="D667" s="67" t="n">
        <v>0</v>
      </c>
      <c r="E667" s="67" t="n">
        <v>4</v>
      </c>
      <c r="F667" s="67" t="n">
        <v>3</v>
      </c>
      <c r="G667" s="67" t="n">
        <v>1</v>
      </c>
      <c r="H667" s="67" t="n">
        <v>0</v>
      </c>
      <c r="I667" s="67" t="n">
        <v>2</v>
      </c>
      <c r="J667" s="67" t="n">
        <v>2</v>
      </c>
      <c r="K667" s="67" t="n">
        <v>0</v>
      </c>
      <c r="L667" s="67" t="n">
        <v>2</v>
      </c>
      <c r="M667" s="67" t="n">
        <v>1</v>
      </c>
      <c r="N667" s="67" t="n">
        <v>0</v>
      </c>
      <c r="O667" s="67" t="n">
        <v>0</v>
      </c>
      <c r="P667" s="67" t="n">
        <v>0</v>
      </c>
      <c r="Q667" s="66" t="inlineStr">
        <is>
          <t>Migration</t>
        </is>
      </c>
      <c r="Z667" s="66">
        <f>"MEDIUM|"&amp;A667</f>
        <v/>
      </c>
      <c r="AA667" s="66">
        <f>Q667&amp;"|"&amp;Z667</f>
        <v/>
      </c>
    </row>
    <row r="668" ht="15" customHeight="1" s="39">
      <c r="A668" s="67" t="inlineStr">
        <is>
          <t>E-Mutabakat</t>
        </is>
      </c>
      <c r="B668" s="67" t="n">
        <v>4</v>
      </c>
      <c r="C668" s="67" t="n">
        <v>1</v>
      </c>
      <c r="D668" s="67" t="n">
        <v>0</v>
      </c>
      <c r="E668" s="67" t="n">
        <v>3</v>
      </c>
      <c r="F668" s="67" t="n">
        <v>3</v>
      </c>
      <c r="G668" s="67" t="n">
        <v>1</v>
      </c>
      <c r="H668" s="67" t="n">
        <v>0</v>
      </c>
      <c r="I668" s="67" t="n">
        <v>2</v>
      </c>
      <c r="J668" s="67" t="n">
        <v>2</v>
      </c>
      <c r="K668" s="67" t="n">
        <v>0</v>
      </c>
      <c r="L668" s="67" t="n">
        <v>2</v>
      </c>
      <c r="M668" s="67" t="n">
        <v>1</v>
      </c>
      <c r="N668" s="67" t="n">
        <v>0</v>
      </c>
      <c r="O668" s="67" t="n">
        <v>0</v>
      </c>
      <c r="P668" s="67" t="n">
        <v>0</v>
      </c>
      <c r="Q668" s="66" t="inlineStr">
        <is>
          <t>Migration</t>
        </is>
      </c>
      <c r="Z668" s="66">
        <f>"MEDIUM|"&amp;A668</f>
        <v/>
      </c>
      <c r="AA668" s="66">
        <f>Q668&amp;"|"&amp;Z668</f>
        <v/>
      </c>
    </row>
    <row r="669" ht="15" customHeight="1" s="39">
      <c r="A669" s="67" t="inlineStr">
        <is>
          <t>E-Beyanname</t>
        </is>
      </c>
      <c r="B669" s="67" t="n">
        <v>5</v>
      </c>
      <c r="C669" s="67" t="n">
        <v>2</v>
      </c>
      <c r="D669" s="67" t="n">
        <v>0</v>
      </c>
      <c r="E669" s="67" t="n">
        <v>5</v>
      </c>
      <c r="F669" s="67" t="n">
        <v>3</v>
      </c>
      <c r="G669" s="67" t="n">
        <v>1</v>
      </c>
      <c r="H669" s="67" t="n">
        <v>0</v>
      </c>
      <c r="I669" s="67" t="n">
        <v>0</v>
      </c>
      <c r="J669" s="67" t="n">
        <v>0</v>
      </c>
      <c r="K669" s="67" t="n">
        <v>0</v>
      </c>
      <c r="L669" s="67" t="n">
        <v>4</v>
      </c>
      <c r="M669" s="67" t="n">
        <v>1</v>
      </c>
      <c r="N669" s="67" t="n">
        <v>0</v>
      </c>
      <c r="O669" s="67" t="n">
        <v>0</v>
      </c>
      <c r="P669" s="67" t="n">
        <v>0</v>
      </c>
      <c r="Q669" s="66" t="inlineStr">
        <is>
          <t>Migration</t>
        </is>
      </c>
      <c r="Z669" s="66">
        <f>"MEDIUM|"&amp;A669</f>
        <v/>
      </c>
      <c r="AA669" s="66">
        <f>Q669&amp;"|"&amp;Z669</f>
        <v/>
      </c>
    </row>
    <row r="670" ht="15" customHeight="1" s="39">
      <c r="A670" s="67" t="inlineStr">
        <is>
          <t>Gelen Fatura Otomasyon</t>
        </is>
      </c>
      <c r="B670" s="67" t="n">
        <v>5</v>
      </c>
      <c r="C670" s="67" t="n">
        <v>1</v>
      </c>
      <c r="D670" s="67" t="n">
        <v>0</v>
      </c>
      <c r="E670" s="67" t="n">
        <v>3</v>
      </c>
      <c r="F670" s="67" t="n">
        <v>3</v>
      </c>
      <c r="G670" s="67" t="n">
        <v>1</v>
      </c>
      <c r="H670" s="67" t="n">
        <v>0</v>
      </c>
      <c r="I670" s="67" t="n">
        <v>2</v>
      </c>
      <c r="J670" s="67" t="n">
        <v>2</v>
      </c>
      <c r="K670" s="67" t="n">
        <v>0</v>
      </c>
      <c r="L670" s="67" t="n">
        <v>2</v>
      </c>
      <c r="M670" s="67" t="n">
        <v>1</v>
      </c>
      <c r="N670" s="67" t="n">
        <v>0</v>
      </c>
      <c r="O670" s="67" t="n">
        <v>0</v>
      </c>
      <c r="P670" s="67" t="n">
        <v>0</v>
      </c>
      <c r="Q670" s="66" t="inlineStr">
        <is>
          <t>Migration</t>
        </is>
      </c>
      <c r="Z670" s="66">
        <f>"MEDIUM|"&amp;A670</f>
        <v/>
      </c>
      <c r="AA670" s="66">
        <f>Q670&amp;"|"&amp;Z670</f>
        <v/>
      </c>
    </row>
    <row r="671" ht="15" customHeight="1" s="39">
      <c r="A671" s="67" t="inlineStr">
        <is>
          <t>GLASSWING</t>
        </is>
      </c>
      <c r="B671" s="67" t="n">
        <v>35</v>
      </c>
      <c r="C671" s="67" t="n">
        <v>3</v>
      </c>
      <c r="D671" s="67" t="n">
        <v>1</v>
      </c>
      <c r="E671" s="67" t="n">
        <v>8</v>
      </c>
      <c r="F671" s="67" t="n">
        <v>6</v>
      </c>
      <c r="G671" s="67" t="n">
        <v>1</v>
      </c>
      <c r="H671" s="67" t="n">
        <v>0</v>
      </c>
      <c r="I671" s="67" t="n">
        <v>15</v>
      </c>
      <c r="J671" s="67" t="n">
        <v>15</v>
      </c>
      <c r="K671" s="67" t="n">
        <v>8</v>
      </c>
      <c r="L671" s="67" t="n">
        <v>1</v>
      </c>
      <c r="M671" s="67" t="n">
        <v>2</v>
      </c>
      <c r="N671" s="67" t="n">
        <v>5</v>
      </c>
      <c r="O671" s="67" t="n">
        <v>0</v>
      </c>
      <c r="P671" s="67" t="n">
        <v>0</v>
      </c>
      <c r="Q671" s="66" t="inlineStr">
        <is>
          <t>Migration</t>
        </is>
      </c>
      <c r="Z671" s="66">
        <f>"MEDIUM|"&amp;A671</f>
        <v/>
      </c>
      <c r="AA671" s="66">
        <f>Q671&amp;"|"&amp;Z671</f>
        <v/>
      </c>
    </row>
    <row r="672" ht="15" customHeight="1" s="39">
      <c r="A672" s="67" t="inlineStr">
        <is>
          <t>COMMODITY</t>
        </is>
      </c>
      <c r="B672" s="67" t="n">
        <v>65</v>
      </c>
      <c r="C672" s="67" t="n">
        <v>7</v>
      </c>
      <c r="D672" s="67" t="n">
        <v>2</v>
      </c>
      <c r="E672" s="67" t="n">
        <v>8</v>
      </c>
      <c r="F672" s="67" t="n">
        <v>7</v>
      </c>
      <c r="G672" s="67" t="n">
        <v>2</v>
      </c>
      <c r="H672" s="67" t="n">
        <v>1</v>
      </c>
      <c r="I672" s="67" t="n">
        <v>20</v>
      </c>
      <c r="J672" s="67" t="n">
        <v>20</v>
      </c>
      <c r="K672" s="67" t="n">
        <v>3</v>
      </c>
      <c r="L672" s="67" t="n">
        <v>2</v>
      </c>
      <c r="M672" s="67" t="n">
        <v>4</v>
      </c>
      <c r="N672" s="67" t="n">
        <v>9</v>
      </c>
      <c r="O672" s="67" t="n">
        <v>0</v>
      </c>
      <c r="P672" s="67" t="n">
        <v>0</v>
      </c>
      <c r="Q672" s="66" t="inlineStr">
        <is>
          <t>Migration</t>
        </is>
      </c>
      <c r="Z672" s="66">
        <f>"MEDIUM|"&amp;A672</f>
        <v/>
      </c>
      <c r="AA672" s="66">
        <f>Q672&amp;"|"&amp;Z672</f>
        <v/>
      </c>
    </row>
    <row r="673" ht="15" customHeight="1" s="39">
      <c r="A673" s="67" t="inlineStr">
        <is>
          <t>Dış Ticaret Çözümü</t>
        </is>
      </c>
      <c r="B673" s="67" t="n">
        <v>0</v>
      </c>
      <c r="C673" s="67" t="n">
        <v>0</v>
      </c>
      <c r="D673" s="67" t="n">
        <v>0</v>
      </c>
      <c r="E673" s="67" t="n">
        <v>0</v>
      </c>
      <c r="F673" s="67" t="n">
        <v>0</v>
      </c>
      <c r="G673" s="67" t="n">
        <v>0</v>
      </c>
      <c r="H673" s="67" t="n">
        <v>0</v>
      </c>
      <c r="I673" s="67" t="n">
        <v>0</v>
      </c>
      <c r="J673" s="67" t="n">
        <v>0</v>
      </c>
      <c r="K673" s="67" t="n">
        <v>0</v>
      </c>
      <c r="L673" s="67" t="n">
        <v>0</v>
      </c>
      <c r="M673" s="67" t="n">
        <v>0</v>
      </c>
      <c r="N673" s="67" t="n">
        <v>0</v>
      </c>
      <c r="O673" s="67" t="n">
        <v>0</v>
      </c>
      <c r="P673" s="67" t="n">
        <v>0</v>
      </c>
      <c r="Q673" s="66" t="inlineStr">
        <is>
          <t>Migration</t>
        </is>
      </c>
      <c r="Z673" s="66">
        <f>"MEDIUM|"&amp;A673</f>
        <v/>
      </c>
      <c r="AA673" s="66">
        <f>Q673&amp;"|"&amp;Z673</f>
        <v/>
      </c>
    </row>
    <row r="674" ht="15" customHeight="1" s="39">
      <c r="A674" s="67" t="inlineStr">
        <is>
          <t>Seyahat ve Masraf Yönetimi</t>
        </is>
      </c>
      <c r="B674" s="67" t="n">
        <v>0</v>
      </c>
      <c r="C674" s="67" t="n">
        <v>0</v>
      </c>
      <c r="D674" s="67" t="n">
        <v>0</v>
      </c>
      <c r="E674" s="67" t="n">
        <v>0</v>
      </c>
      <c r="F674" s="67" t="n">
        <v>0</v>
      </c>
      <c r="G674" s="67" t="n">
        <v>0</v>
      </c>
      <c r="H674" s="67" t="n">
        <v>0</v>
      </c>
      <c r="I674" s="67" t="n">
        <v>0</v>
      </c>
      <c r="J674" s="67" t="n">
        <v>0</v>
      </c>
      <c r="K674" s="67" t="n">
        <v>0</v>
      </c>
      <c r="L674" s="67" t="n">
        <v>0</v>
      </c>
      <c r="M674" s="67" t="n">
        <v>0</v>
      </c>
      <c r="N674" s="67" t="n">
        <v>0</v>
      </c>
      <c r="O674" s="67" t="n">
        <v>0</v>
      </c>
      <c r="P674" s="67" t="n">
        <v>0</v>
      </c>
      <c r="Q674" s="66" t="inlineStr">
        <is>
          <t>Migration</t>
        </is>
      </c>
      <c r="Z674" s="66">
        <f>"MEDIUM|"&amp;A674</f>
        <v/>
      </c>
      <c r="AA674" s="66">
        <f>Q674&amp;"|"&amp;Z674</f>
        <v/>
      </c>
    </row>
    <row r="675" ht="15" customHeight="1" s="39">
      <c r="A675" s="67" t="inlineStr">
        <is>
          <t>NTT Data POS</t>
        </is>
      </c>
      <c r="B675" s="67" t="n">
        <v>0</v>
      </c>
      <c r="C675" s="67" t="n">
        <v>0</v>
      </c>
      <c r="D675" s="67" t="n">
        <v>0</v>
      </c>
      <c r="E675" s="67" t="n">
        <v>0</v>
      </c>
      <c r="F675" s="67" t="n">
        <v>0</v>
      </c>
      <c r="G675" s="67" t="n">
        <v>0</v>
      </c>
      <c r="H675" s="67" t="n">
        <v>0</v>
      </c>
      <c r="I675" s="67" t="n">
        <v>0</v>
      </c>
      <c r="J675" s="67" t="n">
        <v>0</v>
      </c>
      <c r="K675" s="67" t="n">
        <v>0</v>
      </c>
      <c r="L675" s="67" t="n">
        <v>0</v>
      </c>
      <c r="M675" s="67" t="n">
        <v>0</v>
      </c>
      <c r="N675" s="67" t="n">
        <v>0</v>
      </c>
      <c r="O675" s="67" t="n">
        <v>0</v>
      </c>
      <c r="P675" s="67" t="n">
        <v>0</v>
      </c>
      <c r="Q675" s="66" t="inlineStr">
        <is>
          <t>Migration</t>
        </is>
      </c>
      <c r="Z675" s="66">
        <f>"MEDIUM|"&amp;A675</f>
        <v/>
      </c>
      <c r="AA675" s="66">
        <f>Q675&amp;"|"&amp;Z675</f>
        <v/>
      </c>
    </row>
    <row r="677" ht="15" customHeight="1" s="39">
      <c r="A677" s="68" t="inlineStr">
        <is>
          <t>LARGE</t>
        </is>
      </c>
      <c r="Q677" s="68" t="inlineStr">
        <is>
          <t>Migration</t>
        </is>
      </c>
    </row>
    <row r="678" ht="15" customHeight="1" s="39">
      <c r="A678" s="67">
        <f>INDEX(Translations!$D:$ZZ, MATCH(74,Translations!$A:$A,0), MATCH('Project Information'!$C$4,Translations!$D$1:$ZZ$1,0))</f>
        <v/>
      </c>
      <c r="B678" s="67">
        <f>INDEX(Translations!$D:$ZZ, MATCH(75,Translations!$A:$A,0), MATCH('Project Information'!$C$4,Translations!$D$1:$ZZ$1,0))</f>
        <v/>
      </c>
      <c r="C678" s="67">
        <f>INDEX(Translations!$D:$ZZ, MATCH(76,Translations!$A:$A,0), MATCH('Project Information'!$C$4,Translations!$D$1:$ZZ$1,0))</f>
        <v/>
      </c>
      <c r="D678" s="67">
        <f>INDEX(Translations!$D:$ZZ, MATCH(77,Translations!$A:$A,0), MATCH('Project Information'!$C$4,Translations!$D$1:$ZZ$1,0))</f>
        <v/>
      </c>
      <c r="E678" s="67">
        <f>INDEX(Translations!$D:$ZZ, MATCH(78,Translations!$A:$A,0), MATCH('Project Information'!$C$4,Translations!$D$1:$ZZ$1,0))</f>
        <v/>
      </c>
      <c r="F678" s="67">
        <f>INDEX(Translations!$D:$ZZ, MATCH(79,Translations!$A:$A,0), MATCH('Project Information'!$C$4,Translations!$D$1:$ZZ$1,0))</f>
        <v/>
      </c>
      <c r="G678" s="67">
        <f>INDEX(Translations!$D:$ZZ, MATCH(80,Translations!$A:$A,0), MATCH('Project Information'!$C$4,Translations!$D$1:$ZZ$1,0))</f>
        <v/>
      </c>
      <c r="H678" s="67">
        <f>INDEX(Translations!$D:$ZZ, MATCH(81,Translations!$A:$A,0), MATCH('Project Information'!$C$4,Translations!$D$1:$ZZ$1,0))</f>
        <v/>
      </c>
      <c r="I678" s="67">
        <f>INDEX(Translations!$D:$ZZ, MATCH(82,Translations!$A:$A,0), MATCH('Project Information'!$C$4,Translations!$D$1:$ZZ$1,0))</f>
        <v/>
      </c>
      <c r="J678" s="67">
        <f>INDEX(Translations!$D:$ZZ, MATCH(83,Translations!$A:$A,0), MATCH('Project Information'!$C$4,Translations!$D$1:$ZZ$1,0))</f>
        <v/>
      </c>
      <c r="K678" s="67">
        <f>INDEX(Translations!$D:$ZZ, MATCH(84,Translations!$A:$A,0), MATCH('Project Information'!$C$4,Translations!$D$1:$ZZ$1,0))</f>
        <v/>
      </c>
      <c r="L678" s="67">
        <f>INDEX(Translations!$D:$ZZ, MATCH(85,Translations!$A:$A,0), MATCH('Project Information'!$C$4,Translations!$D$1:$ZZ$1,0))</f>
        <v/>
      </c>
      <c r="M678" s="67">
        <f>INDEX(Translations!$D:$ZZ, MATCH(86,Translations!$A:$A,0), MATCH('Project Information'!$C$4,Translations!$D$1:$ZZ$1,0))</f>
        <v/>
      </c>
      <c r="N678" s="67">
        <f>INDEX(Translations!$D:$ZZ, MATCH(87,Translations!$A:$A,0), MATCH('Project Information'!$C$4,Translations!$D$1:$ZZ$1,0))</f>
        <v/>
      </c>
      <c r="O678" s="67">
        <f>INDEX(Translations!$D:$ZZ, MATCH(88,Translations!$A:$A,0), MATCH('Project Information'!$C$4,Translations!$D$1:$ZZ$1,0))</f>
        <v/>
      </c>
      <c r="P678" s="67">
        <f>INDEX(Translations!$D:$ZZ, MATCH(89,Translations!$A:$A,0), MATCH('Project Information'!$C$4,Translations!$D$1:$ZZ$1,0))</f>
        <v/>
      </c>
      <c r="Q678" s="67" t="inlineStr">
        <is>
          <t>Implementation Type</t>
        </is>
      </c>
      <c r="Z678" s="67">
        <f>INDEX(Translations!$D:$ZZ, MATCH(93,Translations!$A:$A,0), MATCH('Project Information'!$C$4,Translations!$D$1:$ZZ$1,0))</f>
        <v/>
      </c>
      <c r="AA678" s="67" t="inlineStr">
        <is>
          <t>Implementation Key</t>
        </is>
      </c>
    </row>
    <row r="679" ht="15" customHeight="1" s="39">
      <c r="A679" s="67" t="inlineStr">
        <is>
          <t>FI</t>
        </is>
      </c>
      <c r="B679" s="67" t="n">
        <v>245</v>
      </c>
      <c r="C679" s="67" t="n">
        <v>10</v>
      </c>
      <c r="D679" s="67" t="n">
        <v>5</v>
      </c>
      <c r="E679" s="67" t="n">
        <v>5</v>
      </c>
      <c r="F679" s="67" t="n">
        <v>5</v>
      </c>
      <c r="G679" s="67" t="n">
        <v>2</v>
      </c>
      <c r="H679" s="67" t="n">
        <v>3</v>
      </c>
      <c r="I679" s="67" t="n">
        <v>28</v>
      </c>
      <c r="J679" s="67" t="n">
        <v>28</v>
      </c>
      <c r="K679" s="67" t="n">
        <v>3</v>
      </c>
      <c r="L679" s="67" t="n">
        <v>2</v>
      </c>
      <c r="M679" s="67" t="n">
        <v>15</v>
      </c>
      <c r="N679" s="67" t="n">
        <v>15</v>
      </c>
      <c r="O679" s="67" t="n">
        <v>0</v>
      </c>
      <c r="P679" s="67" t="n">
        <v>0</v>
      </c>
      <c r="Q679" s="66" t="inlineStr">
        <is>
          <t>Migration</t>
        </is>
      </c>
      <c r="Z679" s="66">
        <f>"LARGE|"&amp;A679</f>
        <v/>
      </c>
      <c r="AA679" s="66">
        <f>Q679&amp;"|"&amp;Z679</f>
        <v/>
      </c>
    </row>
    <row r="680" ht="15" customHeight="1" s="39">
      <c r="A680" s="67" t="inlineStr">
        <is>
          <t>CO</t>
        </is>
      </c>
      <c r="B680" s="67" t="n">
        <v>245</v>
      </c>
      <c r="C680" s="67" t="n">
        <v>10</v>
      </c>
      <c r="D680" s="67" t="n">
        <v>5</v>
      </c>
      <c r="E680" s="67" t="n">
        <v>4</v>
      </c>
      <c r="F680" s="67" t="n">
        <v>5</v>
      </c>
      <c r="G680" s="67" t="n">
        <v>2</v>
      </c>
      <c r="H680" s="67" t="n">
        <v>2</v>
      </c>
      <c r="I680" s="67" t="n">
        <v>28</v>
      </c>
      <c r="J680" s="67" t="n">
        <v>28</v>
      </c>
      <c r="K680" s="67" t="n">
        <v>3</v>
      </c>
      <c r="L680" s="67" t="n">
        <v>2</v>
      </c>
      <c r="M680" s="67" t="n">
        <v>10</v>
      </c>
      <c r="N680" s="67" t="n">
        <v>10</v>
      </c>
      <c r="O680" s="67" t="n">
        <v>0</v>
      </c>
      <c r="P680" s="67" t="n">
        <v>0</v>
      </c>
      <c r="Q680" s="66" t="inlineStr">
        <is>
          <t>Migration</t>
        </is>
      </c>
      <c r="Z680" s="66">
        <f>"LARGE|"&amp;A680</f>
        <v/>
      </c>
      <c r="AA680" s="66">
        <f>Q680&amp;"|"&amp;Z680</f>
        <v/>
      </c>
    </row>
    <row r="681" ht="15" customHeight="1" s="39">
      <c r="A681" s="67" t="inlineStr">
        <is>
          <t>TRM</t>
        </is>
      </c>
      <c r="B681" s="67" t="n">
        <v>100</v>
      </c>
      <c r="C681" s="67" t="n">
        <v>4</v>
      </c>
      <c r="D681" s="67" t="n">
        <v>2</v>
      </c>
      <c r="E681" s="67" t="n">
        <v>2</v>
      </c>
      <c r="F681" s="67" t="n">
        <v>3</v>
      </c>
      <c r="G681" s="67" t="n">
        <v>1</v>
      </c>
      <c r="H681" s="67" t="n">
        <v>1</v>
      </c>
      <c r="I681" s="67" t="n">
        <v>10</v>
      </c>
      <c r="J681" s="67" t="n">
        <v>10</v>
      </c>
      <c r="K681" s="67" t="n">
        <v>1</v>
      </c>
      <c r="L681" s="67" t="n">
        <v>1</v>
      </c>
      <c r="M681" s="67" t="n">
        <v>10</v>
      </c>
      <c r="N681" s="67" t="n">
        <v>10</v>
      </c>
      <c r="O681" s="67" t="n">
        <v>0</v>
      </c>
      <c r="P681" s="67" t="n">
        <v>0</v>
      </c>
      <c r="Q681" s="66" t="inlineStr">
        <is>
          <t>Migration</t>
        </is>
      </c>
      <c r="Z681" s="66">
        <f>"LARGE|"&amp;A681</f>
        <v/>
      </c>
      <c r="AA681" s="66">
        <f>Q681&amp;"|"&amp;Z681</f>
        <v/>
      </c>
    </row>
    <row r="682" ht="15" customHeight="1" s="39">
      <c r="A682" s="67" t="inlineStr">
        <is>
          <t>CM</t>
        </is>
      </c>
      <c r="B682" s="67" t="n">
        <v>100</v>
      </c>
      <c r="C682" s="67" t="n">
        <v>3</v>
      </c>
      <c r="D682" s="67" t="n">
        <v>2</v>
      </c>
      <c r="E682" s="67" t="n">
        <v>2</v>
      </c>
      <c r="F682" s="67" t="n">
        <v>3</v>
      </c>
      <c r="G682" s="67" t="n">
        <v>1</v>
      </c>
      <c r="H682" s="67" t="n">
        <v>1</v>
      </c>
      <c r="I682" s="67" t="n">
        <v>10</v>
      </c>
      <c r="J682" s="67" t="n">
        <v>10</v>
      </c>
      <c r="K682" s="67" t="n">
        <v>1</v>
      </c>
      <c r="L682" s="67" t="n">
        <v>1</v>
      </c>
      <c r="M682" s="67" t="n">
        <v>5</v>
      </c>
      <c r="N682" s="67" t="n">
        <v>5</v>
      </c>
      <c r="O682" s="67" t="n">
        <v>0</v>
      </c>
      <c r="P682" s="67" t="n">
        <v>0</v>
      </c>
      <c r="Q682" s="66" t="inlineStr">
        <is>
          <t>Migration</t>
        </is>
      </c>
      <c r="Z682" s="66">
        <f>"LARGE|"&amp;A682</f>
        <v/>
      </c>
      <c r="AA682" s="66">
        <f>Q682&amp;"|"&amp;Z682</f>
        <v/>
      </c>
    </row>
    <row r="683" ht="15" customHeight="1" s="39">
      <c r="A683" s="67" t="inlineStr">
        <is>
          <t>FM</t>
        </is>
      </c>
      <c r="B683" s="67" t="n">
        <v>100</v>
      </c>
      <c r="C683" s="67" t="n">
        <v>3</v>
      </c>
      <c r="D683" s="67" t="n">
        <v>2</v>
      </c>
      <c r="E683" s="67" t="n">
        <v>2</v>
      </c>
      <c r="F683" s="67" t="n">
        <v>3</v>
      </c>
      <c r="G683" s="67" t="n">
        <v>1</v>
      </c>
      <c r="H683" s="67" t="n">
        <v>1</v>
      </c>
      <c r="I683" s="67" t="n">
        <v>10</v>
      </c>
      <c r="J683" s="67" t="n">
        <v>10</v>
      </c>
      <c r="K683" s="67" t="n">
        <v>1</v>
      </c>
      <c r="L683" s="67" t="n">
        <v>1</v>
      </c>
      <c r="M683" s="67" t="n">
        <v>5</v>
      </c>
      <c r="N683" s="67" t="n">
        <v>5</v>
      </c>
      <c r="O683" s="67" t="n">
        <v>0</v>
      </c>
      <c r="P683" s="67" t="n">
        <v>0</v>
      </c>
      <c r="Q683" s="66" t="inlineStr">
        <is>
          <t>Migration</t>
        </is>
      </c>
      <c r="Z683" s="66">
        <f>"LARGE|"&amp;A683</f>
        <v/>
      </c>
      <c r="AA683" s="66">
        <f>Q683&amp;"|"&amp;Z683</f>
        <v/>
      </c>
    </row>
    <row r="684" ht="15" customHeight="1" s="39">
      <c r="A684" s="67" t="inlineStr">
        <is>
          <t>RM</t>
        </is>
      </c>
      <c r="B684" s="67" t="n">
        <v>0</v>
      </c>
      <c r="C684" s="67" t="n">
        <v>0</v>
      </c>
      <c r="D684" s="67" t="n">
        <v>0</v>
      </c>
      <c r="E684" s="67" t="n">
        <v>0</v>
      </c>
      <c r="F684" s="67" t="n">
        <v>0</v>
      </c>
      <c r="G684" s="67" t="n">
        <v>0</v>
      </c>
      <c r="H684" s="67" t="n">
        <v>0</v>
      </c>
      <c r="I684" s="67" t="n">
        <v>0</v>
      </c>
      <c r="J684" s="67" t="n">
        <v>0</v>
      </c>
      <c r="K684" s="67" t="n">
        <v>0</v>
      </c>
      <c r="L684" s="67" t="n">
        <v>0</v>
      </c>
      <c r="M684" s="67" t="n">
        <v>0</v>
      </c>
      <c r="N684" s="67" t="n">
        <v>0</v>
      </c>
      <c r="O684" s="67" t="n">
        <v>0</v>
      </c>
      <c r="P684" s="67" t="n">
        <v>0</v>
      </c>
      <c r="Q684" s="66" t="inlineStr">
        <is>
          <t>Migration</t>
        </is>
      </c>
      <c r="Z684" s="66">
        <f>"LARGE|"&amp;A684</f>
        <v/>
      </c>
      <c r="AA684" s="66">
        <f>Q684&amp;"|"&amp;Z684</f>
        <v/>
      </c>
    </row>
    <row r="685" ht="15" customHeight="1" s="39">
      <c r="A685" s="67" t="inlineStr">
        <is>
          <t>RE/FX</t>
        </is>
      </c>
      <c r="B685" s="67" t="n">
        <v>0</v>
      </c>
      <c r="C685" s="67" t="n">
        <v>0</v>
      </c>
      <c r="D685" s="67" t="n">
        <v>0</v>
      </c>
      <c r="E685" s="67" t="n">
        <v>0</v>
      </c>
      <c r="F685" s="67" t="n">
        <v>0</v>
      </c>
      <c r="G685" s="67" t="n">
        <v>0</v>
      </c>
      <c r="H685" s="67" t="n">
        <v>0</v>
      </c>
      <c r="I685" s="67" t="n">
        <v>0</v>
      </c>
      <c r="J685" s="67" t="n">
        <v>0</v>
      </c>
      <c r="K685" s="67" t="n">
        <v>0</v>
      </c>
      <c r="L685" s="67" t="n">
        <v>0</v>
      </c>
      <c r="M685" s="67" t="n">
        <v>0</v>
      </c>
      <c r="N685" s="67" t="n">
        <v>0</v>
      </c>
      <c r="O685" s="67" t="n">
        <v>0</v>
      </c>
      <c r="P685" s="67" t="n">
        <v>0</v>
      </c>
      <c r="Q685" s="66" t="inlineStr">
        <is>
          <t>Migration</t>
        </is>
      </c>
      <c r="Z685" s="66">
        <f>"LARGE|"&amp;A685</f>
        <v/>
      </c>
      <c r="AA685" s="66">
        <f>Q685&amp;"|"&amp;Z685</f>
        <v/>
      </c>
    </row>
    <row r="686" ht="15" customHeight="1" s="39">
      <c r="A686" s="67" t="inlineStr">
        <is>
          <t>MM</t>
        </is>
      </c>
      <c r="B686" s="67" t="n">
        <v>245</v>
      </c>
      <c r="C686" s="67" t="n">
        <v>10</v>
      </c>
      <c r="D686" s="67" t="n">
        <v>5</v>
      </c>
      <c r="E686" s="67" t="n">
        <v>5</v>
      </c>
      <c r="F686" s="67" t="n">
        <v>5</v>
      </c>
      <c r="G686" s="67" t="n">
        <v>2</v>
      </c>
      <c r="H686" s="67" t="n">
        <v>7</v>
      </c>
      <c r="I686" s="67" t="n">
        <v>28</v>
      </c>
      <c r="J686" s="67" t="n">
        <v>28</v>
      </c>
      <c r="K686" s="67" t="n">
        <v>3</v>
      </c>
      <c r="L686" s="67" t="n">
        <v>2</v>
      </c>
      <c r="M686" s="67" t="n">
        <v>20</v>
      </c>
      <c r="N686" s="67" t="n">
        <v>20</v>
      </c>
      <c r="O686" s="67" t="n">
        <v>0</v>
      </c>
      <c r="P686" s="67" t="n">
        <v>0</v>
      </c>
      <c r="Q686" s="66" t="inlineStr">
        <is>
          <t>Migration</t>
        </is>
      </c>
      <c r="Z686" s="66">
        <f>"LARGE|"&amp;A686</f>
        <v/>
      </c>
      <c r="AA686" s="66">
        <f>Q686&amp;"|"&amp;Z686</f>
        <v/>
      </c>
    </row>
    <row r="687" ht="15" customHeight="1" s="39">
      <c r="A687" s="67" t="inlineStr">
        <is>
          <t>PP</t>
        </is>
      </c>
      <c r="B687" s="67" t="n">
        <v>245</v>
      </c>
      <c r="C687" s="67" t="n">
        <v>10</v>
      </c>
      <c r="D687" s="67" t="n">
        <v>5</v>
      </c>
      <c r="E687" s="67" t="n">
        <v>5</v>
      </c>
      <c r="F687" s="67" t="n">
        <v>5</v>
      </c>
      <c r="G687" s="67" t="n">
        <v>2</v>
      </c>
      <c r="H687" s="67" t="n">
        <v>7</v>
      </c>
      <c r="I687" s="67" t="n">
        <v>28</v>
      </c>
      <c r="J687" s="67" t="n">
        <v>28</v>
      </c>
      <c r="K687" s="67" t="n">
        <v>3</v>
      </c>
      <c r="L687" s="67" t="n">
        <v>2</v>
      </c>
      <c r="M687" s="67" t="n">
        <v>20</v>
      </c>
      <c r="N687" s="67" t="n">
        <v>20</v>
      </c>
      <c r="O687" s="67" t="n">
        <v>0</v>
      </c>
      <c r="P687" s="67" t="n">
        <v>0</v>
      </c>
      <c r="Q687" s="66" t="inlineStr">
        <is>
          <t>Migration</t>
        </is>
      </c>
      <c r="Z687" s="66">
        <f>"LARGE|"&amp;A687</f>
        <v/>
      </c>
      <c r="AA687" s="66">
        <f>Q687&amp;"|"&amp;Z687</f>
        <v/>
      </c>
    </row>
    <row r="688" ht="15" customHeight="1" s="39">
      <c r="A688" s="67" t="inlineStr">
        <is>
          <t>SD</t>
        </is>
      </c>
      <c r="B688" s="67" t="n">
        <v>245</v>
      </c>
      <c r="C688" s="67" t="n">
        <v>10</v>
      </c>
      <c r="D688" s="67" t="n">
        <v>5</v>
      </c>
      <c r="E688" s="67" t="n">
        <v>5</v>
      </c>
      <c r="F688" s="67" t="n">
        <v>5</v>
      </c>
      <c r="G688" s="67" t="n">
        <v>2</v>
      </c>
      <c r="H688" s="67" t="n">
        <v>5</v>
      </c>
      <c r="I688" s="67" t="n">
        <v>28</v>
      </c>
      <c r="J688" s="67" t="n">
        <v>28</v>
      </c>
      <c r="K688" s="67" t="n">
        <v>3</v>
      </c>
      <c r="L688" s="67" t="n">
        <v>2</v>
      </c>
      <c r="M688" s="67" t="n">
        <v>15</v>
      </c>
      <c r="N688" s="67" t="n">
        <v>15</v>
      </c>
      <c r="O688" s="67" t="n">
        <v>0</v>
      </c>
      <c r="P688" s="67" t="n">
        <v>0</v>
      </c>
      <c r="Q688" s="66" t="inlineStr">
        <is>
          <t>Migration</t>
        </is>
      </c>
      <c r="Z688" s="66">
        <f>"LARGE|"&amp;A688</f>
        <v/>
      </c>
      <c r="AA688" s="66">
        <f>Q688&amp;"|"&amp;Z688</f>
        <v/>
      </c>
    </row>
    <row r="689" ht="15" customHeight="1" s="39">
      <c r="A689" s="67" t="inlineStr">
        <is>
          <t>QM</t>
        </is>
      </c>
      <c r="B689" s="67" t="n">
        <v>245</v>
      </c>
      <c r="C689" s="67" t="n">
        <v>8</v>
      </c>
      <c r="D689" s="67" t="n">
        <v>5</v>
      </c>
      <c r="E689" s="67" t="n">
        <v>4</v>
      </c>
      <c r="F689" s="67" t="n">
        <v>5</v>
      </c>
      <c r="G689" s="67" t="n">
        <v>1</v>
      </c>
      <c r="H689" s="67" t="n">
        <v>6</v>
      </c>
      <c r="I689" s="67" t="n">
        <v>26</v>
      </c>
      <c r="J689" s="67" t="n">
        <v>26</v>
      </c>
      <c r="K689" s="67" t="n">
        <v>2</v>
      </c>
      <c r="L689" s="67" t="n">
        <v>1</v>
      </c>
      <c r="M689" s="67" t="n">
        <v>15</v>
      </c>
      <c r="N689" s="67" t="n">
        <v>15</v>
      </c>
      <c r="O689" s="67" t="n">
        <v>0</v>
      </c>
      <c r="P689" s="67" t="n">
        <v>0</v>
      </c>
      <c r="Q689" s="66" t="inlineStr">
        <is>
          <t>Migration</t>
        </is>
      </c>
      <c r="Z689" s="66">
        <f>"LARGE|"&amp;A689</f>
        <v/>
      </c>
      <c r="AA689" s="66">
        <f>Q689&amp;"|"&amp;Z689</f>
        <v/>
      </c>
    </row>
    <row r="690" ht="15" customHeight="1" s="39">
      <c r="A690" s="67" t="inlineStr">
        <is>
          <t>PM</t>
        </is>
      </c>
      <c r="B690" s="67" t="n">
        <v>196</v>
      </c>
      <c r="C690" s="67" t="n">
        <v>8</v>
      </c>
      <c r="D690" s="67" t="n">
        <v>3</v>
      </c>
      <c r="E690" s="67" t="n">
        <v>3</v>
      </c>
      <c r="F690" s="67" t="n">
        <v>5</v>
      </c>
      <c r="G690" s="67" t="n">
        <v>1</v>
      </c>
      <c r="H690" s="67" t="n">
        <v>4</v>
      </c>
      <c r="I690" s="67" t="n">
        <v>16</v>
      </c>
      <c r="J690" s="67" t="n">
        <v>16</v>
      </c>
      <c r="K690" s="67" t="n">
        <v>2</v>
      </c>
      <c r="L690" s="67" t="n">
        <v>1</v>
      </c>
      <c r="M690" s="67" t="n">
        <v>10</v>
      </c>
      <c r="N690" s="67" t="n">
        <v>10</v>
      </c>
      <c r="O690" s="67" t="n">
        <v>0</v>
      </c>
      <c r="P690" s="67" t="n">
        <v>0</v>
      </c>
      <c r="Q690" s="66" t="inlineStr">
        <is>
          <t>Migration</t>
        </is>
      </c>
      <c r="Z690" s="66">
        <f>"LARGE|"&amp;A690</f>
        <v/>
      </c>
      <c r="AA690" s="66">
        <f>Q690&amp;"|"&amp;Z690</f>
        <v/>
      </c>
    </row>
    <row r="691" ht="15" customHeight="1" s="39">
      <c r="A691" s="67" t="inlineStr">
        <is>
          <t>PS</t>
        </is>
      </c>
      <c r="B691" s="67" t="n">
        <v>196</v>
      </c>
      <c r="C691" s="67" t="n">
        <v>8</v>
      </c>
      <c r="D691" s="67" t="n">
        <v>3</v>
      </c>
      <c r="E691" s="67" t="n">
        <v>3</v>
      </c>
      <c r="F691" s="67" t="n">
        <v>5</v>
      </c>
      <c r="G691" s="67" t="n">
        <v>1</v>
      </c>
      <c r="H691" s="67" t="n">
        <v>4</v>
      </c>
      <c r="I691" s="67" t="n">
        <v>16</v>
      </c>
      <c r="J691" s="67" t="n">
        <v>16</v>
      </c>
      <c r="K691" s="67" t="n">
        <v>2</v>
      </c>
      <c r="L691" s="67" t="n">
        <v>1</v>
      </c>
      <c r="M691" s="67" t="n">
        <v>10</v>
      </c>
      <c r="N691" s="67" t="n">
        <v>10</v>
      </c>
      <c r="O691" s="67" t="n">
        <v>0</v>
      </c>
      <c r="P691" s="67" t="n">
        <v>0</v>
      </c>
      <c r="Q691" s="66" t="inlineStr">
        <is>
          <t>Migration</t>
        </is>
      </c>
      <c r="Z691" s="66">
        <f>"LARGE|"&amp;A691</f>
        <v/>
      </c>
      <c r="AA691" s="66">
        <f>Q691&amp;"|"&amp;Z691</f>
        <v/>
      </c>
    </row>
    <row r="692" ht="15" customHeight="1" s="39">
      <c r="A692" s="67" t="inlineStr">
        <is>
          <t>MII/DM</t>
        </is>
      </c>
      <c r="B692" s="67" t="n">
        <v>0</v>
      </c>
      <c r="C692" s="67" t="n">
        <v>0</v>
      </c>
      <c r="D692" s="67" t="n">
        <v>0</v>
      </c>
      <c r="E692" s="67" t="n">
        <v>0</v>
      </c>
      <c r="F692" s="67" t="n">
        <v>0</v>
      </c>
      <c r="G692" s="67" t="n">
        <v>0</v>
      </c>
      <c r="H692" s="67" t="n">
        <v>0</v>
      </c>
      <c r="I692" s="67" t="n">
        <v>0</v>
      </c>
      <c r="J692" s="67" t="n">
        <v>0</v>
      </c>
      <c r="K692" s="67" t="n">
        <v>0</v>
      </c>
      <c r="L692" s="67" t="n">
        <v>0</v>
      </c>
      <c r="M692" s="67" t="n">
        <v>0</v>
      </c>
      <c r="N692" s="67" t="n">
        <v>0</v>
      </c>
      <c r="O692" s="67" t="n">
        <v>0</v>
      </c>
      <c r="P692" s="67" t="n">
        <v>0</v>
      </c>
      <c r="Q692" s="66" t="inlineStr">
        <is>
          <t>Migration</t>
        </is>
      </c>
      <c r="Z692" s="66">
        <f>"LARGE|"&amp;A692</f>
        <v/>
      </c>
      <c r="AA692" s="66">
        <f>Q692&amp;"|"&amp;Z692</f>
        <v/>
      </c>
    </row>
    <row r="693" ht="15" customHeight="1" s="39">
      <c r="A693" s="67" t="inlineStr">
        <is>
          <t>PM Mobility</t>
        </is>
      </c>
      <c r="B693" s="67" t="n">
        <v>0</v>
      </c>
      <c r="C693" s="67" t="n">
        <v>0</v>
      </c>
      <c r="D693" s="67" t="n">
        <v>0</v>
      </c>
      <c r="E693" s="67" t="n">
        <v>0</v>
      </c>
      <c r="F693" s="67" t="n">
        <v>0</v>
      </c>
      <c r="G693" s="67" t="n">
        <v>0</v>
      </c>
      <c r="H693" s="67" t="n">
        <v>0</v>
      </c>
      <c r="I693" s="67" t="n">
        <v>0</v>
      </c>
      <c r="J693" s="67" t="n">
        <v>0</v>
      </c>
      <c r="K693" s="67" t="n">
        <v>0</v>
      </c>
      <c r="L693" s="67" t="n">
        <v>0</v>
      </c>
      <c r="M693" s="67" t="n">
        <v>0</v>
      </c>
      <c r="N693" s="67" t="n">
        <v>0</v>
      </c>
      <c r="O693" s="67" t="n">
        <v>0</v>
      </c>
      <c r="P693" s="67" t="n">
        <v>0</v>
      </c>
      <c r="Q693" s="66" t="inlineStr">
        <is>
          <t>Migration</t>
        </is>
      </c>
      <c r="Z693" s="66">
        <f>"LARGE|"&amp;A693</f>
        <v/>
      </c>
      <c r="AA693" s="66">
        <f>Q693&amp;"|"&amp;Z693</f>
        <v/>
      </c>
    </row>
    <row r="694" ht="15" customHeight="1" s="39">
      <c r="A694" s="67" t="inlineStr">
        <is>
          <t>Basic EWM</t>
        </is>
      </c>
      <c r="B694" s="67" t="n">
        <v>245</v>
      </c>
      <c r="C694" s="67" t="n">
        <v>10</v>
      </c>
      <c r="D694" s="67" t="n">
        <v>5</v>
      </c>
      <c r="E694" s="67" t="n">
        <v>5</v>
      </c>
      <c r="F694" s="67" t="n">
        <v>5</v>
      </c>
      <c r="G694" s="67" t="n">
        <v>2</v>
      </c>
      <c r="H694" s="67" t="n">
        <v>4</v>
      </c>
      <c r="I694" s="67" t="n">
        <v>28</v>
      </c>
      <c r="J694" s="67" t="n">
        <v>28</v>
      </c>
      <c r="K694" s="67" t="n">
        <v>2</v>
      </c>
      <c r="L694" s="67" t="n">
        <v>2</v>
      </c>
      <c r="M694" s="67" t="n">
        <v>10</v>
      </c>
      <c r="N694" s="67" t="n">
        <v>10</v>
      </c>
      <c r="O694" s="67" t="n">
        <v>0</v>
      </c>
      <c r="P694" s="67" t="n">
        <v>0</v>
      </c>
      <c r="Q694" s="66" t="inlineStr">
        <is>
          <t>Migration</t>
        </is>
      </c>
      <c r="Z694" s="66">
        <f>"LARGE|"&amp;A694</f>
        <v/>
      </c>
      <c r="AA694" s="66">
        <f>Q694&amp;"|"&amp;Z694</f>
        <v/>
      </c>
    </row>
    <row r="695" ht="15" customHeight="1" s="39">
      <c r="A695" s="67" t="inlineStr">
        <is>
          <t>Advanced EWM</t>
        </is>
      </c>
      <c r="B695" s="67" t="n">
        <v>0</v>
      </c>
      <c r="C695" s="67" t="n">
        <v>0</v>
      </c>
      <c r="D695" s="67" t="n">
        <v>0</v>
      </c>
      <c r="E695" s="67" t="n">
        <v>0</v>
      </c>
      <c r="F695" s="67" t="n">
        <v>0</v>
      </c>
      <c r="G695" s="67" t="n">
        <v>0</v>
      </c>
      <c r="H695" s="67" t="n">
        <v>0</v>
      </c>
      <c r="I695" s="67" t="n">
        <v>0</v>
      </c>
      <c r="J695" s="67" t="n">
        <v>0</v>
      </c>
      <c r="K695" s="67" t="n">
        <v>0</v>
      </c>
      <c r="L695" s="67" t="n">
        <v>0</v>
      </c>
      <c r="M695" s="67" t="n">
        <v>0</v>
      </c>
      <c r="N695" s="67" t="n">
        <v>0</v>
      </c>
      <c r="O695" s="67" t="n">
        <v>0</v>
      </c>
      <c r="P695" s="67" t="n">
        <v>0</v>
      </c>
      <c r="Q695" s="66" t="inlineStr">
        <is>
          <t>Migration</t>
        </is>
      </c>
      <c r="Z695" s="66">
        <f>"LARGE|"&amp;A695</f>
        <v/>
      </c>
      <c r="AA695" s="66">
        <f>Q695&amp;"|"&amp;Z695</f>
        <v/>
      </c>
    </row>
    <row r="696" ht="15" customHeight="1" s="39">
      <c r="A696" s="67" t="inlineStr">
        <is>
          <t>TM</t>
        </is>
      </c>
      <c r="B696" s="67" t="n">
        <v>147</v>
      </c>
      <c r="C696" s="67" t="n">
        <v>5</v>
      </c>
      <c r="D696" s="67" t="n">
        <v>4</v>
      </c>
      <c r="E696" s="67" t="n">
        <v>3</v>
      </c>
      <c r="F696" s="67" t="n">
        <v>6</v>
      </c>
      <c r="G696" s="67" t="n">
        <v>2</v>
      </c>
      <c r="H696" s="67" t="n">
        <v>4</v>
      </c>
      <c r="I696" s="67" t="n">
        <v>15</v>
      </c>
      <c r="J696" s="67" t="n">
        <v>15</v>
      </c>
      <c r="K696" s="67" t="n">
        <v>2</v>
      </c>
      <c r="L696" s="67" t="n">
        <v>2</v>
      </c>
      <c r="M696" s="67" t="n">
        <v>6</v>
      </c>
      <c r="N696" s="67" t="n">
        <v>8</v>
      </c>
      <c r="O696" s="67" t="n">
        <v>0</v>
      </c>
      <c r="P696" s="67" t="n">
        <v>0</v>
      </c>
      <c r="Q696" s="66" t="inlineStr">
        <is>
          <t>Migration</t>
        </is>
      </c>
      <c r="Z696" s="66">
        <f>"LARGE|"&amp;A696</f>
        <v/>
      </c>
      <c r="AA696" s="66">
        <f>Q696&amp;"|"&amp;Z696</f>
        <v/>
      </c>
    </row>
    <row r="697" ht="15" customHeight="1" s="39">
      <c r="A697" s="67" t="inlineStr">
        <is>
          <t>PPDS</t>
        </is>
      </c>
      <c r="B697" s="67" t="n">
        <v>147</v>
      </c>
      <c r="C697" s="67" t="n">
        <v>4</v>
      </c>
      <c r="D697" s="67" t="n">
        <v>3</v>
      </c>
      <c r="E697" s="67" t="n">
        <v>5</v>
      </c>
      <c r="F697" s="67" t="n">
        <v>5</v>
      </c>
      <c r="G697" s="67" t="n">
        <v>1</v>
      </c>
      <c r="H697" s="67" t="n">
        <v>2</v>
      </c>
      <c r="I697" s="67" t="n">
        <v>15</v>
      </c>
      <c r="J697" s="67" t="n">
        <v>15</v>
      </c>
      <c r="K697" s="67" t="n">
        <v>1</v>
      </c>
      <c r="L697" s="67" t="n">
        <v>1</v>
      </c>
      <c r="M697" s="67" t="n">
        <v>3</v>
      </c>
      <c r="N697" s="67" t="n">
        <v>3</v>
      </c>
      <c r="O697" s="67" t="n">
        <v>0</v>
      </c>
      <c r="P697" s="67" t="n">
        <v>0</v>
      </c>
      <c r="Q697" s="66" t="inlineStr">
        <is>
          <t>Migration</t>
        </is>
      </c>
      <c r="Z697" s="66">
        <f>"LARGE|"&amp;A697</f>
        <v/>
      </c>
      <c r="AA697" s="66">
        <f>Q697&amp;"|"&amp;Z697</f>
        <v/>
      </c>
    </row>
    <row r="698" ht="15" customHeight="1" s="39">
      <c r="A698" s="67" t="inlineStr">
        <is>
          <t>ABAP</t>
        </is>
      </c>
      <c r="B698" s="67" t="n">
        <v>0</v>
      </c>
      <c r="C698" s="67" t="n">
        <v>0</v>
      </c>
      <c r="D698" s="67" t="n">
        <v>0</v>
      </c>
      <c r="E698" s="67" t="n">
        <v>0</v>
      </c>
      <c r="F698" s="67" t="n">
        <v>0</v>
      </c>
      <c r="G698" s="67" t="n">
        <v>0</v>
      </c>
      <c r="H698" s="67" t="n">
        <v>0</v>
      </c>
      <c r="I698" s="67" t="n">
        <v>0</v>
      </c>
      <c r="J698" s="67" t="n">
        <v>0</v>
      </c>
      <c r="K698" s="67" t="n">
        <v>0</v>
      </c>
      <c r="L698" s="67" t="n">
        <v>0</v>
      </c>
      <c r="M698" s="67" t="n">
        <v>0</v>
      </c>
      <c r="N698" s="67" t="n">
        <v>0</v>
      </c>
      <c r="O698" s="67" t="n">
        <v>0</v>
      </c>
      <c r="P698" s="67" t="n">
        <v>0</v>
      </c>
      <c r="Q698" s="66" t="inlineStr">
        <is>
          <t>Migration</t>
        </is>
      </c>
      <c r="Z698" s="66">
        <f>"LARGE|"&amp;A698</f>
        <v/>
      </c>
      <c r="AA698" s="66">
        <f>Q698&amp;"|"&amp;Z698</f>
        <v/>
      </c>
    </row>
    <row r="699" ht="15" customHeight="1" s="39">
      <c r="A699" s="67" t="inlineStr">
        <is>
          <t>BASIS</t>
        </is>
      </c>
      <c r="B699" s="67" t="n">
        <v>0</v>
      </c>
      <c r="C699" s="67" t="n">
        <v>0</v>
      </c>
      <c r="D699" s="67" t="n">
        <v>0</v>
      </c>
      <c r="E699" s="67" t="n">
        <v>0</v>
      </c>
      <c r="F699" s="67" t="n">
        <v>0</v>
      </c>
      <c r="G699" s="67" t="n">
        <v>0</v>
      </c>
      <c r="H699" s="67" t="n">
        <v>0</v>
      </c>
      <c r="I699" s="67" t="n">
        <v>0</v>
      </c>
      <c r="J699" s="67" t="n">
        <v>0</v>
      </c>
      <c r="K699" s="67" t="n">
        <v>0</v>
      </c>
      <c r="L699" s="67" t="n">
        <v>0</v>
      </c>
      <c r="M699" s="67" t="n">
        <v>0</v>
      </c>
      <c r="N699" s="67" t="n">
        <v>0</v>
      </c>
      <c r="O699" s="67" t="n">
        <v>0</v>
      </c>
      <c r="P699" s="67" t="n">
        <v>0</v>
      </c>
      <c r="Q699" s="66" t="inlineStr">
        <is>
          <t>Migration</t>
        </is>
      </c>
      <c r="Z699" s="66">
        <f>"LARGE|"&amp;A699</f>
        <v/>
      </c>
      <c r="AA699" s="66">
        <f>Q699&amp;"|"&amp;Z699</f>
        <v/>
      </c>
    </row>
    <row r="700" ht="15" customHeight="1" s="39">
      <c r="A700" s="67" t="inlineStr">
        <is>
          <t>E-Fatura/Arşiv</t>
        </is>
      </c>
      <c r="B700" s="67" t="n">
        <v>5</v>
      </c>
      <c r="C700" s="67" t="n">
        <v>2</v>
      </c>
      <c r="D700" s="67" t="n">
        <v>0</v>
      </c>
      <c r="E700" s="67" t="n">
        <v>2</v>
      </c>
      <c r="F700" s="67" t="n">
        <v>2</v>
      </c>
      <c r="G700" s="67" t="n">
        <v>1</v>
      </c>
      <c r="H700" s="67" t="n">
        <v>1</v>
      </c>
      <c r="I700" s="67" t="n">
        <v>3</v>
      </c>
      <c r="J700" s="67" t="n">
        <v>3</v>
      </c>
      <c r="K700" s="67" t="n">
        <v>0</v>
      </c>
      <c r="L700" s="67" t="n">
        <v>1</v>
      </c>
      <c r="M700" s="67" t="n">
        <v>1</v>
      </c>
      <c r="N700" s="67" t="n">
        <v>0</v>
      </c>
      <c r="O700" s="67" t="n">
        <v>0</v>
      </c>
      <c r="P700" s="67" t="n">
        <v>0</v>
      </c>
      <c r="Q700" s="66" t="inlineStr">
        <is>
          <t>Migration</t>
        </is>
      </c>
      <c r="Z700" s="66">
        <f>"LARGE|"&amp;A700</f>
        <v/>
      </c>
      <c r="AA700" s="66">
        <f>Q700&amp;"|"&amp;Z700</f>
        <v/>
      </c>
    </row>
    <row r="701" ht="15" customHeight="1" s="39">
      <c r="A701" s="67" t="inlineStr">
        <is>
          <t>E-İrsaliye</t>
        </is>
      </c>
      <c r="B701" s="67" t="n">
        <v>5</v>
      </c>
      <c r="C701" s="67" t="n">
        <v>2</v>
      </c>
      <c r="D701" s="67" t="n">
        <v>0</v>
      </c>
      <c r="E701" s="67" t="n">
        <v>2</v>
      </c>
      <c r="F701" s="67" t="n">
        <v>2</v>
      </c>
      <c r="G701" s="67" t="n">
        <v>1</v>
      </c>
      <c r="H701" s="67" t="n">
        <v>1</v>
      </c>
      <c r="I701" s="67" t="n">
        <v>3</v>
      </c>
      <c r="J701" s="67" t="n">
        <v>3</v>
      </c>
      <c r="K701" s="67" t="n">
        <v>0</v>
      </c>
      <c r="L701" s="67" t="n">
        <v>1</v>
      </c>
      <c r="M701" s="67" t="n">
        <v>1</v>
      </c>
      <c r="N701" s="67" t="n">
        <v>0</v>
      </c>
      <c r="O701" s="67" t="n">
        <v>0</v>
      </c>
      <c r="P701" s="67" t="n">
        <v>0</v>
      </c>
      <c r="Q701" s="66" t="inlineStr">
        <is>
          <t>Migration</t>
        </is>
      </c>
      <c r="Z701" s="66">
        <f>"LARGE|"&amp;A701</f>
        <v/>
      </c>
      <c r="AA701" s="66">
        <f>Q701&amp;"|"&amp;Z701</f>
        <v/>
      </c>
    </row>
    <row r="702" ht="15" customHeight="1" s="39">
      <c r="A702" s="67" t="inlineStr">
        <is>
          <t>E-Defter</t>
        </is>
      </c>
      <c r="B702" s="67" t="n">
        <v>3</v>
      </c>
      <c r="C702" s="67" t="n">
        <v>2</v>
      </c>
      <c r="D702" s="67" t="n">
        <v>0</v>
      </c>
      <c r="E702" s="67" t="n">
        <v>3</v>
      </c>
      <c r="F702" s="67" t="n">
        <v>3</v>
      </c>
      <c r="G702" s="67" t="n">
        <v>1</v>
      </c>
      <c r="H702" s="67" t="n">
        <v>1</v>
      </c>
      <c r="I702" s="67" t="n">
        <v>0</v>
      </c>
      <c r="J702" s="67" t="n">
        <v>0</v>
      </c>
      <c r="K702" s="67" t="n">
        <v>0</v>
      </c>
      <c r="L702" s="67" t="n">
        <v>3</v>
      </c>
      <c r="M702" s="67" t="n">
        <v>1</v>
      </c>
      <c r="N702" s="67" t="n">
        <v>0</v>
      </c>
      <c r="O702" s="67" t="n">
        <v>0</v>
      </c>
      <c r="P702" s="67" t="n">
        <v>0</v>
      </c>
      <c r="Q702" s="66" t="inlineStr">
        <is>
          <t>Migration</t>
        </is>
      </c>
      <c r="Z702" s="66">
        <f>"LARGE|"&amp;A702</f>
        <v/>
      </c>
      <c r="AA702" s="66">
        <f>Q702&amp;"|"&amp;Z702</f>
        <v/>
      </c>
    </row>
    <row r="703" ht="15" customHeight="1" s="39">
      <c r="A703" s="67" t="inlineStr">
        <is>
          <t>E-Hesap Özeti</t>
        </is>
      </c>
      <c r="B703" s="67" t="n">
        <v>5</v>
      </c>
      <c r="C703" s="67" t="n">
        <v>3</v>
      </c>
      <c r="D703" s="67" t="n">
        <v>0</v>
      </c>
      <c r="E703" s="67" t="n">
        <v>4</v>
      </c>
      <c r="F703" s="67" t="n">
        <v>3</v>
      </c>
      <c r="G703" s="67" t="n">
        <v>1</v>
      </c>
      <c r="H703" s="67" t="n">
        <v>0</v>
      </c>
      <c r="I703" s="67" t="n">
        <v>3</v>
      </c>
      <c r="J703" s="67" t="n">
        <v>3</v>
      </c>
      <c r="K703" s="67" t="n">
        <v>0</v>
      </c>
      <c r="L703" s="67" t="n">
        <v>2</v>
      </c>
      <c r="M703" s="67" t="n">
        <v>1</v>
      </c>
      <c r="N703" s="67" t="n">
        <v>0</v>
      </c>
      <c r="O703" s="67" t="n">
        <v>0</v>
      </c>
      <c r="P703" s="67" t="n">
        <v>0</v>
      </c>
      <c r="Q703" s="66" t="inlineStr">
        <is>
          <t>Migration</t>
        </is>
      </c>
      <c r="Z703" s="66">
        <f>"LARGE|"&amp;A703</f>
        <v/>
      </c>
      <c r="AA703" s="66">
        <f>Q703&amp;"|"&amp;Z703</f>
        <v/>
      </c>
    </row>
    <row r="704" ht="15" customHeight="1" s="39">
      <c r="A704" s="67" t="inlineStr">
        <is>
          <t>E-Ödeme</t>
        </is>
      </c>
      <c r="B704" s="67" t="n">
        <v>5</v>
      </c>
      <c r="C704" s="67" t="n">
        <v>3</v>
      </c>
      <c r="D704" s="67" t="n">
        <v>0</v>
      </c>
      <c r="E704" s="67" t="n">
        <v>4</v>
      </c>
      <c r="F704" s="67" t="n">
        <v>3</v>
      </c>
      <c r="G704" s="67" t="n">
        <v>1</v>
      </c>
      <c r="H704" s="67" t="n">
        <v>0</v>
      </c>
      <c r="I704" s="67" t="n">
        <v>3</v>
      </c>
      <c r="J704" s="67" t="n">
        <v>3</v>
      </c>
      <c r="K704" s="67" t="n">
        <v>0</v>
      </c>
      <c r="L704" s="67" t="n">
        <v>2</v>
      </c>
      <c r="M704" s="67" t="n">
        <v>1</v>
      </c>
      <c r="N704" s="67" t="n">
        <v>0</v>
      </c>
      <c r="O704" s="67" t="n">
        <v>0</v>
      </c>
      <c r="P704" s="67" t="n">
        <v>0</v>
      </c>
      <c r="Q704" s="66" t="inlineStr">
        <is>
          <t>Migration</t>
        </is>
      </c>
      <c r="Z704" s="66">
        <f>"LARGE|"&amp;A704</f>
        <v/>
      </c>
      <c r="AA704" s="66">
        <f>Q704&amp;"|"&amp;Z704</f>
        <v/>
      </c>
    </row>
    <row r="705" ht="15" customHeight="1" s="39">
      <c r="A705" s="67" t="inlineStr">
        <is>
          <t>E-Mutabakat</t>
        </is>
      </c>
      <c r="B705" s="67" t="n">
        <v>5</v>
      </c>
      <c r="C705" s="67" t="n">
        <v>3</v>
      </c>
      <c r="D705" s="67" t="n">
        <v>0</v>
      </c>
      <c r="E705" s="67" t="n">
        <v>3</v>
      </c>
      <c r="F705" s="67" t="n">
        <v>3</v>
      </c>
      <c r="G705" s="67" t="n">
        <v>1</v>
      </c>
      <c r="H705" s="67" t="n">
        <v>0</v>
      </c>
      <c r="I705" s="67" t="n">
        <v>3</v>
      </c>
      <c r="J705" s="67" t="n">
        <v>3</v>
      </c>
      <c r="K705" s="67" t="n">
        <v>0</v>
      </c>
      <c r="L705" s="67" t="n">
        <v>2</v>
      </c>
      <c r="M705" s="67" t="n">
        <v>1</v>
      </c>
      <c r="N705" s="67" t="n">
        <v>0</v>
      </c>
      <c r="O705" s="67" t="n">
        <v>0</v>
      </c>
      <c r="P705" s="67" t="n">
        <v>0</v>
      </c>
      <c r="Q705" s="66" t="inlineStr">
        <is>
          <t>Migration</t>
        </is>
      </c>
      <c r="Z705" s="66">
        <f>"LARGE|"&amp;A705</f>
        <v/>
      </c>
      <c r="AA705" s="66">
        <f>Q705&amp;"|"&amp;Z705</f>
        <v/>
      </c>
    </row>
    <row r="706" ht="15" customHeight="1" s="39">
      <c r="A706" s="67" t="inlineStr">
        <is>
          <t>E-Beyanname</t>
        </is>
      </c>
      <c r="B706" s="67" t="n">
        <v>6</v>
      </c>
      <c r="C706" s="67" t="n">
        <v>3</v>
      </c>
      <c r="D706" s="67" t="n">
        <v>0</v>
      </c>
      <c r="E706" s="67" t="n">
        <v>6</v>
      </c>
      <c r="F706" s="67" t="n">
        <v>3</v>
      </c>
      <c r="G706" s="67" t="n">
        <v>2</v>
      </c>
      <c r="H706" s="67" t="n">
        <v>0</v>
      </c>
      <c r="I706" s="67" t="n">
        <v>0</v>
      </c>
      <c r="J706" s="67" t="n">
        <v>0</v>
      </c>
      <c r="K706" s="67" t="n">
        <v>0</v>
      </c>
      <c r="L706" s="67" t="n">
        <v>4</v>
      </c>
      <c r="M706" s="67" t="n">
        <v>2</v>
      </c>
      <c r="N706" s="67" t="n">
        <v>0</v>
      </c>
      <c r="O706" s="67" t="n">
        <v>0</v>
      </c>
      <c r="P706" s="67" t="n">
        <v>0</v>
      </c>
      <c r="Q706" s="66" t="inlineStr">
        <is>
          <t>Migration</t>
        </is>
      </c>
      <c r="Z706" s="66">
        <f>"LARGE|"&amp;A706</f>
        <v/>
      </c>
      <c r="AA706" s="66">
        <f>Q706&amp;"|"&amp;Z706</f>
        <v/>
      </c>
    </row>
    <row r="707" ht="15" customHeight="1" s="39">
      <c r="A707" s="67" t="inlineStr">
        <is>
          <t>Gelen Fatura Otomasyon</t>
        </is>
      </c>
      <c r="B707" s="67" t="n">
        <v>5</v>
      </c>
      <c r="C707" s="67" t="n">
        <v>2</v>
      </c>
      <c r="D707" s="67" t="n">
        <v>0</v>
      </c>
      <c r="E707" s="67" t="n">
        <v>3</v>
      </c>
      <c r="F707" s="67" t="n">
        <v>4</v>
      </c>
      <c r="G707" s="67" t="n">
        <v>2</v>
      </c>
      <c r="H707" s="67" t="n">
        <v>0</v>
      </c>
      <c r="I707" s="67" t="n">
        <v>2</v>
      </c>
      <c r="J707" s="67" t="n">
        <v>2</v>
      </c>
      <c r="K707" s="67" t="n">
        <v>0</v>
      </c>
      <c r="L707" s="67" t="n">
        <v>4</v>
      </c>
      <c r="M707" s="67" t="n">
        <v>1</v>
      </c>
      <c r="N707" s="67" t="n">
        <v>0</v>
      </c>
      <c r="O707" s="67" t="n">
        <v>0</v>
      </c>
      <c r="P707" s="67" t="n">
        <v>0</v>
      </c>
      <c r="Q707" s="66" t="inlineStr">
        <is>
          <t>Migration</t>
        </is>
      </c>
      <c r="Z707" s="66">
        <f>"LARGE|"&amp;A707</f>
        <v/>
      </c>
      <c r="AA707" s="66">
        <f>Q707&amp;"|"&amp;Z707</f>
        <v/>
      </c>
    </row>
    <row r="708" ht="15" customHeight="1" s="39">
      <c r="A708" s="67" t="inlineStr">
        <is>
          <t>GLASSWING</t>
        </is>
      </c>
      <c r="B708" s="67" t="n">
        <v>60</v>
      </c>
      <c r="C708" s="67" t="n">
        <v>6</v>
      </c>
      <c r="D708" s="67" t="n">
        <v>2</v>
      </c>
      <c r="E708" s="67" t="n">
        <v>15</v>
      </c>
      <c r="F708" s="67" t="n">
        <v>10</v>
      </c>
      <c r="G708" s="67" t="n">
        <v>2</v>
      </c>
      <c r="H708" s="67" t="n">
        <v>0</v>
      </c>
      <c r="I708" s="67" t="n">
        <v>25</v>
      </c>
      <c r="J708" s="67" t="n">
        <v>25</v>
      </c>
      <c r="K708" s="67" t="n">
        <v>13</v>
      </c>
      <c r="L708" s="67" t="n">
        <v>2</v>
      </c>
      <c r="M708" s="67" t="n">
        <v>5</v>
      </c>
      <c r="N708" s="67" t="n">
        <v>10</v>
      </c>
      <c r="O708" s="67" t="n">
        <v>0</v>
      </c>
      <c r="P708" s="67" t="n">
        <v>0</v>
      </c>
      <c r="Q708" s="66" t="inlineStr">
        <is>
          <t>Migration</t>
        </is>
      </c>
      <c r="Z708" s="66">
        <f>"LARGE|"&amp;A708</f>
        <v/>
      </c>
      <c r="AA708" s="66">
        <f>Q708&amp;"|"&amp;Z708</f>
        <v/>
      </c>
    </row>
    <row r="709" ht="15" customHeight="1" s="39">
      <c r="A709" s="67" t="inlineStr">
        <is>
          <t>COMMODITY</t>
        </is>
      </c>
      <c r="B709" s="67" t="n">
        <v>100</v>
      </c>
      <c r="C709" s="67" t="n">
        <v>9</v>
      </c>
      <c r="D709" s="67" t="n">
        <v>3</v>
      </c>
      <c r="E709" s="67" t="n">
        <v>15</v>
      </c>
      <c r="F709" s="67" t="n">
        <v>15</v>
      </c>
      <c r="G709" s="67" t="n">
        <v>2</v>
      </c>
      <c r="H709" s="67" t="n">
        <v>1</v>
      </c>
      <c r="I709" s="67" t="n">
        <v>30</v>
      </c>
      <c r="J709" s="67" t="n">
        <v>30</v>
      </c>
      <c r="K709" s="67" t="n">
        <v>10</v>
      </c>
      <c r="L709" s="67" t="n">
        <v>2</v>
      </c>
      <c r="M709" s="67" t="n">
        <v>8</v>
      </c>
      <c r="N709" s="67" t="n">
        <v>15</v>
      </c>
      <c r="O709" s="67" t="n">
        <v>0</v>
      </c>
      <c r="P709" s="67" t="n">
        <v>0</v>
      </c>
      <c r="Q709" s="66" t="inlineStr">
        <is>
          <t>Migration</t>
        </is>
      </c>
      <c r="Z709" s="66">
        <f>"LARGE|"&amp;A709</f>
        <v/>
      </c>
      <c r="AA709" s="66">
        <f>Q709&amp;"|"&amp;Z709</f>
        <v/>
      </c>
    </row>
    <row r="710" ht="15" customHeight="1" s="39">
      <c r="A710" s="67" t="inlineStr">
        <is>
          <t>Dış Ticaret Çözümü</t>
        </is>
      </c>
      <c r="B710" s="67" t="n">
        <v>0</v>
      </c>
      <c r="C710" s="67" t="n">
        <v>0</v>
      </c>
      <c r="D710" s="67" t="n">
        <v>0</v>
      </c>
      <c r="E710" s="67" t="n">
        <v>0</v>
      </c>
      <c r="F710" s="67" t="n">
        <v>0</v>
      </c>
      <c r="G710" s="67" t="n">
        <v>0</v>
      </c>
      <c r="H710" s="67" t="n">
        <v>0</v>
      </c>
      <c r="I710" s="67" t="n">
        <v>0</v>
      </c>
      <c r="J710" s="67" t="n">
        <v>0</v>
      </c>
      <c r="K710" s="67" t="n">
        <v>0</v>
      </c>
      <c r="L710" s="67" t="n">
        <v>0</v>
      </c>
      <c r="M710" s="67" t="n">
        <v>0</v>
      </c>
      <c r="N710" s="67" t="n">
        <v>0</v>
      </c>
      <c r="O710" s="67" t="n">
        <v>0</v>
      </c>
      <c r="P710" s="67" t="n">
        <v>0</v>
      </c>
      <c r="Q710" s="66" t="inlineStr">
        <is>
          <t>Migration</t>
        </is>
      </c>
      <c r="Z710" s="66">
        <f>"LARGE|"&amp;A710</f>
        <v/>
      </c>
      <c r="AA710" s="66">
        <f>Q710&amp;"|"&amp;Z710</f>
        <v/>
      </c>
    </row>
    <row r="711" ht="15" customHeight="1" s="39">
      <c r="A711" s="67" t="inlineStr">
        <is>
          <t>Seyahat ve Masraf Yönetimi</t>
        </is>
      </c>
      <c r="B711" s="67" t="n">
        <v>0</v>
      </c>
      <c r="C711" s="67" t="n">
        <v>0</v>
      </c>
      <c r="D711" s="67" t="n">
        <v>0</v>
      </c>
      <c r="E711" s="67" t="n">
        <v>0</v>
      </c>
      <c r="F711" s="67" t="n">
        <v>0</v>
      </c>
      <c r="G711" s="67" t="n">
        <v>0</v>
      </c>
      <c r="H711" s="67" t="n">
        <v>0</v>
      </c>
      <c r="I711" s="67" t="n">
        <v>0</v>
      </c>
      <c r="J711" s="67" t="n">
        <v>0</v>
      </c>
      <c r="K711" s="67" t="n">
        <v>0</v>
      </c>
      <c r="L711" s="67" t="n">
        <v>0</v>
      </c>
      <c r="M711" s="67" t="n">
        <v>0</v>
      </c>
      <c r="N711" s="67" t="n">
        <v>0</v>
      </c>
      <c r="O711" s="67" t="n">
        <v>0</v>
      </c>
      <c r="P711" s="67" t="n">
        <v>0</v>
      </c>
      <c r="Q711" s="66" t="inlineStr">
        <is>
          <t>Migration</t>
        </is>
      </c>
      <c r="Z711" s="66">
        <f>"LARGE|"&amp;A711</f>
        <v/>
      </c>
      <c r="AA711" s="66">
        <f>Q711&amp;"|"&amp;Z711</f>
        <v/>
      </c>
    </row>
    <row r="712" ht="15" customHeight="1" s="39">
      <c r="A712" s="67" t="inlineStr">
        <is>
          <t>NTT Data POS</t>
        </is>
      </c>
      <c r="B712" s="67" t="n">
        <v>0</v>
      </c>
      <c r="C712" s="67" t="n">
        <v>0</v>
      </c>
      <c r="D712" s="67" t="n">
        <v>0</v>
      </c>
      <c r="E712" s="67" t="n">
        <v>0</v>
      </c>
      <c r="F712" s="67" t="n">
        <v>0</v>
      </c>
      <c r="G712" s="67" t="n">
        <v>0</v>
      </c>
      <c r="H712" s="67" t="n">
        <v>0</v>
      </c>
      <c r="I712" s="67" t="n">
        <v>0</v>
      </c>
      <c r="J712" s="67" t="n">
        <v>0</v>
      </c>
      <c r="K712" s="67" t="n">
        <v>0</v>
      </c>
      <c r="L712" s="67" t="n">
        <v>0</v>
      </c>
      <c r="M712" s="67" t="n">
        <v>0</v>
      </c>
      <c r="N712" s="67" t="n">
        <v>0</v>
      </c>
      <c r="O712" s="67" t="n">
        <v>0</v>
      </c>
      <c r="P712" s="67" t="n">
        <v>0</v>
      </c>
      <c r="Q712" s="66" t="inlineStr">
        <is>
          <t>Migration</t>
        </is>
      </c>
      <c r="Z712" s="66">
        <f>"LARGE|"&amp;A712</f>
        <v/>
      </c>
      <c r="AA712" s="66">
        <f>Q712&amp;"|"&amp;Z712</f>
        <v/>
      </c>
    </row>
    <row r="714" ht="15" customHeight="1" s="39">
      <c r="A714" s="68" t="inlineStr">
        <is>
          <t>X-LARGE</t>
        </is>
      </c>
      <c r="Q714" s="68" t="inlineStr">
        <is>
          <t>Migration</t>
        </is>
      </c>
    </row>
    <row r="715" ht="15" customHeight="1" s="39">
      <c r="A715" s="67">
        <f>INDEX(Translations!$D:$ZZ, MATCH(74,Translations!$A:$A,0), MATCH('Project Information'!$C$4,Translations!$D$1:$ZZ$1,0))</f>
        <v/>
      </c>
      <c r="B715" s="67">
        <f>INDEX(Translations!$D:$ZZ, MATCH(75,Translations!$A:$A,0), MATCH('Project Information'!$C$4,Translations!$D$1:$ZZ$1,0))</f>
        <v/>
      </c>
      <c r="C715" s="67">
        <f>INDEX(Translations!$D:$ZZ, MATCH(76,Translations!$A:$A,0), MATCH('Project Information'!$C$4,Translations!$D$1:$ZZ$1,0))</f>
        <v/>
      </c>
      <c r="D715" s="67">
        <f>INDEX(Translations!$D:$ZZ, MATCH(77,Translations!$A:$A,0), MATCH('Project Information'!$C$4,Translations!$D$1:$ZZ$1,0))</f>
        <v/>
      </c>
      <c r="E715" s="67">
        <f>INDEX(Translations!$D:$ZZ, MATCH(78,Translations!$A:$A,0), MATCH('Project Information'!$C$4,Translations!$D$1:$ZZ$1,0))</f>
        <v/>
      </c>
      <c r="F715" s="67">
        <f>INDEX(Translations!$D:$ZZ, MATCH(79,Translations!$A:$A,0), MATCH('Project Information'!$C$4,Translations!$D$1:$ZZ$1,0))</f>
        <v/>
      </c>
      <c r="G715" s="67">
        <f>INDEX(Translations!$D:$ZZ, MATCH(80,Translations!$A:$A,0), MATCH('Project Information'!$C$4,Translations!$D$1:$ZZ$1,0))</f>
        <v/>
      </c>
      <c r="H715" s="67">
        <f>INDEX(Translations!$D:$ZZ, MATCH(81,Translations!$A:$A,0), MATCH('Project Information'!$C$4,Translations!$D$1:$ZZ$1,0))</f>
        <v/>
      </c>
      <c r="I715" s="67">
        <f>INDEX(Translations!$D:$ZZ, MATCH(82,Translations!$A:$A,0), MATCH('Project Information'!$C$4,Translations!$D$1:$ZZ$1,0))</f>
        <v/>
      </c>
      <c r="J715" s="67">
        <f>INDEX(Translations!$D:$ZZ, MATCH(83,Translations!$A:$A,0), MATCH('Project Information'!$C$4,Translations!$D$1:$ZZ$1,0))</f>
        <v/>
      </c>
      <c r="K715" s="67">
        <f>INDEX(Translations!$D:$ZZ, MATCH(84,Translations!$A:$A,0), MATCH('Project Information'!$C$4,Translations!$D$1:$ZZ$1,0))</f>
        <v/>
      </c>
      <c r="L715" s="67">
        <f>INDEX(Translations!$D:$ZZ, MATCH(85,Translations!$A:$A,0), MATCH('Project Information'!$C$4,Translations!$D$1:$ZZ$1,0))</f>
        <v/>
      </c>
      <c r="M715" s="67">
        <f>INDEX(Translations!$D:$ZZ, MATCH(86,Translations!$A:$A,0), MATCH('Project Information'!$C$4,Translations!$D$1:$ZZ$1,0))</f>
        <v/>
      </c>
      <c r="N715" s="67">
        <f>INDEX(Translations!$D:$ZZ, MATCH(87,Translations!$A:$A,0), MATCH('Project Information'!$C$4,Translations!$D$1:$ZZ$1,0))</f>
        <v/>
      </c>
      <c r="O715" s="67">
        <f>INDEX(Translations!$D:$ZZ, MATCH(88,Translations!$A:$A,0), MATCH('Project Information'!$C$4,Translations!$D$1:$ZZ$1,0))</f>
        <v/>
      </c>
      <c r="P715" s="67">
        <f>INDEX(Translations!$D:$ZZ, MATCH(89,Translations!$A:$A,0), MATCH('Project Information'!$C$4,Translations!$D$1:$ZZ$1,0))</f>
        <v/>
      </c>
      <c r="Q715" s="67" t="inlineStr">
        <is>
          <t>Implementation Type</t>
        </is>
      </c>
      <c r="Z715" s="67">
        <f>INDEX(Translations!$D:$ZZ, MATCH(93,Translations!$A:$A,0), MATCH('Project Information'!$C$4,Translations!$D$1:$ZZ$1,0))</f>
        <v/>
      </c>
      <c r="AA715" s="67" t="inlineStr">
        <is>
          <t>Implementation Key</t>
        </is>
      </c>
    </row>
    <row r="716" ht="15" customHeight="1" s="39">
      <c r="A716" s="67" t="inlineStr">
        <is>
          <t>FI</t>
        </is>
      </c>
      <c r="B716" s="67" t="n">
        <v>245</v>
      </c>
      <c r="C716" s="67" t="n">
        <v>10</v>
      </c>
      <c r="D716" s="67" t="n">
        <v>5</v>
      </c>
      <c r="E716" s="67" t="n">
        <v>5</v>
      </c>
      <c r="F716" s="67" t="n">
        <v>5</v>
      </c>
      <c r="G716" s="67" t="n">
        <v>2</v>
      </c>
      <c r="H716" s="67" t="n">
        <v>3</v>
      </c>
      <c r="I716" s="67" t="n">
        <v>28</v>
      </c>
      <c r="J716" s="67" t="n">
        <v>28</v>
      </c>
      <c r="K716" s="67" t="n">
        <v>3</v>
      </c>
      <c r="L716" s="67" t="n">
        <v>2</v>
      </c>
      <c r="M716" s="67" t="n">
        <v>15</v>
      </c>
      <c r="N716" s="67" t="n">
        <v>15</v>
      </c>
      <c r="O716" s="67" t="n">
        <v>0</v>
      </c>
      <c r="P716" s="67" t="n">
        <v>0</v>
      </c>
      <c r="Q716" s="66" t="inlineStr">
        <is>
          <t>Migration</t>
        </is>
      </c>
      <c r="Z716" s="66">
        <f>"X-LARGE|"&amp;A716</f>
        <v/>
      </c>
      <c r="AA716" s="66">
        <f>Q716&amp;"|"&amp;Z716</f>
        <v/>
      </c>
    </row>
    <row r="717" ht="15" customHeight="1" s="39">
      <c r="A717" s="67" t="inlineStr">
        <is>
          <t>CO</t>
        </is>
      </c>
      <c r="B717" s="67" t="n">
        <v>245</v>
      </c>
      <c r="C717" s="67" t="n">
        <v>10</v>
      </c>
      <c r="D717" s="67" t="n">
        <v>5</v>
      </c>
      <c r="E717" s="67" t="n">
        <v>4</v>
      </c>
      <c r="F717" s="67" t="n">
        <v>5</v>
      </c>
      <c r="G717" s="67" t="n">
        <v>2</v>
      </c>
      <c r="H717" s="67" t="n">
        <v>2</v>
      </c>
      <c r="I717" s="67" t="n">
        <v>28</v>
      </c>
      <c r="J717" s="67" t="n">
        <v>28</v>
      </c>
      <c r="K717" s="67" t="n">
        <v>3</v>
      </c>
      <c r="L717" s="67" t="n">
        <v>2</v>
      </c>
      <c r="M717" s="67" t="n">
        <v>10</v>
      </c>
      <c r="N717" s="67" t="n">
        <v>10</v>
      </c>
      <c r="O717" s="67" t="n">
        <v>0</v>
      </c>
      <c r="P717" s="67" t="n">
        <v>0</v>
      </c>
      <c r="Q717" s="66" t="inlineStr">
        <is>
          <t>Migration</t>
        </is>
      </c>
      <c r="Z717" s="66">
        <f>"X-LARGE|"&amp;A717</f>
        <v/>
      </c>
      <c r="AA717" s="66">
        <f>Q717&amp;"|"&amp;Z717</f>
        <v/>
      </c>
    </row>
    <row r="718" ht="15" customHeight="1" s="39">
      <c r="A718" s="67" t="inlineStr">
        <is>
          <t>TRM</t>
        </is>
      </c>
      <c r="B718" s="67" t="n">
        <v>100</v>
      </c>
      <c r="C718" s="67" t="n">
        <v>4</v>
      </c>
      <c r="D718" s="67" t="n">
        <v>2</v>
      </c>
      <c r="E718" s="67" t="n">
        <v>2</v>
      </c>
      <c r="F718" s="67" t="n">
        <v>3</v>
      </c>
      <c r="G718" s="67" t="n">
        <v>1</v>
      </c>
      <c r="H718" s="67" t="n">
        <v>1</v>
      </c>
      <c r="I718" s="67" t="n">
        <v>10</v>
      </c>
      <c r="J718" s="67" t="n">
        <v>10</v>
      </c>
      <c r="K718" s="67" t="n">
        <v>1</v>
      </c>
      <c r="L718" s="67" t="n">
        <v>1</v>
      </c>
      <c r="M718" s="67" t="n">
        <v>10</v>
      </c>
      <c r="N718" s="67" t="n">
        <v>10</v>
      </c>
      <c r="O718" s="67" t="n">
        <v>0</v>
      </c>
      <c r="P718" s="67" t="n">
        <v>0</v>
      </c>
      <c r="Q718" s="66" t="inlineStr">
        <is>
          <t>Migration</t>
        </is>
      </c>
      <c r="Z718" s="66">
        <f>"X-LARGE|"&amp;A718</f>
        <v/>
      </c>
      <c r="AA718" s="66">
        <f>Q718&amp;"|"&amp;Z718</f>
        <v/>
      </c>
    </row>
    <row r="719" ht="15" customHeight="1" s="39">
      <c r="A719" s="67" t="inlineStr">
        <is>
          <t>CM</t>
        </is>
      </c>
      <c r="B719" s="67" t="n">
        <v>100</v>
      </c>
      <c r="C719" s="67" t="n">
        <v>3</v>
      </c>
      <c r="D719" s="67" t="n">
        <v>2</v>
      </c>
      <c r="E719" s="67" t="n">
        <v>2</v>
      </c>
      <c r="F719" s="67" t="n">
        <v>3</v>
      </c>
      <c r="G719" s="67" t="n">
        <v>1</v>
      </c>
      <c r="H719" s="67" t="n">
        <v>1</v>
      </c>
      <c r="I719" s="67" t="n">
        <v>10</v>
      </c>
      <c r="J719" s="67" t="n">
        <v>10</v>
      </c>
      <c r="K719" s="67" t="n">
        <v>1</v>
      </c>
      <c r="L719" s="67" t="n">
        <v>1</v>
      </c>
      <c r="M719" s="67" t="n">
        <v>5</v>
      </c>
      <c r="N719" s="67" t="n">
        <v>5</v>
      </c>
      <c r="O719" s="67" t="n">
        <v>0</v>
      </c>
      <c r="P719" s="67" t="n">
        <v>0</v>
      </c>
      <c r="Q719" s="66" t="inlineStr">
        <is>
          <t>Migration</t>
        </is>
      </c>
      <c r="Z719" s="66">
        <f>"X-LARGE|"&amp;A719</f>
        <v/>
      </c>
      <c r="AA719" s="66">
        <f>Q719&amp;"|"&amp;Z719</f>
        <v/>
      </c>
    </row>
    <row r="720" ht="15" customHeight="1" s="39">
      <c r="A720" s="67" t="inlineStr">
        <is>
          <t>FM</t>
        </is>
      </c>
      <c r="B720" s="67" t="n">
        <v>100</v>
      </c>
      <c r="C720" s="67" t="n">
        <v>3</v>
      </c>
      <c r="D720" s="67" t="n">
        <v>2</v>
      </c>
      <c r="E720" s="67" t="n">
        <v>2</v>
      </c>
      <c r="F720" s="67" t="n">
        <v>3</v>
      </c>
      <c r="G720" s="67" t="n">
        <v>1</v>
      </c>
      <c r="H720" s="67" t="n">
        <v>1</v>
      </c>
      <c r="I720" s="67" t="n">
        <v>10</v>
      </c>
      <c r="J720" s="67" t="n">
        <v>10</v>
      </c>
      <c r="K720" s="67" t="n">
        <v>1</v>
      </c>
      <c r="L720" s="67" t="n">
        <v>1</v>
      </c>
      <c r="M720" s="67" t="n">
        <v>5</v>
      </c>
      <c r="N720" s="67" t="n">
        <v>5</v>
      </c>
      <c r="O720" s="67" t="n">
        <v>0</v>
      </c>
      <c r="P720" s="67" t="n">
        <v>0</v>
      </c>
      <c r="Q720" s="66" t="inlineStr">
        <is>
          <t>Migration</t>
        </is>
      </c>
      <c r="Z720" s="66">
        <f>"X-LARGE|"&amp;A720</f>
        <v/>
      </c>
      <c r="AA720" s="66">
        <f>Q720&amp;"|"&amp;Z720</f>
        <v/>
      </c>
    </row>
    <row r="721" ht="15" customHeight="1" s="39">
      <c r="A721" s="67" t="inlineStr">
        <is>
          <t>RM</t>
        </is>
      </c>
      <c r="B721" s="67" t="n">
        <v>0</v>
      </c>
      <c r="C721" s="67" t="n">
        <v>0</v>
      </c>
      <c r="D721" s="67" t="n">
        <v>0</v>
      </c>
      <c r="E721" s="67" t="n">
        <v>0</v>
      </c>
      <c r="F721" s="67" t="n">
        <v>0</v>
      </c>
      <c r="G721" s="67" t="n">
        <v>0</v>
      </c>
      <c r="H721" s="67" t="n">
        <v>0</v>
      </c>
      <c r="I721" s="67" t="n">
        <v>0</v>
      </c>
      <c r="J721" s="67" t="n">
        <v>0</v>
      </c>
      <c r="K721" s="67" t="n">
        <v>0</v>
      </c>
      <c r="L721" s="67" t="n">
        <v>0</v>
      </c>
      <c r="M721" s="67" t="n">
        <v>0</v>
      </c>
      <c r="N721" s="67" t="n">
        <v>0</v>
      </c>
      <c r="O721" s="67" t="n">
        <v>0</v>
      </c>
      <c r="P721" s="67" t="n">
        <v>0</v>
      </c>
      <c r="Q721" s="66" t="inlineStr">
        <is>
          <t>Migration</t>
        </is>
      </c>
      <c r="Z721" s="66">
        <f>"X-LARGE|"&amp;A721</f>
        <v/>
      </c>
      <c r="AA721" s="66">
        <f>Q721&amp;"|"&amp;Z721</f>
        <v/>
      </c>
    </row>
    <row r="722" ht="15" customHeight="1" s="39">
      <c r="A722" s="67" t="inlineStr">
        <is>
          <t>RE/FX</t>
        </is>
      </c>
      <c r="B722" s="67" t="n">
        <v>0</v>
      </c>
      <c r="C722" s="67" t="n">
        <v>0</v>
      </c>
      <c r="D722" s="67" t="n">
        <v>0</v>
      </c>
      <c r="E722" s="67" t="n">
        <v>0</v>
      </c>
      <c r="F722" s="67" t="n">
        <v>0</v>
      </c>
      <c r="G722" s="67" t="n">
        <v>0</v>
      </c>
      <c r="H722" s="67" t="n">
        <v>0</v>
      </c>
      <c r="I722" s="67" t="n">
        <v>0</v>
      </c>
      <c r="J722" s="67" t="n">
        <v>0</v>
      </c>
      <c r="K722" s="67" t="n">
        <v>0</v>
      </c>
      <c r="L722" s="67" t="n">
        <v>0</v>
      </c>
      <c r="M722" s="67" t="n">
        <v>0</v>
      </c>
      <c r="N722" s="67" t="n">
        <v>0</v>
      </c>
      <c r="O722" s="67" t="n">
        <v>0</v>
      </c>
      <c r="P722" s="67" t="n">
        <v>0</v>
      </c>
      <c r="Q722" s="66" t="inlineStr">
        <is>
          <t>Migration</t>
        </is>
      </c>
      <c r="Z722" s="66">
        <f>"X-LARGE|"&amp;A722</f>
        <v/>
      </c>
      <c r="AA722" s="66">
        <f>Q722&amp;"|"&amp;Z722</f>
        <v/>
      </c>
    </row>
    <row r="723" ht="15" customHeight="1" s="39">
      <c r="A723" s="67" t="inlineStr">
        <is>
          <t>MM</t>
        </is>
      </c>
      <c r="B723" s="67" t="n">
        <v>245</v>
      </c>
      <c r="C723" s="67" t="n">
        <v>10</v>
      </c>
      <c r="D723" s="67" t="n">
        <v>5</v>
      </c>
      <c r="E723" s="67" t="n">
        <v>5</v>
      </c>
      <c r="F723" s="67" t="n">
        <v>5</v>
      </c>
      <c r="G723" s="67" t="n">
        <v>2</v>
      </c>
      <c r="H723" s="67" t="n">
        <v>7</v>
      </c>
      <c r="I723" s="67" t="n">
        <v>28</v>
      </c>
      <c r="J723" s="67" t="n">
        <v>28</v>
      </c>
      <c r="K723" s="67" t="n">
        <v>3</v>
      </c>
      <c r="L723" s="67" t="n">
        <v>2</v>
      </c>
      <c r="M723" s="67" t="n">
        <v>20</v>
      </c>
      <c r="N723" s="67" t="n">
        <v>20</v>
      </c>
      <c r="O723" s="67" t="n">
        <v>0</v>
      </c>
      <c r="P723" s="67" t="n">
        <v>0</v>
      </c>
      <c r="Q723" s="66" t="inlineStr">
        <is>
          <t>Migration</t>
        </is>
      </c>
      <c r="Z723" s="66">
        <f>"X-LARGE|"&amp;A723</f>
        <v/>
      </c>
      <c r="AA723" s="66">
        <f>Q723&amp;"|"&amp;Z723</f>
        <v/>
      </c>
    </row>
    <row r="724" ht="15" customHeight="1" s="39">
      <c r="A724" s="67" t="inlineStr">
        <is>
          <t>PP</t>
        </is>
      </c>
      <c r="B724" s="67" t="n">
        <v>245</v>
      </c>
      <c r="C724" s="67" t="n">
        <v>10</v>
      </c>
      <c r="D724" s="67" t="n">
        <v>5</v>
      </c>
      <c r="E724" s="67" t="n">
        <v>5</v>
      </c>
      <c r="F724" s="67" t="n">
        <v>5</v>
      </c>
      <c r="G724" s="67" t="n">
        <v>2</v>
      </c>
      <c r="H724" s="67" t="n">
        <v>7</v>
      </c>
      <c r="I724" s="67" t="n">
        <v>28</v>
      </c>
      <c r="J724" s="67" t="n">
        <v>28</v>
      </c>
      <c r="K724" s="67" t="n">
        <v>3</v>
      </c>
      <c r="L724" s="67" t="n">
        <v>2</v>
      </c>
      <c r="M724" s="67" t="n">
        <v>20</v>
      </c>
      <c r="N724" s="67" t="n">
        <v>20</v>
      </c>
      <c r="O724" s="67" t="n">
        <v>0</v>
      </c>
      <c r="P724" s="67" t="n">
        <v>0</v>
      </c>
      <c r="Q724" s="66" t="inlineStr">
        <is>
          <t>Migration</t>
        </is>
      </c>
      <c r="Z724" s="66">
        <f>"X-LARGE|"&amp;A724</f>
        <v/>
      </c>
      <c r="AA724" s="66">
        <f>Q724&amp;"|"&amp;Z724</f>
        <v/>
      </c>
    </row>
    <row r="725" ht="15" customHeight="1" s="39">
      <c r="A725" s="67" t="inlineStr">
        <is>
          <t>SD</t>
        </is>
      </c>
      <c r="B725" s="67" t="n">
        <v>245</v>
      </c>
      <c r="C725" s="67" t="n">
        <v>10</v>
      </c>
      <c r="D725" s="67" t="n">
        <v>5</v>
      </c>
      <c r="E725" s="67" t="n">
        <v>5</v>
      </c>
      <c r="F725" s="67" t="n">
        <v>5</v>
      </c>
      <c r="G725" s="67" t="n">
        <v>2</v>
      </c>
      <c r="H725" s="67" t="n">
        <v>5</v>
      </c>
      <c r="I725" s="67" t="n">
        <v>28</v>
      </c>
      <c r="J725" s="67" t="n">
        <v>28</v>
      </c>
      <c r="K725" s="67" t="n">
        <v>3</v>
      </c>
      <c r="L725" s="67" t="n">
        <v>2</v>
      </c>
      <c r="M725" s="67" t="n">
        <v>15</v>
      </c>
      <c r="N725" s="67" t="n">
        <v>15</v>
      </c>
      <c r="O725" s="67" t="n">
        <v>0</v>
      </c>
      <c r="P725" s="67" t="n">
        <v>0</v>
      </c>
      <c r="Q725" s="66" t="inlineStr">
        <is>
          <t>Migration</t>
        </is>
      </c>
      <c r="Z725" s="66">
        <f>"X-LARGE|"&amp;A725</f>
        <v/>
      </c>
      <c r="AA725" s="66">
        <f>Q725&amp;"|"&amp;Z725</f>
        <v/>
      </c>
    </row>
    <row r="726" ht="15" customHeight="1" s="39">
      <c r="A726" s="67" t="inlineStr">
        <is>
          <t>QM</t>
        </is>
      </c>
      <c r="B726" s="67" t="n">
        <v>245</v>
      </c>
      <c r="C726" s="67" t="n">
        <v>8</v>
      </c>
      <c r="D726" s="67" t="n">
        <v>5</v>
      </c>
      <c r="E726" s="67" t="n">
        <v>4</v>
      </c>
      <c r="F726" s="67" t="n">
        <v>5</v>
      </c>
      <c r="G726" s="67" t="n">
        <v>1</v>
      </c>
      <c r="H726" s="67" t="n">
        <v>6</v>
      </c>
      <c r="I726" s="67" t="n">
        <v>26</v>
      </c>
      <c r="J726" s="67" t="n">
        <v>26</v>
      </c>
      <c r="K726" s="67" t="n">
        <v>2</v>
      </c>
      <c r="L726" s="67" t="n">
        <v>1</v>
      </c>
      <c r="M726" s="67" t="n">
        <v>15</v>
      </c>
      <c r="N726" s="67" t="n">
        <v>15</v>
      </c>
      <c r="O726" s="67" t="n">
        <v>0</v>
      </c>
      <c r="P726" s="67" t="n">
        <v>0</v>
      </c>
      <c r="Q726" s="66" t="inlineStr">
        <is>
          <t>Migration</t>
        </is>
      </c>
      <c r="Z726" s="66">
        <f>"X-LARGE|"&amp;A726</f>
        <v/>
      </c>
      <c r="AA726" s="66">
        <f>Q726&amp;"|"&amp;Z726</f>
        <v/>
      </c>
    </row>
    <row r="727" ht="15" customHeight="1" s="39">
      <c r="A727" s="67" t="inlineStr">
        <is>
          <t>PM</t>
        </is>
      </c>
      <c r="B727" s="67" t="n">
        <v>196</v>
      </c>
      <c r="C727" s="67" t="n">
        <v>8</v>
      </c>
      <c r="D727" s="67" t="n">
        <v>3</v>
      </c>
      <c r="E727" s="67" t="n">
        <v>3</v>
      </c>
      <c r="F727" s="67" t="n">
        <v>5</v>
      </c>
      <c r="G727" s="67" t="n">
        <v>1</v>
      </c>
      <c r="H727" s="67" t="n">
        <v>4</v>
      </c>
      <c r="I727" s="67" t="n">
        <v>16</v>
      </c>
      <c r="J727" s="67" t="n">
        <v>16</v>
      </c>
      <c r="K727" s="67" t="n">
        <v>2</v>
      </c>
      <c r="L727" s="67" t="n">
        <v>1</v>
      </c>
      <c r="M727" s="67" t="n">
        <v>10</v>
      </c>
      <c r="N727" s="67" t="n">
        <v>10</v>
      </c>
      <c r="O727" s="67" t="n">
        <v>0</v>
      </c>
      <c r="P727" s="67" t="n">
        <v>0</v>
      </c>
      <c r="Q727" s="66" t="inlineStr">
        <is>
          <t>Migration</t>
        </is>
      </c>
      <c r="Z727" s="66">
        <f>"X-LARGE|"&amp;A727</f>
        <v/>
      </c>
      <c r="AA727" s="66">
        <f>Q727&amp;"|"&amp;Z727</f>
        <v/>
      </c>
    </row>
    <row r="728" ht="15" customHeight="1" s="39">
      <c r="A728" s="67" t="inlineStr">
        <is>
          <t>PS</t>
        </is>
      </c>
      <c r="B728" s="67" t="n">
        <v>196</v>
      </c>
      <c r="C728" s="67" t="n">
        <v>8</v>
      </c>
      <c r="D728" s="67" t="n">
        <v>3</v>
      </c>
      <c r="E728" s="67" t="n">
        <v>3</v>
      </c>
      <c r="F728" s="67" t="n">
        <v>5</v>
      </c>
      <c r="G728" s="67" t="n">
        <v>1</v>
      </c>
      <c r="H728" s="67" t="n">
        <v>4</v>
      </c>
      <c r="I728" s="67" t="n">
        <v>16</v>
      </c>
      <c r="J728" s="67" t="n">
        <v>16</v>
      </c>
      <c r="K728" s="67" t="n">
        <v>2</v>
      </c>
      <c r="L728" s="67" t="n">
        <v>1</v>
      </c>
      <c r="M728" s="67" t="n">
        <v>10</v>
      </c>
      <c r="N728" s="67" t="n">
        <v>10</v>
      </c>
      <c r="O728" s="67" t="n">
        <v>0</v>
      </c>
      <c r="P728" s="67" t="n">
        <v>0</v>
      </c>
      <c r="Q728" s="66" t="inlineStr">
        <is>
          <t>Migration</t>
        </is>
      </c>
      <c r="Z728" s="66">
        <f>"X-LARGE|"&amp;A728</f>
        <v/>
      </c>
      <c r="AA728" s="66">
        <f>Q728&amp;"|"&amp;Z728</f>
        <v/>
      </c>
    </row>
    <row r="729" ht="15" customHeight="1" s="39">
      <c r="A729" s="67" t="inlineStr">
        <is>
          <t>MII/DM</t>
        </is>
      </c>
      <c r="B729" s="67" t="n">
        <v>0</v>
      </c>
      <c r="C729" s="67" t="n">
        <v>0</v>
      </c>
      <c r="D729" s="67" t="n">
        <v>0</v>
      </c>
      <c r="E729" s="67" t="n">
        <v>0</v>
      </c>
      <c r="F729" s="67" t="n">
        <v>0</v>
      </c>
      <c r="G729" s="67" t="n">
        <v>0</v>
      </c>
      <c r="H729" s="67" t="n">
        <v>0</v>
      </c>
      <c r="I729" s="67" t="n">
        <v>0</v>
      </c>
      <c r="J729" s="67" t="n">
        <v>0</v>
      </c>
      <c r="K729" s="67" t="n">
        <v>0</v>
      </c>
      <c r="L729" s="67" t="n">
        <v>0</v>
      </c>
      <c r="M729" s="67" t="n">
        <v>0</v>
      </c>
      <c r="N729" s="67" t="n">
        <v>0</v>
      </c>
      <c r="O729" s="67" t="n">
        <v>0</v>
      </c>
      <c r="P729" s="67" t="n">
        <v>0</v>
      </c>
      <c r="Q729" s="66" t="inlineStr">
        <is>
          <t>Migration</t>
        </is>
      </c>
      <c r="Z729" s="66">
        <f>"X-LARGE|"&amp;A729</f>
        <v/>
      </c>
      <c r="AA729" s="66">
        <f>Q729&amp;"|"&amp;Z729</f>
        <v/>
      </c>
    </row>
    <row r="730" ht="15" customHeight="1" s="39">
      <c r="A730" s="67" t="inlineStr">
        <is>
          <t>PM Mobility</t>
        </is>
      </c>
      <c r="B730" s="67" t="n">
        <v>0</v>
      </c>
      <c r="C730" s="67" t="n">
        <v>0</v>
      </c>
      <c r="D730" s="67" t="n">
        <v>0</v>
      </c>
      <c r="E730" s="67" t="n">
        <v>0</v>
      </c>
      <c r="F730" s="67" t="n">
        <v>0</v>
      </c>
      <c r="G730" s="67" t="n">
        <v>0</v>
      </c>
      <c r="H730" s="67" t="n">
        <v>0</v>
      </c>
      <c r="I730" s="67" t="n">
        <v>0</v>
      </c>
      <c r="J730" s="67" t="n">
        <v>0</v>
      </c>
      <c r="K730" s="67" t="n">
        <v>0</v>
      </c>
      <c r="L730" s="67" t="n">
        <v>0</v>
      </c>
      <c r="M730" s="67" t="n">
        <v>0</v>
      </c>
      <c r="N730" s="67" t="n">
        <v>0</v>
      </c>
      <c r="O730" s="67" t="n">
        <v>0</v>
      </c>
      <c r="P730" s="67" t="n">
        <v>0</v>
      </c>
      <c r="Q730" s="66" t="inlineStr">
        <is>
          <t>Migration</t>
        </is>
      </c>
      <c r="Z730" s="66">
        <f>"X-LARGE|"&amp;A730</f>
        <v/>
      </c>
      <c r="AA730" s="66">
        <f>Q730&amp;"|"&amp;Z730</f>
        <v/>
      </c>
    </row>
    <row r="731" ht="15" customHeight="1" s="39">
      <c r="A731" s="67" t="inlineStr">
        <is>
          <t>Basic EWM</t>
        </is>
      </c>
      <c r="B731" s="67" t="n">
        <v>245</v>
      </c>
      <c r="C731" s="67" t="n">
        <v>10</v>
      </c>
      <c r="D731" s="67" t="n">
        <v>5</v>
      </c>
      <c r="E731" s="67" t="n">
        <v>5</v>
      </c>
      <c r="F731" s="67" t="n">
        <v>5</v>
      </c>
      <c r="G731" s="67" t="n">
        <v>2</v>
      </c>
      <c r="H731" s="67" t="n">
        <v>4</v>
      </c>
      <c r="I731" s="67" t="n">
        <v>28</v>
      </c>
      <c r="J731" s="67" t="n">
        <v>28</v>
      </c>
      <c r="K731" s="67" t="n">
        <v>2</v>
      </c>
      <c r="L731" s="67" t="n">
        <v>2</v>
      </c>
      <c r="M731" s="67" t="n">
        <v>10</v>
      </c>
      <c r="N731" s="67" t="n">
        <v>10</v>
      </c>
      <c r="O731" s="67" t="n">
        <v>0</v>
      </c>
      <c r="P731" s="67" t="n">
        <v>0</v>
      </c>
      <c r="Q731" s="66" t="inlineStr">
        <is>
          <t>Migration</t>
        </is>
      </c>
      <c r="Z731" s="66">
        <f>"X-LARGE|"&amp;A731</f>
        <v/>
      </c>
      <c r="AA731" s="66">
        <f>Q731&amp;"|"&amp;Z731</f>
        <v/>
      </c>
    </row>
    <row r="732" ht="15" customHeight="1" s="39">
      <c r="A732" s="67" t="inlineStr">
        <is>
          <t>Advanced EWM</t>
        </is>
      </c>
      <c r="B732" s="67" t="n">
        <v>0</v>
      </c>
      <c r="C732" s="67" t="n">
        <v>0</v>
      </c>
      <c r="D732" s="67" t="n">
        <v>0</v>
      </c>
      <c r="E732" s="67" t="n">
        <v>0</v>
      </c>
      <c r="F732" s="67" t="n">
        <v>0</v>
      </c>
      <c r="G732" s="67" t="n">
        <v>0</v>
      </c>
      <c r="H732" s="67" t="n">
        <v>0</v>
      </c>
      <c r="I732" s="67" t="n">
        <v>0</v>
      </c>
      <c r="J732" s="67" t="n">
        <v>0</v>
      </c>
      <c r="K732" s="67" t="n">
        <v>0</v>
      </c>
      <c r="L732" s="67" t="n">
        <v>0</v>
      </c>
      <c r="M732" s="67" t="n">
        <v>0</v>
      </c>
      <c r="N732" s="67" t="n">
        <v>0</v>
      </c>
      <c r="O732" s="67" t="n">
        <v>0</v>
      </c>
      <c r="P732" s="67" t="n">
        <v>0</v>
      </c>
      <c r="Q732" s="66" t="inlineStr">
        <is>
          <t>Migration</t>
        </is>
      </c>
      <c r="Z732" s="66">
        <f>"X-LARGE|"&amp;A732</f>
        <v/>
      </c>
      <c r="AA732" s="66">
        <f>Q732&amp;"|"&amp;Z732</f>
        <v/>
      </c>
    </row>
    <row r="733" ht="15" customHeight="1" s="39">
      <c r="A733" s="67" t="inlineStr">
        <is>
          <t>TM</t>
        </is>
      </c>
      <c r="B733" s="67" t="n">
        <v>147</v>
      </c>
      <c r="C733" s="67" t="n">
        <v>5</v>
      </c>
      <c r="D733" s="67" t="n">
        <v>4</v>
      </c>
      <c r="E733" s="67" t="n">
        <v>3</v>
      </c>
      <c r="F733" s="67" t="n">
        <v>6</v>
      </c>
      <c r="G733" s="67" t="n">
        <v>2</v>
      </c>
      <c r="H733" s="67" t="n">
        <v>4</v>
      </c>
      <c r="I733" s="67" t="n">
        <v>15</v>
      </c>
      <c r="J733" s="67" t="n">
        <v>15</v>
      </c>
      <c r="K733" s="67" t="n">
        <v>2</v>
      </c>
      <c r="L733" s="67" t="n">
        <v>2</v>
      </c>
      <c r="M733" s="67" t="n">
        <v>6</v>
      </c>
      <c r="N733" s="67" t="n">
        <v>8</v>
      </c>
      <c r="O733" s="67" t="n">
        <v>0</v>
      </c>
      <c r="P733" s="67" t="n">
        <v>0</v>
      </c>
      <c r="Q733" s="66" t="inlineStr">
        <is>
          <t>Migration</t>
        </is>
      </c>
      <c r="Z733" s="66">
        <f>"X-LARGE|"&amp;A733</f>
        <v/>
      </c>
      <c r="AA733" s="66">
        <f>Q733&amp;"|"&amp;Z733</f>
        <v/>
      </c>
    </row>
    <row r="734" ht="15" customHeight="1" s="39">
      <c r="A734" s="67" t="inlineStr">
        <is>
          <t>PPDS</t>
        </is>
      </c>
      <c r="B734" s="67" t="n">
        <v>147</v>
      </c>
      <c r="C734" s="67" t="n">
        <v>4</v>
      </c>
      <c r="D734" s="67" t="n">
        <v>3</v>
      </c>
      <c r="E734" s="67" t="n">
        <v>5</v>
      </c>
      <c r="F734" s="67" t="n">
        <v>5</v>
      </c>
      <c r="G734" s="67" t="n">
        <v>1</v>
      </c>
      <c r="H734" s="67" t="n">
        <v>2</v>
      </c>
      <c r="I734" s="67" t="n">
        <v>15</v>
      </c>
      <c r="J734" s="67" t="n">
        <v>15</v>
      </c>
      <c r="K734" s="67" t="n">
        <v>1</v>
      </c>
      <c r="L734" s="67" t="n">
        <v>1</v>
      </c>
      <c r="M734" s="67" t="n">
        <v>3</v>
      </c>
      <c r="N734" s="67" t="n">
        <v>3</v>
      </c>
      <c r="O734" s="67" t="n">
        <v>0</v>
      </c>
      <c r="P734" s="67" t="n">
        <v>0</v>
      </c>
      <c r="Q734" s="66" t="inlineStr">
        <is>
          <t>Migration</t>
        </is>
      </c>
      <c r="Z734" s="66">
        <f>"X-LARGE|"&amp;A734</f>
        <v/>
      </c>
      <c r="AA734" s="66">
        <f>Q734&amp;"|"&amp;Z734</f>
        <v/>
      </c>
    </row>
    <row r="735" ht="15" customHeight="1" s="39">
      <c r="A735" s="67" t="inlineStr">
        <is>
          <t>ABAP</t>
        </is>
      </c>
      <c r="B735" s="67" t="n">
        <v>0</v>
      </c>
      <c r="C735" s="67" t="n">
        <v>0</v>
      </c>
      <c r="D735" s="67" t="n">
        <v>0</v>
      </c>
      <c r="E735" s="67" t="n">
        <v>0</v>
      </c>
      <c r="F735" s="67" t="n">
        <v>0</v>
      </c>
      <c r="G735" s="67" t="n">
        <v>0</v>
      </c>
      <c r="H735" s="67" t="n">
        <v>0</v>
      </c>
      <c r="I735" s="67" t="n">
        <v>0</v>
      </c>
      <c r="J735" s="67" t="n">
        <v>0</v>
      </c>
      <c r="K735" s="67" t="n">
        <v>0</v>
      </c>
      <c r="L735" s="67" t="n">
        <v>0</v>
      </c>
      <c r="M735" s="67" t="n">
        <v>0</v>
      </c>
      <c r="N735" s="67" t="n">
        <v>0</v>
      </c>
      <c r="O735" s="67" t="n">
        <v>0</v>
      </c>
      <c r="P735" s="67" t="n">
        <v>0</v>
      </c>
      <c r="Q735" s="66" t="inlineStr">
        <is>
          <t>Migration</t>
        </is>
      </c>
      <c r="Z735" s="66">
        <f>"X-LARGE|"&amp;A735</f>
        <v/>
      </c>
      <c r="AA735" s="66">
        <f>Q735&amp;"|"&amp;Z735</f>
        <v/>
      </c>
    </row>
    <row r="736" ht="15" customHeight="1" s="39">
      <c r="A736" s="67" t="inlineStr">
        <is>
          <t>BASIS</t>
        </is>
      </c>
      <c r="B736" s="67" t="n">
        <v>0</v>
      </c>
      <c r="C736" s="67" t="n">
        <v>0</v>
      </c>
      <c r="D736" s="67" t="n">
        <v>0</v>
      </c>
      <c r="E736" s="67" t="n">
        <v>0</v>
      </c>
      <c r="F736" s="67" t="n">
        <v>0</v>
      </c>
      <c r="G736" s="67" t="n">
        <v>0</v>
      </c>
      <c r="H736" s="67" t="n">
        <v>0</v>
      </c>
      <c r="I736" s="67" t="n">
        <v>0</v>
      </c>
      <c r="J736" s="67" t="n">
        <v>0</v>
      </c>
      <c r="K736" s="67" t="n">
        <v>0</v>
      </c>
      <c r="L736" s="67" t="n">
        <v>0</v>
      </c>
      <c r="M736" s="67" t="n">
        <v>0</v>
      </c>
      <c r="N736" s="67" t="n">
        <v>0</v>
      </c>
      <c r="O736" s="67" t="n">
        <v>0</v>
      </c>
      <c r="P736" s="67" t="n">
        <v>0</v>
      </c>
      <c r="Q736" s="66" t="inlineStr">
        <is>
          <t>Migration</t>
        </is>
      </c>
      <c r="Z736" s="66">
        <f>"X-LARGE|"&amp;A736</f>
        <v/>
      </c>
      <c r="AA736" s="66">
        <f>Q736&amp;"|"&amp;Z736</f>
        <v/>
      </c>
    </row>
    <row r="737" ht="15" customHeight="1" s="39">
      <c r="A737" s="67" t="inlineStr">
        <is>
          <t>E-Fatura/Arşiv</t>
        </is>
      </c>
      <c r="B737" s="67" t="n">
        <v>5</v>
      </c>
      <c r="C737" s="67" t="n">
        <v>2</v>
      </c>
      <c r="D737" s="67" t="n">
        <v>0</v>
      </c>
      <c r="E737" s="67" t="n">
        <v>2</v>
      </c>
      <c r="F737" s="67" t="n">
        <v>2</v>
      </c>
      <c r="G737" s="67" t="n">
        <v>1</v>
      </c>
      <c r="H737" s="67" t="n">
        <v>1</v>
      </c>
      <c r="I737" s="67" t="n">
        <v>3</v>
      </c>
      <c r="J737" s="67" t="n">
        <v>3</v>
      </c>
      <c r="K737" s="67" t="n">
        <v>0</v>
      </c>
      <c r="L737" s="67" t="n">
        <v>1</v>
      </c>
      <c r="M737" s="67" t="n">
        <v>1</v>
      </c>
      <c r="N737" s="67" t="n">
        <v>0</v>
      </c>
      <c r="O737" s="67" t="n">
        <v>0</v>
      </c>
      <c r="P737" s="67" t="n">
        <v>0</v>
      </c>
      <c r="Q737" s="66" t="inlineStr">
        <is>
          <t>Migration</t>
        </is>
      </c>
      <c r="Z737" s="66">
        <f>"X-LARGE|"&amp;A737</f>
        <v/>
      </c>
      <c r="AA737" s="66">
        <f>Q737&amp;"|"&amp;Z737</f>
        <v/>
      </c>
    </row>
    <row r="738" ht="15" customHeight="1" s="39">
      <c r="A738" s="67" t="inlineStr">
        <is>
          <t>E-İrsaliye</t>
        </is>
      </c>
      <c r="B738" s="67" t="n">
        <v>5</v>
      </c>
      <c r="C738" s="67" t="n">
        <v>2</v>
      </c>
      <c r="D738" s="67" t="n">
        <v>0</v>
      </c>
      <c r="E738" s="67" t="n">
        <v>2</v>
      </c>
      <c r="F738" s="67" t="n">
        <v>2</v>
      </c>
      <c r="G738" s="67" t="n">
        <v>1</v>
      </c>
      <c r="H738" s="67" t="n">
        <v>1</v>
      </c>
      <c r="I738" s="67" t="n">
        <v>3</v>
      </c>
      <c r="J738" s="67" t="n">
        <v>3</v>
      </c>
      <c r="K738" s="67" t="n">
        <v>0</v>
      </c>
      <c r="L738" s="67" t="n">
        <v>1</v>
      </c>
      <c r="M738" s="67" t="n">
        <v>1</v>
      </c>
      <c r="N738" s="67" t="n">
        <v>0</v>
      </c>
      <c r="O738" s="67" t="n">
        <v>0</v>
      </c>
      <c r="P738" s="67" t="n">
        <v>0</v>
      </c>
      <c r="Q738" s="66" t="inlineStr">
        <is>
          <t>Migration</t>
        </is>
      </c>
      <c r="Z738" s="66">
        <f>"X-LARGE|"&amp;A738</f>
        <v/>
      </c>
      <c r="AA738" s="66">
        <f>Q738&amp;"|"&amp;Z738</f>
        <v/>
      </c>
    </row>
    <row r="739" ht="15" customHeight="1" s="39">
      <c r="A739" s="67" t="inlineStr">
        <is>
          <t>E-Defter</t>
        </is>
      </c>
      <c r="B739" s="67" t="n">
        <v>3</v>
      </c>
      <c r="C739" s="67" t="n">
        <v>2</v>
      </c>
      <c r="D739" s="67" t="n">
        <v>0</v>
      </c>
      <c r="E739" s="67" t="n">
        <v>3</v>
      </c>
      <c r="F739" s="67" t="n">
        <v>3</v>
      </c>
      <c r="G739" s="67" t="n">
        <v>1</v>
      </c>
      <c r="H739" s="67" t="n">
        <v>1</v>
      </c>
      <c r="I739" s="67" t="n">
        <v>0</v>
      </c>
      <c r="J739" s="67" t="n">
        <v>0</v>
      </c>
      <c r="K739" s="67" t="n">
        <v>0</v>
      </c>
      <c r="L739" s="67" t="n">
        <v>3</v>
      </c>
      <c r="M739" s="67" t="n">
        <v>1</v>
      </c>
      <c r="N739" s="67" t="n">
        <v>0</v>
      </c>
      <c r="O739" s="67" t="n">
        <v>0</v>
      </c>
      <c r="P739" s="67" t="n">
        <v>0</v>
      </c>
      <c r="Q739" s="66" t="inlineStr">
        <is>
          <t>Migration</t>
        </is>
      </c>
      <c r="Z739" s="66">
        <f>"X-LARGE|"&amp;A739</f>
        <v/>
      </c>
      <c r="AA739" s="66">
        <f>Q739&amp;"|"&amp;Z739</f>
        <v/>
      </c>
    </row>
    <row r="740" ht="15" customHeight="1" s="39">
      <c r="A740" s="67" t="inlineStr">
        <is>
          <t>E-Hesap Özeti</t>
        </is>
      </c>
      <c r="B740" s="67" t="n">
        <v>5</v>
      </c>
      <c r="C740" s="67" t="n">
        <v>3</v>
      </c>
      <c r="D740" s="67" t="n">
        <v>0</v>
      </c>
      <c r="E740" s="67" t="n">
        <v>4</v>
      </c>
      <c r="F740" s="67" t="n">
        <v>3</v>
      </c>
      <c r="G740" s="67" t="n">
        <v>1</v>
      </c>
      <c r="H740" s="67" t="n">
        <v>0</v>
      </c>
      <c r="I740" s="67" t="n">
        <v>3</v>
      </c>
      <c r="J740" s="67" t="n">
        <v>3</v>
      </c>
      <c r="K740" s="67" t="n">
        <v>0</v>
      </c>
      <c r="L740" s="67" t="n">
        <v>2</v>
      </c>
      <c r="M740" s="67" t="n">
        <v>1</v>
      </c>
      <c r="N740" s="67" t="n">
        <v>0</v>
      </c>
      <c r="O740" s="67" t="n">
        <v>0</v>
      </c>
      <c r="P740" s="67" t="n">
        <v>0</v>
      </c>
      <c r="Q740" s="66" t="inlineStr">
        <is>
          <t>Migration</t>
        </is>
      </c>
      <c r="Z740" s="66">
        <f>"X-LARGE|"&amp;A740</f>
        <v/>
      </c>
      <c r="AA740" s="66">
        <f>Q740&amp;"|"&amp;Z740</f>
        <v/>
      </c>
    </row>
    <row r="741" ht="15" customHeight="1" s="39">
      <c r="A741" s="67" t="inlineStr">
        <is>
          <t>E-Ödeme</t>
        </is>
      </c>
      <c r="B741" s="67" t="n">
        <v>5</v>
      </c>
      <c r="C741" s="67" t="n">
        <v>3</v>
      </c>
      <c r="D741" s="67" t="n">
        <v>0</v>
      </c>
      <c r="E741" s="67" t="n">
        <v>4</v>
      </c>
      <c r="F741" s="67" t="n">
        <v>3</v>
      </c>
      <c r="G741" s="67" t="n">
        <v>1</v>
      </c>
      <c r="H741" s="67" t="n">
        <v>0</v>
      </c>
      <c r="I741" s="67" t="n">
        <v>3</v>
      </c>
      <c r="J741" s="67" t="n">
        <v>3</v>
      </c>
      <c r="K741" s="67" t="n">
        <v>0</v>
      </c>
      <c r="L741" s="67" t="n">
        <v>2</v>
      </c>
      <c r="M741" s="67" t="n">
        <v>1</v>
      </c>
      <c r="N741" s="67" t="n">
        <v>0</v>
      </c>
      <c r="O741" s="67" t="n">
        <v>0</v>
      </c>
      <c r="P741" s="67" t="n">
        <v>0</v>
      </c>
      <c r="Q741" s="66" t="inlineStr">
        <is>
          <t>Migration</t>
        </is>
      </c>
      <c r="Z741" s="66">
        <f>"X-LARGE|"&amp;A741</f>
        <v/>
      </c>
      <c r="AA741" s="66">
        <f>Q741&amp;"|"&amp;Z741</f>
        <v/>
      </c>
    </row>
    <row r="742" ht="15" customHeight="1" s="39">
      <c r="A742" s="67" t="inlineStr">
        <is>
          <t>E-Mutabakat</t>
        </is>
      </c>
      <c r="B742" s="67" t="n">
        <v>5</v>
      </c>
      <c r="C742" s="67" t="n">
        <v>3</v>
      </c>
      <c r="D742" s="67" t="n">
        <v>0</v>
      </c>
      <c r="E742" s="67" t="n">
        <v>3</v>
      </c>
      <c r="F742" s="67" t="n">
        <v>3</v>
      </c>
      <c r="G742" s="67" t="n">
        <v>1</v>
      </c>
      <c r="H742" s="67" t="n">
        <v>0</v>
      </c>
      <c r="I742" s="67" t="n">
        <v>3</v>
      </c>
      <c r="J742" s="67" t="n">
        <v>3</v>
      </c>
      <c r="K742" s="67" t="n">
        <v>0</v>
      </c>
      <c r="L742" s="67" t="n">
        <v>2</v>
      </c>
      <c r="M742" s="67" t="n">
        <v>1</v>
      </c>
      <c r="N742" s="67" t="n">
        <v>0</v>
      </c>
      <c r="O742" s="67" t="n">
        <v>0</v>
      </c>
      <c r="P742" s="67" t="n">
        <v>0</v>
      </c>
      <c r="Q742" s="66" t="inlineStr">
        <is>
          <t>Migration</t>
        </is>
      </c>
      <c r="Z742" s="66">
        <f>"X-LARGE|"&amp;A742</f>
        <v/>
      </c>
      <c r="AA742" s="66">
        <f>Q742&amp;"|"&amp;Z742</f>
        <v/>
      </c>
    </row>
    <row r="743" ht="15" customHeight="1" s="39">
      <c r="A743" s="67" t="inlineStr">
        <is>
          <t>E-Beyanname</t>
        </is>
      </c>
      <c r="B743" s="67" t="n">
        <v>6</v>
      </c>
      <c r="C743" s="67" t="n">
        <v>3</v>
      </c>
      <c r="D743" s="67" t="n">
        <v>0</v>
      </c>
      <c r="E743" s="67" t="n">
        <v>6</v>
      </c>
      <c r="F743" s="67" t="n">
        <v>3</v>
      </c>
      <c r="G743" s="67" t="n">
        <v>2</v>
      </c>
      <c r="H743" s="67" t="n">
        <v>0</v>
      </c>
      <c r="I743" s="67" t="n">
        <v>0</v>
      </c>
      <c r="J743" s="67" t="n">
        <v>0</v>
      </c>
      <c r="K743" s="67" t="n">
        <v>0</v>
      </c>
      <c r="L743" s="67" t="n">
        <v>4</v>
      </c>
      <c r="M743" s="67" t="n">
        <v>2</v>
      </c>
      <c r="N743" s="67" t="n">
        <v>0</v>
      </c>
      <c r="O743" s="67" t="n">
        <v>0</v>
      </c>
      <c r="P743" s="67" t="n">
        <v>0</v>
      </c>
      <c r="Q743" s="66" t="inlineStr">
        <is>
          <t>Migration</t>
        </is>
      </c>
      <c r="Z743" s="66">
        <f>"X-LARGE|"&amp;A743</f>
        <v/>
      </c>
      <c r="AA743" s="66">
        <f>Q743&amp;"|"&amp;Z743</f>
        <v/>
      </c>
    </row>
    <row r="744" ht="15" customHeight="1" s="39">
      <c r="A744" s="67" t="inlineStr">
        <is>
          <t>Gelen Fatura Otomasyon</t>
        </is>
      </c>
      <c r="B744" s="67" t="n">
        <v>5</v>
      </c>
      <c r="C744" s="67" t="n">
        <v>2</v>
      </c>
      <c r="D744" s="67" t="n">
        <v>0</v>
      </c>
      <c r="E744" s="67" t="n">
        <v>3</v>
      </c>
      <c r="F744" s="67" t="n">
        <v>4</v>
      </c>
      <c r="G744" s="67" t="n">
        <v>2</v>
      </c>
      <c r="H744" s="67" t="n">
        <v>0</v>
      </c>
      <c r="I744" s="67" t="n">
        <v>2</v>
      </c>
      <c r="J744" s="67" t="n">
        <v>2</v>
      </c>
      <c r="K744" s="67" t="n">
        <v>0</v>
      </c>
      <c r="L744" s="67" t="n">
        <v>4</v>
      </c>
      <c r="M744" s="67" t="n">
        <v>1</v>
      </c>
      <c r="N744" s="67" t="n">
        <v>0</v>
      </c>
      <c r="O744" s="67" t="n">
        <v>0</v>
      </c>
      <c r="P744" s="67" t="n">
        <v>0</v>
      </c>
      <c r="Q744" s="66" t="inlineStr">
        <is>
          <t>Migration</t>
        </is>
      </c>
      <c r="Z744" s="66">
        <f>"X-LARGE|"&amp;A744</f>
        <v/>
      </c>
      <c r="AA744" s="66">
        <f>Q744&amp;"|"&amp;Z744</f>
        <v/>
      </c>
    </row>
    <row r="745" ht="15" customHeight="1" s="39">
      <c r="A745" s="67" t="inlineStr">
        <is>
          <t>GLASSWING</t>
        </is>
      </c>
      <c r="B745" s="67" t="n">
        <v>60</v>
      </c>
      <c r="C745" s="67" t="n">
        <v>6</v>
      </c>
      <c r="D745" s="67" t="n">
        <v>2</v>
      </c>
      <c r="E745" s="67" t="n">
        <v>15</v>
      </c>
      <c r="F745" s="67" t="n">
        <v>10</v>
      </c>
      <c r="G745" s="67" t="n">
        <v>2</v>
      </c>
      <c r="H745" s="67" t="n">
        <v>0</v>
      </c>
      <c r="I745" s="67" t="n">
        <v>25</v>
      </c>
      <c r="J745" s="67" t="n">
        <v>25</v>
      </c>
      <c r="K745" s="67" t="n">
        <v>13</v>
      </c>
      <c r="L745" s="67" t="n">
        <v>2</v>
      </c>
      <c r="M745" s="67" t="n">
        <v>5</v>
      </c>
      <c r="N745" s="67" t="n">
        <v>10</v>
      </c>
      <c r="O745" s="67" t="n">
        <v>0</v>
      </c>
      <c r="P745" s="67" t="n">
        <v>0</v>
      </c>
      <c r="Q745" s="66" t="inlineStr">
        <is>
          <t>Migration</t>
        </is>
      </c>
      <c r="Z745" s="66">
        <f>"X-LARGE|"&amp;A745</f>
        <v/>
      </c>
      <c r="AA745" s="66">
        <f>Q745&amp;"|"&amp;Z745</f>
        <v/>
      </c>
    </row>
    <row r="746" ht="15" customHeight="1" s="39">
      <c r="A746" s="67" t="inlineStr">
        <is>
          <t>COMMODITY</t>
        </is>
      </c>
      <c r="B746" s="67" t="n">
        <v>100</v>
      </c>
      <c r="C746" s="67" t="n">
        <v>9</v>
      </c>
      <c r="D746" s="67" t="n">
        <v>3</v>
      </c>
      <c r="E746" s="67" t="n">
        <v>15</v>
      </c>
      <c r="F746" s="67" t="n">
        <v>15</v>
      </c>
      <c r="G746" s="67" t="n">
        <v>2</v>
      </c>
      <c r="H746" s="67" t="n">
        <v>1</v>
      </c>
      <c r="I746" s="67" t="n">
        <v>30</v>
      </c>
      <c r="J746" s="67" t="n">
        <v>30</v>
      </c>
      <c r="K746" s="67" t="n">
        <v>10</v>
      </c>
      <c r="L746" s="67" t="n">
        <v>2</v>
      </c>
      <c r="M746" s="67" t="n">
        <v>8</v>
      </c>
      <c r="N746" s="67" t="n">
        <v>15</v>
      </c>
      <c r="O746" s="67" t="n">
        <v>0</v>
      </c>
      <c r="P746" s="67" t="n">
        <v>0</v>
      </c>
      <c r="Q746" s="66" t="inlineStr">
        <is>
          <t>Migration</t>
        </is>
      </c>
      <c r="Z746" s="66">
        <f>"X-LARGE|"&amp;A746</f>
        <v/>
      </c>
      <c r="AA746" s="66">
        <f>Q746&amp;"|"&amp;Z746</f>
        <v/>
      </c>
    </row>
    <row r="747" ht="15" customHeight="1" s="39">
      <c r="A747" s="67" t="inlineStr">
        <is>
          <t>Dış Ticaret Çözümü</t>
        </is>
      </c>
      <c r="B747" s="67" t="n">
        <v>0</v>
      </c>
      <c r="C747" s="67" t="n">
        <v>0</v>
      </c>
      <c r="D747" s="67" t="n">
        <v>0</v>
      </c>
      <c r="E747" s="67" t="n">
        <v>0</v>
      </c>
      <c r="F747" s="67" t="n">
        <v>0</v>
      </c>
      <c r="G747" s="67" t="n">
        <v>0</v>
      </c>
      <c r="H747" s="67" t="n">
        <v>0</v>
      </c>
      <c r="I747" s="67" t="n">
        <v>0</v>
      </c>
      <c r="J747" s="67" t="n">
        <v>0</v>
      </c>
      <c r="K747" s="67" t="n">
        <v>0</v>
      </c>
      <c r="L747" s="67" t="n">
        <v>0</v>
      </c>
      <c r="M747" s="67" t="n">
        <v>0</v>
      </c>
      <c r="N747" s="67" t="n">
        <v>0</v>
      </c>
      <c r="O747" s="67" t="n">
        <v>0</v>
      </c>
      <c r="P747" s="67" t="n">
        <v>0</v>
      </c>
      <c r="Q747" s="66" t="inlineStr">
        <is>
          <t>Migration</t>
        </is>
      </c>
      <c r="Z747" s="66">
        <f>"X-LARGE|"&amp;A747</f>
        <v/>
      </c>
      <c r="AA747" s="66">
        <f>Q747&amp;"|"&amp;Z747</f>
        <v/>
      </c>
    </row>
    <row r="748" ht="15" customHeight="1" s="39">
      <c r="A748" s="67" t="inlineStr">
        <is>
          <t>Seyahat ve Masraf Yönetimi</t>
        </is>
      </c>
      <c r="B748" s="67" t="n">
        <v>0</v>
      </c>
      <c r="C748" s="67" t="n">
        <v>0</v>
      </c>
      <c r="D748" s="67" t="n">
        <v>0</v>
      </c>
      <c r="E748" s="67" t="n">
        <v>0</v>
      </c>
      <c r="F748" s="67" t="n">
        <v>0</v>
      </c>
      <c r="G748" s="67" t="n">
        <v>0</v>
      </c>
      <c r="H748" s="67" t="n">
        <v>0</v>
      </c>
      <c r="I748" s="67" t="n">
        <v>0</v>
      </c>
      <c r="J748" s="67" t="n">
        <v>0</v>
      </c>
      <c r="K748" s="67" t="n">
        <v>0</v>
      </c>
      <c r="L748" s="67" t="n">
        <v>0</v>
      </c>
      <c r="M748" s="67" t="n">
        <v>0</v>
      </c>
      <c r="N748" s="67" t="n">
        <v>0</v>
      </c>
      <c r="O748" s="67" t="n">
        <v>0</v>
      </c>
      <c r="P748" s="67" t="n">
        <v>0</v>
      </c>
      <c r="Q748" s="66" t="inlineStr">
        <is>
          <t>Migration</t>
        </is>
      </c>
      <c r="Z748" s="66">
        <f>"X-LARGE|"&amp;A748</f>
        <v/>
      </c>
      <c r="AA748" s="66">
        <f>Q748&amp;"|"&amp;Z748</f>
        <v/>
      </c>
    </row>
    <row r="749" ht="15" customHeight="1" s="39">
      <c r="A749" s="67" t="inlineStr">
        <is>
          <t>NTT Data POS</t>
        </is>
      </c>
      <c r="B749" s="67" t="n">
        <v>0</v>
      </c>
      <c r="C749" s="67" t="n">
        <v>0</v>
      </c>
      <c r="D749" s="67" t="n">
        <v>0</v>
      </c>
      <c r="E749" s="67" t="n">
        <v>0</v>
      </c>
      <c r="F749" s="67" t="n">
        <v>0</v>
      </c>
      <c r="G749" s="67" t="n">
        <v>0</v>
      </c>
      <c r="H749" s="67" t="n">
        <v>0</v>
      </c>
      <c r="I749" s="67" t="n">
        <v>0</v>
      </c>
      <c r="J749" s="67" t="n">
        <v>0</v>
      </c>
      <c r="K749" s="67" t="n">
        <v>0</v>
      </c>
      <c r="L749" s="67" t="n">
        <v>0</v>
      </c>
      <c r="M749" s="67" t="n">
        <v>0</v>
      </c>
      <c r="N749" s="67" t="n">
        <v>0</v>
      </c>
      <c r="O749" s="67" t="n">
        <v>0</v>
      </c>
      <c r="P749" s="67" t="n">
        <v>0</v>
      </c>
      <c r="Q749" s="66" t="inlineStr">
        <is>
          <t>Migration</t>
        </is>
      </c>
      <c r="Z749" s="66">
        <f>"X-LARGE|"&amp;A749</f>
        <v/>
      </c>
      <c r="AA749" s="66">
        <f>Q749&amp;"|"&amp;Z749</f>
        <v/>
      </c>
    </row>
    <row r="752" ht="15" customHeight="1" s="39">
      <c r="A752" s="68" t="inlineStr">
        <is>
          <t>Implementation Type: Upgrade</t>
        </is>
      </c>
      <c r="Q752" s="68" t="inlineStr">
        <is>
          <t>Upgrade</t>
        </is>
      </c>
    </row>
    <row r="753" ht="15" customHeight="1" s="39">
      <c r="A753" s="68" t="inlineStr">
        <is>
          <t>SMALL</t>
        </is>
      </c>
      <c r="Q753" s="68" t="inlineStr">
        <is>
          <t>Upgrade</t>
        </is>
      </c>
    </row>
    <row r="754" ht="15" customHeight="1" s="39">
      <c r="A754" s="67">
        <f>INDEX(Translations!$D:$ZZ, MATCH(74,Translations!$A:$A,0), MATCH('Project Information'!$C$4,Translations!$D$1:$ZZ$1,0))</f>
        <v/>
      </c>
      <c r="B754" s="67">
        <f>INDEX(Translations!$D:$ZZ, MATCH(75,Translations!$A:$A,0), MATCH('Project Information'!$C$4,Translations!$D$1:$ZZ$1,0))</f>
        <v/>
      </c>
      <c r="C754" s="67">
        <f>INDEX(Translations!$D:$ZZ, MATCH(76,Translations!$A:$A,0), MATCH('Project Information'!$C$4,Translations!$D$1:$ZZ$1,0))</f>
        <v/>
      </c>
      <c r="D754" s="67">
        <f>INDEX(Translations!$D:$ZZ, MATCH(77,Translations!$A:$A,0), MATCH('Project Information'!$C$4,Translations!$D$1:$ZZ$1,0))</f>
        <v/>
      </c>
      <c r="E754" s="67">
        <f>INDEX(Translations!$D:$ZZ, MATCH(78,Translations!$A:$A,0), MATCH('Project Information'!$C$4,Translations!$D$1:$ZZ$1,0))</f>
        <v/>
      </c>
      <c r="F754" s="67">
        <f>INDEX(Translations!$D:$ZZ, MATCH(79,Translations!$A:$A,0), MATCH('Project Information'!$C$4,Translations!$D$1:$ZZ$1,0))</f>
        <v/>
      </c>
      <c r="G754" s="67">
        <f>INDEX(Translations!$D:$ZZ, MATCH(80,Translations!$A:$A,0), MATCH('Project Information'!$C$4,Translations!$D$1:$ZZ$1,0))</f>
        <v/>
      </c>
      <c r="H754" s="67">
        <f>INDEX(Translations!$D:$ZZ, MATCH(81,Translations!$A:$A,0), MATCH('Project Information'!$C$4,Translations!$D$1:$ZZ$1,0))</f>
        <v/>
      </c>
      <c r="I754" s="67">
        <f>INDEX(Translations!$D:$ZZ, MATCH(82,Translations!$A:$A,0), MATCH('Project Information'!$C$4,Translations!$D$1:$ZZ$1,0))</f>
        <v/>
      </c>
      <c r="J754" s="67">
        <f>INDEX(Translations!$D:$ZZ, MATCH(83,Translations!$A:$A,0), MATCH('Project Information'!$C$4,Translations!$D$1:$ZZ$1,0))</f>
        <v/>
      </c>
      <c r="K754" s="67">
        <f>INDEX(Translations!$D:$ZZ, MATCH(84,Translations!$A:$A,0), MATCH('Project Information'!$C$4,Translations!$D$1:$ZZ$1,0))</f>
        <v/>
      </c>
      <c r="L754" s="67">
        <f>INDEX(Translations!$D:$ZZ, MATCH(85,Translations!$A:$A,0), MATCH('Project Information'!$C$4,Translations!$D$1:$ZZ$1,0))</f>
        <v/>
      </c>
      <c r="M754" s="67">
        <f>INDEX(Translations!$D:$ZZ, MATCH(86,Translations!$A:$A,0), MATCH('Project Information'!$C$4,Translations!$D$1:$ZZ$1,0))</f>
        <v/>
      </c>
      <c r="N754" s="67">
        <f>INDEX(Translations!$D:$ZZ, MATCH(87,Translations!$A:$A,0), MATCH('Project Information'!$C$4,Translations!$D$1:$ZZ$1,0))</f>
        <v/>
      </c>
      <c r="O754" s="67">
        <f>INDEX(Translations!$D:$ZZ, MATCH(88,Translations!$A:$A,0), MATCH('Project Information'!$C$4,Translations!$D$1:$ZZ$1,0))</f>
        <v/>
      </c>
      <c r="P754" s="67">
        <f>INDEX(Translations!$D:$ZZ, MATCH(89,Translations!$A:$A,0), MATCH('Project Information'!$C$4,Translations!$D$1:$ZZ$1,0))</f>
        <v/>
      </c>
      <c r="Q754" s="67" t="inlineStr">
        <is>
          <t>Implementation Type</t>
        </is>
      </c>
      <c r="Z754" s="67">
        <f>INDEX(Translations!$D:$ZZ, MATCH(93,Translations!$A:$A,0), MATCH('Project Information'!$C$4,Translations!$D$1:$ZZ$1,0))</f>
        <v/>
      </c>
      <c r="AA754" s="67" t="inlineStr">
        <is>
          <t>Implementation Key</t>
        </is>
      </c>
    </row>
    <row r="755" ht="15" customHeight="1" s="39">
      <c r="A755" s="67" t="inlineStr">
        <is>
          <t>FI</t>
        </is>
      </c>
      <c r="B755" s="67" t="n">
        <v>20</v>
      </c>
      <c r="C755" s="67" t="n">
        <v>3</v>
      </c>
      <c r="D755" s="67" t="n">
        <v>2</v>
      </c>
      <c r="E755" s="67" t="n">
        <v>3</v>
      </c>
      <c r="F755" s="67" t="n">
        <v>2</v>
      </c>
      <c r="G755" s="67" t="n">
        <v>1</v>
      </c>
      <c r="H755" s="67" t="n">
        <v>1</v>
      </c>
      <c r="I755" s="67" t="n">
        <v>5</v>
      </c>
      <c r="J755" s="67" t="n">
        <v>5</v>
      </c>
      <c r="K755" s="67" t="n">
        <v>1</v>
      </c>
      <c r="L755" s="67" t="n">
        <v>1</v>
      </c>
      <c r="M755" s="67" t="n">
        <v>4</v>
      </c>
      <c r="N755" s="67" t="n">
        <v>4</v>
      </c>
      <c r="O755" s="67" t="n">
        <v>0</v>
      </c>
      <c r="P755" s="67" t="n">
        <v>0</v>
      </c>
      <c r="Q755" s="66" t="inlineStr">
        <is>
          <t>Upgrade</t>
        </is>
      </c>
      <c r="Z755" s="66">
        <f>"SMALL|"&amp;A755</f>
        <v/>
      </c>
      <c r="AA755" s="66">
        <f>Q755&amp;"|"&amp;Z755</f>
        <v/>
      </c>
    </row>
    <row r="756" ht="15" customHeight="1" s="39">
      <c r="A756" s="67" t="inlineStr">
        <is>
          <t>CO</t>
        </is>
      </c>
      <c r="B756" s="67" t="n">
        <v>20</v>
      </c>
      <c r="C756" s="67" t="n">
        <v>3</v>
      </c>
      <c r="D756" s="67" t="n">
        <v>2</v>
      </c>
      <c r="E756" s="67" t="n">
        <v>3</v>
      </c>
      <c r="F756" s="67" t="n">
        <v>2</v>
      </c>
      <c r="G756" s="67" t="n">
        <v>1</v>
      </c>
      <c r="H756" s="67" t="n">
        <v>1</v>
      </c>
      <c r="I756" s="67" t="n">
        <v>5</v>
      </c>
      <c r="J756" s="67" t="n">
        <v>5</v>
      </c>
      <c r="K756" s="67" t="n">
        <v>1</v>
      </c>
      <c r="L756" s="67" t="n">
        <v>1</v>
      </c>
      <c r="M756" s="67" t="n">
        <v>4</v>
      </c>
      <c r="N756" s="67" t="n">
        <v>4</v>
      </c>
      <c r="O756" s="67" t="n">
        <v>0</v>
      </c>
      <c r="P756" s="67" t="n">
        <v>0</v>
      </c>
      <c r="Q756" s="66" t="inlineStr">
        <is>
          <t>Upgrade</t>
        </is>
      </c>
      <c r="Z756" s="66">
        <f>"SMALL|"&amp;A756</f>
        <v/>
      </c>
      <c r="AA756" s="66">
        <f>Q756&amp;"|"&amp;Z756</f>
        <v/>
      </c>
    </row>
    <row r="757" ht="15" customHeight="1" s="39">
      <c r="A757" s="67" t="inlineStr">
        <is>
          <t>TRM</t>
        </is>
      </c>
      <c r="B757" s="67" t="n">
        <v>10</v>
      </c>
      <c r="C757" s="67" t="n">
        <v>2</v>
      </c>
      <c r="D757" s="67" t="n">
        <v>1</v>
      </c>
      <c r="E757" s="67" t="n">
        <v>2</v>
      </c>
      <c r="F757" s="67" t="n">
        <v>1</v>
      </c>
      <c r="G757" s="67" t="n">
        <v>0.5</v>
      </c>
      <c r="H757" s="67" t="n">
        <v>0.5</v>
      </c>
      <c r="I757" s="67" t="n">
        <v>3</v>
      </c>
      <c r="J757" s="67" t="n">
        <v>3</v>
      </c>
      <c r="K757" s="67" t="n">
        <v>0.5</v>
      </c>
      <c r="L757" s="67" t="n">
        <v>0.5</v>
      </c>
      <c r="M757" s="67" t="n">
        <v>3</v>
      </c>
      <c r="N757" s="67" t="n">
        <v>3</v>
      </c>
      <c r="O757" s="67" t="n">
        <v>0</v>
      </c>
      <c r="P757" s="67" t="n">
        <v>0</v>
      </c>
      <c r="Q757" s="66" t="inlineStr">
        <is>
          <t>Upgrade</t>
        </is>
      </c>
      <c r="Z757" s="66">
        <f>"SMALL|"&amp;A757</f>
        <v/>
      </c>
      <c r="AA757" s="66">
        <f>Q757&amp;"|"&amp;Z757</f>
        <v/>
      </c>
    </row>
    <row r="758" ht="15" customHeight="1" s="39">
      <c r="A758" s="67" t="inlineStr">
        <is>
          <t>CM</t>
        </is>
      </c>
      <c r="B758" s="67" t="n">
        <v>5</v>
      </c>
      <c r="C758" s="67" t="n">
        <v>1</v>
      </c>
      <c r="D758" s="67" t="n">
        <v>1</v>
      </c>
      <c r="E758" s="67" t="n">
        <v>1</v>
      </c>
      <c r="F758" s="67" t="n">
        <v>1</v>
      </c>
      <c r="G758" s="67" t="n">
        <v>0.5</v>
      </c>
      <c r="H758" s="67" t="n">
        <v>0.5</v>
      </c>
      <c r="I758" s="67" t="n">
        <v>1</v>
      </c>
      <c r="J758" s="67" t="n">
        <v>1</v>
      </c>
      <c r="K758" s="67" t="n">
        <v>0.5</v>
      </c>
      <c r="L758" s="67" t="n">
        <v>0.5</v>
      </c>
      <c r="M758" s="67" t="n">
        <v>2</v>
      </c>
      <c r="N758" s="67" t="n">
        <v>2</v>
      </c>
      <c r="O758" s="67" t="n">
        <v>0</v>
      </c>
      <c r="P758" s="67" t="n">
        <v>0</v>
      </c>
      <c r="Q758" s="66" t="inlineStr">
        <is>
          <t>Upgrade</t>
        </is>
      </c>
      <c r="Z758" s="66">
        <f>"SMALL|"&amp;A758</f>
        <v/>
      </c>
      <c r="AA758" s="66">
        <f>Q758&amp;"|"&amp;Z758</f>
        <v/>
      </c>
    </row>
    <row r="759" ht="15" customHeight="1" s="39">
      <c r="A759" s="67" t="inlineStr">
        <is>
          <t>FM</t>
        </is>
      </c>
      <c r="B759" s="67" t="n">
        <v>5</v>
      </c>
      <c r="C759" s="67" t="n">
        <v>1</v>
      </c>
      <c r="D759" s="67" t="n">
        <v>1</v>
      </c>
      <c r="E759" s="67" t="n">
        <v>1</v>
      </c>
      <c r="F759" s="67" t="n">
        <v>1</v>
      </c>
      <c r="G759" s="67" t="n">
        <v>0.5</v>
      </c>
      <c r="H759" s="67" t="n">
        <v>0.5</v>
      </c>
      <c r="I759" s="67" t="n">
        <v>1</v>
      </c>
      <c r="J759" s="67" t="n">
        <v>1</v>
      </c>
      <c r="K759" s="67" t="n">
        <v>0.5</v>
      </c>
      <c r="L759" s="67" t="n">
        <v>0.5</v>
      </c>
      <c r="M759" s="67" t="n">
        <v>2</v>
      </c>
      <c r="N759" s="67" t="n">
        <v>2</v>
      </c>
      <c r="O759" s="67" t="n">
        <v>0</v>
      </c>
      <c r="P759" s="67" t="n">
        <v>0</v>
      </c>
      <c r="Q759" s="66" t="inlineStr">
        <is>
          <t>Upgrade</t>
        </is>
      </c>
      <c r="Z759" s="66">
        <f>"SMALL|"&amp;A759</f>
        <v/>
      </c>
      <c r="AA759" s="66">
        <f>Q759&amp;"|"&amp;Z759</f>
        <v/>
      </c>
    </row>
    <row r="760" ht="15" customHeight="1" s="39">
      <c r="A760" s="67" t="inlineStr">
        <is>
          <t>RM</t>
        </is>
      </c>
      <c r="B760" s="67" t="n">
        <v>0</v>
      </c>
      <c r="C760" s="67" t="n">
        <v>0</v>
      </c>
      <c r="D760" s="67" t="n">
        <v>0</v>
      </c>
      <c r="E760" s="67" t="n">
        <v>0</v>
      </c>
      <c r="F760" s="67" t="n">
        <v>0</v>
      </c>
      <c r="G760" s="67" t="n">
        <v>0</v>
      </c>
      <c r="H760" s="67" t="n">
        <v>0</v>
      </c>
      <c r="I760" s="67" t="n">
        <v>0</v>
      </c>
      <c r="J760" s="67" t="n">
        <v>0</v>
      </c>
      <c r="K760" s="67" t="n">
        <v>0</v>
      </c>
      <c r="L760" s="67" t="n">
        <v>0</v>
      </c>
      <c r="M760" s="67" t="n">
        <v>0</v>
      </c>
      <c r="N760" s="67" t="n">
        <v>0</v>
      </c>
      <c r="O760" s="67" t="n">
        <v>0</v>
      </c>
      <c r="P760" s="67" t="n">
        <v>0</v>
      </c>
      <c r="Q760" s="66" t="inlineStr">
        <is>
          <t>Upgrade</t>
        </is>
      </c>
      <c r="Z760" s="66">
        <f>"SMALL|"&amp;A760</f>
        <v/>
      </c>
      <c r="AA760" s="66">
        <f>Q760&amp;"|"&amp;Z760</f>
        <v/>
      </c>
    </row>
    <row r="761" ht="15" customHeight="1" s="39">
      <c r="A761" s="67" t="inlineStr">
        <is>
          <t>RE/FX</t>
        </is>
      </c>
      <c r="B761" s="67" t="n">
        <v>0</v>
      </c>
      <c r="C761" s="67" t="n">
        <v>0</v>
      </c>
      <c r="D761" s="67" t="n">
        <v>0</v>
      </c>
      <c r="E761" s="67" t="n">
        <v>0</v>
      </c>
      <c r="F761" s="67" t="n">
        <v>0</v>
      </c>
      <c r="G761" s="67" t="n">
        <v>0</v>
      </c>
      <c r="H761" s="67" t="n">
        <v>0</v>
      </c>
      <c r="I761" s="67" t="n">
        <v>0</v>
      </c>
      <c r="J761" s="67" t="n">
        <v>0</v>
      </c>
      <c r="K761" s="67" t="n">
        <v>0</v>
      </c>
      <c r="L761" s="67" t="n">
        <v>0</v>
      </c>
      <c r="M761" s="67" t="n">
        <v>0</v>
      </c>
      <c r="N761" s="67" t="n">
        <v>0</v>
      </c>
      <c r="O761" s="67" t="n">
        <v>0</v>
      </c>
      <c r="P761" s="67" t="n">
        <v>0</v>
      </c>
      <c r="Q761" s="66" t="inlineStr">
        <is>
          <t>Upgrade</t>
        </is>
      </c>
      <c r="Z761" s="66">
        <f>"SMALL|"&amp;A761</f>
        <v/>
      </c>
      <c r="AA761" s="66">
        <f>Q761&amp;"|"&amp;Z761</f>
        <v/>
      </c>
    </row>
    <row r="762" ht="15" customHeight="1" s="39">
      <c r="A762" s="67" t="inlineStr">
        <is>
          <t>MM</t>
        </is>
      </c>
      <c r="B762" s="67" t="n">
        <v>24</v>
      </c>
      <c r="C762" s="67" t="n">
        <v>3</v>
      </c>
      <c r="D762" s="67" t="n">
        <v>2</v>
      </c>
      <c r="E762" s="67" t="n">
        <v>3</v>
      </c>
      <c r="F762" s="67" t="n">
        <v>2</v>
      </c>
      <c r="G762" s="67" t="n">
        <v>1</v>
      </c>
      <c r="H762" s="67" t="n">
        <v>1</v>
      </c>
      <c r="I762" s="67" t="n">
        <v>5</v>
      </c>
      <c r="J762" s="67" t="n">
        <v>5</v>
      </c>
      <c r="K762" s="67" t="n">
        <v>1</v>
      </c>
      <c r="L762" s="67" t="n">
        <v>1</v>
      </c>
      <c r="M762" s="67" t="n">
        <v>4</v>
      </c>
      <c r="N762" s="67" t="n">
        <v>4</v>
      </c>
      <c r="O762" s="67" t="n">
        <v>0</v>
      </c>
      <c r="P762" s="67" t="n">
        <v>0</v>
      </c>
      <c r="Q762" s="66" t="inlineStr">
        <is>
          <t>Upgrade</t>
        </is>
      </c>
      <c r="Z762" s="66">
        <f>"SMALL|"&amp;A762</f>
        <v/>
      </c>
      <c r="AA762" s="66">
        <f>Q762&amp;"|"&amp;Z762</f>
        <v/>
      </c>
    </row>
    <row r="763" ht="15" customHeight="1" s="39">
      <c r="A763" s="67" t="inlineStr">
        <is>
          <t>PP</t>
        </is>
      </c>
      <c r="B763" s="67" t="n">
        <v>24</v>
      </c>
      <c r="C763" s="67" t="n">
        <v>3</v>
      </c>
      <c r="D763" s="67" t="n">
        <v>2</v>
      </c>
      <c r="E763" s="67" t="n">
        <v>3</v>
      </c>
      <c r="F763" s="67" t="n">
        <v>2</v>
      </c>
      <c r="G763" s="67" t="n">
        <v>1</v>
      </c>
      <c r="H763" s="67" t="n">
        <v>1</v>
      </c>
      <c r="I763" s="67" t="n">
        <v>5</v>
      </c>
      <c r="J763" s="67" t="n">
        <v>5</v>
      </c>
      <c r="K763" s="67" t="n">
        <v>1</v>
      </c>
      <c r="L763" s="67" t="n">
        <v>1</v>
      </c>
      <c r="M763" s="67" t="n">
        <v>4</v>
      </c>
      <c r="N763" s="67" t="n">
        <v>4</v>
      </c>
      <c r="O763" s="67" t="n">
        <v>0</v>
      </c>
      <c r="P763" s="67" t="n">
        <v>0</v>
      </c>
      <c r="Q763" s="66" t="inlineStr">
        <is>
          <t>Upgrade</t>
        </is>
      </c>
      <c r="Z763" s="66">
        <f>"SMALL|"&amp;A763</f>
        <v/>
      </c>
      <c r="AA763" s="66">
        <f>Q763&amp;"|"&amp;Z763</f>
        <v/>
      </c>
    </row>
    <row r="764" ht="15" customHeight="1" s="39">
      <c r="A764" s="67" t="inlineStr">
        <is>
          <t>SD</t>
        </is>
      </c>
      <c r="B764" s="67" t="n">
        <v>24</v>
      </c>
      <c r="C764" s="67" t="n">
        <v>3</v>
      </c>
      <c r="D764" s="67" t="n">
        <v>2</v>
      </c>
      <c r="E764" s="67" t="n">
        <v>3</v>
      </c>
      <c r="F764" s="67" t="n">
        <v>2</v>
      </c>
      <c r="G764" s="67" t="n">
        <v>1</v>
      </c>
      <c r="H764" s="67" t="n">
        <v>1</v>
      </c>
      <c r="I764" s="67" t="n">
        <v>5</v>
      </c>
      <c r="J764" s="67" t="n">
        <v>5</v>
      </c>
      <c r="K764" s="67" t="n">
        <v>1</v>
      </c>
      <c r="L764" s="67" t="n">
        <v>1</v>
      </c>
      <c r="M764" s="67" t="n">
        <v>4</v>
      </c>
      <c r="N764" s="67" t="n">
        <v>4</v>
      </c>
      <c r="O764" s="67" t="n">
        <v>0</v>
      </c>
      <c r="P764" s="67" t="n">
        <v>0</v>
      </c>
      <c r="Q764" s="66" t="inlineStr">
        <is>
          <t>Upgrade</t>
        </is>
      </c>
      <c r="Z764" s="66">
        <f>"SMALL|"&amp;A764</f>
        <v/>
      </c>
      <c r="AA764" s="66">
        <f>Q764&amp;"|"&amp;Z764</f>
        <v/>
      </c>
    </row>
    <row r="765" ht="15" customHeight="1" s="39">
      <c r="A765" s="67" t="inlineStr">
        <is>
          <t>QM</t>
        </is>
      </c>
      <c r="B765" s="67" t="n">
        <v>15</v>
      </c>
      <c r="C765" s="67" t="n">
        <v>2</v>
      </c>
      <c r="D765" s="67" t="n">
        <v>1</v>
      </c>
      <c r="E765" s="67" t="n">
        <v>2</v>
      </c>
      <c r="F765" s="67" t="n">
        <v>2</v>
      </c>
      <c r="G765" s="67" t="n">
        <v>0.5</v>
      </c>
      <c r="H765" s="67" t="n">
        <v>1</v>
      </c>
      <c r="I765" s="67" t="n">
        <v>3</v>
      </c>
      <c r="J765" s="67" t="n">
        <v>3</v>
      </c>
      <c r="K765" s="67" t="n">
        <v>1</v>
      </c>
      <c r="L765" s="67" t="n">
        <v>0.5</v>
      </c>
      <c r="M765" s="67" t="n">
        <v>4</v>
      </c>
      <c r="N765" s="67" t="n">
        <v>4</v>
      </c>
      <c r="O765" s="67" t="n">
        <v>0</v>
      </c>
      <c r="P765" s="67" t="n">
        <v>0</v>
      </c>
      <c r="Q765" s="66" t="inlineStr">
        <is>
          <t>Upgrade</t>
        </is>
      </c>
      <c r="Z765" s="66">
        <f>"SMALL|"&amp;A765</f>
        <v/>
      </c>
      <c r="AA765" s="66">
        <f>Q765&amp;"|"&amp;Z765</f>
        <v/>
      </c>
    </row>
    <row r="766" ht="15" customHeight="1" s="39">
      <c r="A766" s="67" t="inlineStr">
        <is>
          <t>PM</t>
        </is>
      </c>
      <c r="B766" s="67" t="n">
        <v>12</v>
      </c>
      <c r="C766" s="67" t="n">
        <v>2</v>
      </c>
      <c r="D766" s="67" t="n">
        <v>1</v>
      </c>
      <c r="E766" s="67" t="n">
        <v>2</v>
      </c>
      <c r="F766" s="67" t="n">
        <v>2</v>
      </c>
      <c r="G766" s="67" t="n">
        <v>0.5</v>
      </c>
      <c r="H766" s="67" t="n">
        <v>1</v>
      </c>
      <c r="I766" s="67" t="n">
        <v>3</v>
      </c>
      <c r="J766" s="67" t="n">
        <v>3</v>
      </c>
      <c r="K766" s="67" t="n">
        <v>1</v>
      </c>
      <c r="L766" s="67" t="n">
        <v>0.5</v>
      </c>
      <c r="M766" s="67" t="n">
        <v>4</v>
      </c>
      <c r="N766" s="67" t="n">
        <v>4</v>
      </c>
      <c r="O766" s="67" t="n">
        <v>0</v>
      </c>
      <c r="P766" s="67" t="n">
        <v>0</v>
      </c>
      <c r="Q766" s="66" t="inlineStr">
        <is>
          <t>Upgrade</t>
        </is>
      </c>
      <c r="Z766" s="66">
        <f>"SMALL|"&amp;A766</f>
        <v/>
      </c>
      <c r="AA766" s="66">
        <f>Q766&amp;"|"&amp;Z766</f>
        <v/>
      </c>
    </row>
    <row r="767" ht="15" customHeight="1" s="39">
      <c r="A767" s="67" t="inlineStr">
        <is>
          <t>PS</t>
        </is>
      </c>
      <c r="B767" s="67" t="n">
        <v>12</v>
      </c>
      <c r="C767" s="67" t="n">
        <v>2</v>
      </c>
      <c r="D767" s="67" t="n">
        <v>1</v>
      </c>
      <c r="E767" s="67" t="n">
        <v>2</v>
      </c>
      <c r="F767" s="67" t="n">
        <v>2</v>
      </c>
      <c r="G767" s="67" t="n">
        <v>0.5</v>
      </c>
      <c r="H767" s="67" t="n">
        <v>1</v>
      </c>
      <c r="I767" s="67" t="n">
        <v>3</v>
      </c>
      <c r="J767" s="67" t="n">
        <v>3</v>
      </c>
      <c r="K767" s="67" t="n">
        <v>1</v>
      </c>
      <c r="L767" s="67" t="n">
        <v>0.5</v>
      </c>
      <c r="M767" s="67" t="n">
        <v>4</v>
      </c>
      <c r="N767" s="67" t="n">
        <v>4</v>
      </c>
      <c r="O767" s="67" t="n">
        <v>0</v>
      </c>
      <c r="P767" s="67" t="n">
        <v>0</v>
      </c>
      <c r="Q767" s="66" t="inlineStr">
        <is>
          <t>Upgrade</t>
        </is>
      </c>
      <c r="Z767" s="66">
        <f>"SMALL|"&amp;A767</f>
        <v/>
      </c>
      <c r="AA767" s="66">
        <f>Q767&amp;"|"&amp;Z767</f>
        <v/>
      </c>
    </row>
    <row r="768" ht="15" customHeight="1" s="39">
      <c r="A768" s="67" t="inlineStr">
        <is>
          <t>MII/DM</t>
        </is>
      </c>
      <c r="B768" s="67" t="n">
        <v>0</v>
      </c>
      <c r="C768" s="67" t="n">
        <v>0</v>
      </c>
      <c r="D768" s="67" t="n">
        <v>0</v>
      </c>
      <c r="E768" s="67" t="n">
        <v>0</v>
      </c>
      <c r="F768" s="67" t="n">
        <v>0</v>
      </c>
      <c r="G768" s="67" t="n">
        <v>0</v>
      </c>
      <c r="H768" s="67" t="n">
        <v>0</v>
      </c>
      <c r="I768" s="67" t="n">
        <v>0</v>
      </c>
      <c r="J768" s="67" t="n">
        <v>0</v>
      </c>
      <c r="K768" s="67" t="n">
        <v>0</v>
      </c>
      <c r="L768" s="67" t="n">
        <v>0</v>
      </c>
      <c r="M768" s="67" t="n">
        <v>0</v>
      </c>
      <c r="N768" s="67" t="n">
        <v>0</v>
      </c>
      <c r="O768" s="67" t="n">
        <v>0</v>
      </c>
      <c r="P768" s="67" t="n">
        <v>0</v>
      </c>
      <c r="Q768" s="66" t="inlineStr">
        <is>
          <t>Upgrade</t>
        </is>
      </c>
      <c r="Z768" s="66">
        <f>"SMALL|"&amp;A768</f>
        <v/>
      </c>
      <c r="AA768" s="66">
        <f>Q768&amp;"|"&amp;Z768</f>
        <v/>
      </c>
    </row>
    <row r="769" ht="15" customHeight="1" s="39">
      <c r="A769" s="67" t="inlineStr">
        <is>
          <t>PM Mobility</t>
        </is>
      </c>
      <c r="B769" s="67" t="n">
        <v>0</v>
      </c>
      <c r="C769" s="67" t="n">
        <v>0</v>
      </c>
      <c r="D769" s="67" t="n">
        <v>0</v>
      </c>
      <c r="E769" s="67" t="n">
        <v>0</v>
      </c>
      <c r="F769" s="67" t="n">
        <v>0</v>
      </c>
      <c r="G769" s="67" t="n">
        <v>0</v>
      </c>
      <c r="H769" s="67" t="n">
        <v>0</v>
      </c>
      <c r="I769" s="67" t="n">
        <v>0</v>
      </c>
      <c r="J769" s="67" t="n">
        <v>0</v>
      </c>
      <c r="K769" s="67" t="n">
        <v>0</v>
      </c>
      <c r="L769" s="67" t="n">
        <v>0</v>
      </c>
      <c r="M769" s="67" t="n">
        <v>0</v>
      </c>
      <c r="N769" s="67" t="n">
        <v>0</v>
      </c>
      <c r="O769" s="67" t="n">
        <v>0</v>
      </c>
      <c r="P769" s="67" t="n">
        <v>0</v>
      </c>
      <c r="Q769" s="66" t="inlineStr">
        <is>
          <t>Upgrade</t>
        </is>
      </c>
      <c r="Z769" s="66">
        <f>"SMALL|"&amp;A769</f>
        <v/>
      </c>
      <c r="AA769" s="66">
        <f>Q769&amp;"|"&amp;Z769</f>
        <v/>
      </c>
    </row>
    <row r="770" ht="15" customHeight="1" s="39">
      <c r="A770" s="67" t="inlineStr">
        <is>
          <t>Basic EWM</t>
        </is>
      </c>
      <c r="B770" s="67" t="n">
        <v>24</v>
      </c>
      <c r="C770" s="67" t="n">
        <v>3</v>
      </c>
      <c r="D770" s="67" t="n">
        <v>2</v>
      </c>
      <c r="E770" s="67" t="n">
        <v>3</v>
      </c>
      <c r="F770" s="67" t="n">
        <v>2</v>
      </c>
      <c r="G770" s="67" t="n">
        <v>1</v>
      </c>
      <c r="H770" s="67" t="n">
        <v>1</v>
      </c>
      <c r="I770" s="67" t="n">
        <v>5</v>
      </c>
      <c r="J770" s="67" t="n">
        <v>5</v>
      </c>
      <c r="K770" s="67" t="n">
        <v>1</v>
      </c>
      <c r="L770" s="67" t="n">
        <v>1</v>
      </c>
      <c r="M770" s="67" t="n">
        <v>4</v>
      </c>
      <c r="N770" s="67" t="n">
        <v>4</v>
      </c>
      <c r="O770" s="67" t="n">
        <v>0</v>
      </c>
      <c r="P770" s="67" t="n">
        <v>0</v>
      </c>
      <c r="Q770" s="66" t="inlineStr">
        <is>
          <t>Upgrade</t>
        </is>
      </c>
      <c r="Z770" s="66">
        <f>"SMALL|"&amp;A770</f>
        <v/>
      </c>
      <c r="AA770" s="66">
        <f>Q770&amp;"|"&amp;Z770</f>
        <v/>
      </c>
    </row>
    <row r="771" ht="15" customHeight="1" s="39">
      <c r="A771" s="67" t="inlineStr">
        <is>
          <t>Advanced EWM</t>
        </is>
      </c>
      <c r="B771" s="67" t="n">
        <v>0</v>
      </c>
      <c r="C771" s="67" t="n">
        <v>0</v>
      </c>
      <c r="D771" s="67" t="n">
        <v>0</v>
      </c>
      <c r="E771" s="67" t="n">
        <v>0</v>
      </c>
      <c r="F771" s="67" t="n">
        <v>0</v>
      </c>
      <c r="G771" s="67" t="n">
        <v>0</v>
      </c>
      <c r="H771" s="67" t="n">
        <v>0</v>
      </c>
      <c r="I771" s="67" t="n">
        <v>0</v>
      </c>
      <c r="J771" s="67" t="n">
        <v>0</v>
      </c>
      <c r="K771" s="67" t="n">
        <v>0</v>
      </c>
      <c r="L771" s="67" t="n">
        <v>0</v>
      </c>
      <c r="M771" s="67" t="n">
        <v>0</v>
      </c>
      <c r="N771" s="67" t="n">
        <v>0</v>
      </c>
      <c r="O771" s="67" t="n">
        <v>0</v>
      </c>
      <c r="P771" s="67" t="n">
        <v>0</v>
      </c>
      <c r="Q771" s="66" t="inlineStr">
        <is>
          <t>Upgrade</t>
        </is>
      </c>
      <c r="Z771" s="66">
        <f>"SMALL|"&amp;A771</f>
        <v/>
      </c>
      <c r="AA771" s="66">
        <f>Q771&amp;"|"&amp;Z771</f>
        <v/>
      </c>
    </row>
    <row r="772" ht="15" customHeight="1" s="39">
      <c r="A772" s="67" t="inlineStr">
        <is>
          <t>TM</t>
        </is>
      </c>
      <c r="B772" s="67" t="n">
        <v>15</v>
      </c>
      <c r="C772" s="67" t="n">
        <v>3</v>
      </c>
      <c r="D772" s="67" t="n">
        <v>1</v>
      </c>
      <c r="E772" s="67" t="n">
        <v>2</v>
      </c>
      <c r="F772" s="67" t="n">
        <v>2</v>
      </c>
      <c r="G772" s="67" t="n">
        <v>0.5</v>
      </c>
      <c r="H772" s="67" t="n">
        <v>1</v>
      </c>
      <c r="I772" s="67" t="n">
        <v>4</v>
      </c>
      <c r="J772" s="67" t="n">
        <v>4</v>
      </c>
      <c r="K772" s="67" t="n">
        <v>1</v>
      </c>
      <c r="L772" s="67" t="n">
        <v>1</v>
      </c>
      <c r="M772" s="67" t="n">
        <v>4</v>
      </c>
      <c r="N772" s="67" t="n">
        <v>4</v>
      </c>
      <c r="O772" s="67" t="n">
        <v>0</v>
      </c>
      <c r="P772" s="67" t="n">
        <v>0</v>
      </c>
      <c r="Q772" s="66" t="inlineStr">
        <is>
          <t>Upgrade</t>
        </is>
      </c>
      <c r="Z772" s="66">
        <f>"SMALL|"&amp;A772</f>
        <v/>
      </c>
      <c r="AA772" s="66">
        <f>Q772&amp;"|"&amp;Z772</f>
        <v/>
      </c>
    </row>
    <row r="773" ht="15" customHeight="1" s="39">
      <c r="A773" s="67" t="inlineStr">
        <is>
          <t>PPDS</t>
        </is>
      </c>
      <c r="B773" s="67" t="n">
        <v>16</v>
      </c>
      <c r="C773" s="67" t="n">
        <v>2</v>
      </c>
      <c r="D773" s="67" t="n">
        <v>2</v>
      </c>
      <c r="E773" s="67" t="n">
        <v>3</v>
      </c>
      <c r="F773" s="67" t="n">
        <v>3</v>
      </c>
      <c r="G773" s="67" t="n">
        <v>0.5</v>
      </c>
      <c r="H773" s="67" t="n">
        <v>0.5</v>
      </c>
      <c r="I773" s="67" t="n">
        <v>3</v>
      </c>
      <c r="J773" s="67" t="n">
        <v>3</v>
      </c>
      <c r="K773" s="67" t="n">
        <v>0.5</v>
      </c>
      <c r="L773" s="67" t="n">
        <v>0.5</v>
      </c>
      <c r="M773" s="67" t="n">
        <v>2</v>
      </c>
      <c r="N773" s="67" t="n">
        <v>2</v>
      </c>
      <c r="O773" s="67" t="n">
        <v>0</v>
      </c>
      <c r="P773" s="67" t="n">
        <v>0</v>
      </c>
      <c r="Q773" s="66" t="inlineStr">
        <is>
          <t>Upgrade</t>
        </is>
      </c>
      <c r="Z773" s="66">
        <f>"SMALL|"&amp;A773</f>
        <v/>
      </c>
      <c r="AA773" s="66">
        <f>Q773&amp;"|"&amp;Z773</f>
        <v/>
      </c>
    </row>
    <row r="774" ht="15" customHeight="1" s="39">
      <c r="A774" s="67" t="inlineStr">
        <is>
          <t>ABAP</t>
        </is>
      </c>
      <c r="B774" s="67" t="n">
        <v>0</v>
      </c>
      <c r="C774" s="67" t="n">
        <v>0</v>
      </c>
      <c r="D774" s="67" t="n">
        <v>0</v>
      </c>
      <c r="E774" s="67" t="n">
        <v>0</v>
      </c>
      <c r="F774" s="67" t="n">
        <v>0</v>
      </c>
      <c r="G774" s="67" t="n">
        <v>0</v>
      </c>
      <c r="H774" s="67" t="n">
        <v>0</v>
      </c>
      <c r="I774" s="67" t="n">
        <v>0</v>
      </c>
      <c r="J774" s="67" t="n">
        <v>0</v>
      </c>
      <c r="K774" s="67" t="n">
        <v>0</v>
      </c>
      <c r="L774" s="67" t="n">
        <v>0</v>
      </c>
      <c r="M774" s="67" t="n">
        <v>0</v>
      </c>
      <c r="N774" s="67" t="n">
        <v>0</v>
      </c>
      <c r="O774" s="67" t="n">
        <v>0</v>
      </c>
      <c r="P774" s="67" t="n">
        <v>0</v>
      </c>
      <c r="Q774" s="66" t="inlineStr">
        <is>
          <t>Upgrade</t>
        </is>
      </c>
      <c r="Z774" s="66">
        <f>"SMALL|"&amp;A774</f>
        <v/>
      </c>
      <c r="AA774" s="66">
        <f>Q774&amp;"|"&amp;Z774</f>
        <v/>
      </c>
    </row>
    <row r="775" ht="15" customHeight="1" s="39">
      <c r="A775" s="67" t="inlineStr">
        <is>
          <t>BASIS</t>
        </is>
      </c>
      <c r="B775" s="67" t="n">
        <v>0</v>
      </c>
      <c r="C775" s="67" t="n">
        <v>0</v>
      </c>
      <c r="D775" s="67" t="n">
        <v>0</v>
      </c>
      <c r="E775" s="67" t="n">
        <v>0</v>
      </c>
      <c r="F775" s="67" t="n">
        <v>0</v>
      </c>
      <c r="G775" s="67" t="n">
        <v>0</v>
      </c>
      <c r="H775" s="67" t="n">
        <v>0</v>
      </c>
      <c r="I775" s="67" t="n">
        <v>0</v>
      </c>
      <c r="J775" s="67" t="n">
        <v>0</v>
      </c>
      <c r="K775" s="67" t="n">
        <v>0</v>
      </c>
      <c r="L775" s="67" t="n">
        <v>0</v>
      </c>
      <c r="M775" s="67" t="n">
        <v>0</v>
      </c>
      <c r="N775" s="67" t="n">
        <v>0</v>
      </c>
      <c r="O775" s="67" t="n">
        <v>0</v>
      </c>
      <c r="P775" s="67" t="n">
        <v>0</v>
      </c>
      <c r="Q775" s="66" t="inlineStr">
        <is>
          <t>Upgrade</t>
        </is>
      </c>
      <c r="Z775" s="66">
        <f>"SMALL|"&amp;A775</f>
        <v/>
      </c>
      <c r="AA775" s="66">
        <f>Q775&amp;"|"&amp;Z775</f>
        <v/>
      </c>
    </row>
    <row r="776" ht="15" customHeight="1" s="39">
      <c r="A776" s="67" t="inlineStr">
        <is>
          <t>E-Fatura/Arşiv</t>
        </is>
      </c>
      <c r="B776" s="67" t="n">
        <v>3</v>
      </c>
      <c r="C776" s="67" t="n">
        <v>1</v>
      </c>
      <c r="D776" s="67" t="n">
        <v>0</v>
      </c>
      <c r="E776" s="67" t="n">
        <v>1</v>
      </c>
      <c r="F776" s="67" t="n">
        <v>2</v>
      </c>
      <c r="G776" s="67" t="n">
        <v>1</v>
      </c>
      <c r="H776" s="67" t="n">
        <v>1</v>
      </c>
      <c r="I776" s="67" t="n">
        <v>3</v>
      </c>
      <c r="J776" s="67" t="n">
        <v>3</v>
      </c>
      <c r="K776" s="67" t="n">
        <v>0</v>
      </c>
      <c r="L776" s="67" t="n">
        <v>1</v>
      </c>
      <c r="M776" s="67" t="n">
        <v>1</v>
      </c>
      <c r="N776" s="67" t="n">
        <v>0</v>
      </c>
      <c r="O776" s="67" t="n">
        <v>0</v>
      </c>
      <c r="P776" s="67" t="n">
        <v>0</v>
      </c>
      <c r="Q776" s="66" t="inlineStr">
        <is>
          <t>Upgrade</t>
        </is>
      </c>
      <c r="Z776" s="66">
        <f>"SMALL|"&amp;A776</f>
        <v/>
      </c>
      <c r="AA776" s="66">
        <f>Q776&amp;"|"&amp;Z776</f>
        <v/>
      </c>
    </row>
    <row r="777" ht="15" customHeight="1" s="39">
      <c r="A777" s="67" t="inlineStr">
        <is>
          <t>E-İrsaliye</t>
        </is>
      </c>
      <c r="B777" s="67" t="n">
        <v>3</v>
      </c>
      <c r="C777" s="67" t="n">
        <v>1</v>
      </c>
      <c r="D777" s="67" t="n">
        <v>0</v>
      </c>
      <c r="E777" s="67" t="n">
        <v>1</v>
      </c>
      <c r="F777" s="67" t="n">
        <v>2</v>
      </c>
      <c r="G777" s="67" t="n">
        <v>1</v>
      </c>
      <c r="H777" s="67" t="n">
        <v>1</v>
      </c>
      <c r="I777" s="67" t="n">
        <v>3</v>
      </c>
      <c r="J777" s="67" t="n">
        <v>3</v>
      </c>
      <c r="K777" s="67" t="n">
        <v>0</v>
      </c>
      <c r="L777" s="67" t="n">
        <v>1</v>
      </c>
      <c r="M777" s="67" t="n">
        <v>1</v>
      </c>
      <c r="N777" s="67" t="n">
        <v>0</v>
      </c>
      <c r="O777" s="67" t="n">
        <v>0</v>
      </c>
      <c r="P777" s="67" t="n">
        <v>0</v>
      </c>
      <c r="Q777" s="66" t="inlineStr">
        <is>
          <t>Upgrade</t>
        </is>
      </c>
      <c r="Z777" s="66">
        <f>"SMALL|"&amp;A777</f>
        <v/>
      </c>
      <c r="AA777" s="66">
        <f>Q777&amp;"|"&amp;Z777</f>
        <v/>
      </c>
    </row>
    <row r="778" ht="15" customHeight="1" s="39">
      <c r="A778" s="67" t="inlineStr">
        <is>
          <t>E-Defter</t>
        </is>
      </c>
      <c r="B778" s="67" t="n">
        <v>2</v>
      </c>
      <c r="C778" s="67" t="n">
        <v>1</v>
      </c>
      <c r="D778" s="67" t="n">
        <v>0</v>
      </c>
      <c r="E778" s="67" t="n">
        <v>1</v>
      </c>
      <c r="F778" s="67" t="n">
        <v>2</v>
      </c>
      <c r="G778" s="67" t="n">
        <v>1</v>
      </c>
      <c r="H778" s="67" t="n">
        <v>1</v>
      </c>
      <c r="I778" s="67" t="n">
        <v>0</v>
      </c>
      <c r="J778" s="67" t="n">
        <v>0</v>
      </c>
      <c r="K778" s="67" t="n">
        <v>0</v>
      </c>
      <c r="L778" s="67" t="n">
        <v>2</v>
      </c>
      <c r="M778" s="67" t="n">
        <v>1</v>
      </c>
      <c r="N778" s="67" t="n">
        <v>0</v>
      </c>
      <c r="O778" s="67" t="n">
        <v>0</v>
      </c>
      <c r="P778" s="67" t="n">
        <v>0</v>
      </c>
      <c r="Q778" s="66" t="inlineStr">
        <is>
          <t>Upgrade</t>
        </is>
      </c>
      <c r="Z778" s="66">
        <f>"SMALL|"&amp;A778</f>
        <v/>
      </c>
      <c r="AA778" s="66">
        <f>Q778&amp;"|"&amp;Z778</f>
        <v/>
      </c>
    </row>
    <row r="779" ht="15" customHeight="1" s="39">
      <c r="A779" s="67" t="inlineStr">
        <is>
          <t>E-Hesap Özeti</t>
        </is>
      </c>
      <c r="B779" s="67" t="n">
        <v>4</v>
      </c>
      <c r="C779" s="67" t="n">
        <v>1</v>
      </c>
      <c r="D779" s="67" t="n">
        <v>0</v>
      </c>
      <c r="E779" s="67" t="n">
        <v>3</v>
      </c>
      <c r="F779" s="67" t="n">
        <v>3</v>
      </c>
      <c r="G779" s="67" t="n">
        <v>1</v>
      </c>
      <c r="H779" s="67" t="n">
        <v>0</v>
      </c>
      <c r="I779" s="67" t="n">
        <v>2</v>
      </c>
      <c r="J779" s="67" t="n">
        <v>2</v>
      </c>
      <c r="K779" s="67" t="n">
        <v>0</v>
      </c>
      <c r="L779" s="67" t="n">
        <v>1</v>
      </c>
      <c r="M779" s="67" t="n">
        <v>1</v>
      </c>
      <c r="N779" s="67" t="n">
        <v>0</v>
      </c>
      <c r="O779" s="67" t="n">
        <v>0</v>
      </c>
      <c r="P779" s="67" t="n">
        <v>0</v>
      </c>
      <c r="Q779" s="66" t="inlineStr">
        <is>
          <t>Upgrade</t>
        </is>
      </c>
      <c r="Z779" s="66">
        <f>"SMALL|"&amp;A779</f>
        <v/>
      </c>
      <c r="AA779" s="66">
        <f>Q779&amp;"|"&amp;Z779</f>
        <v/>
      </c>
    </row>
    <row r="780" ht="15" customHeight="1" s="39">
      <c r="A780" s="67" t="inlineStr">
        <is>
          <t>E-Ödeme</t>
        </is>
      </c>
      <c r="B780" s="67" t="n">
        <v>4</v>
      </c>
      <c r="C780" s="67" t="n">
        <v>1</v>
      </c>
      <c r="D780" s="67" t="n">
        <v>0</v>
      </c>
      <c r="E780" s="67" t="n">
        <v>3</v>
      </c>
      <c r="F780" s="67" t="n">
        <v>3</v>
      </c>
      <c r="G780" s="67" t="n">
        <v>1</v>
      </c>
      <c r="H780" s="67" t="n">
        <v>0</v>
      </c>
      <c r="I780" s="67" t="n">
        <v>2</v>
      </c>
      <c r="J780" s="67" t="n">
        <v>2</v>
      </c>
      <c r="K780" s="67" t="n">
        <v>0</v>
      </c>
      <c r="L780" s="67" t="n">
        <v>1</v>
      </c>
      <c r="M780" s="67" t="n">
        <v>1</v>
      </c>
      <c r="N780" s="67" t="n">
        <v>0</v>
      </c>
      <c r="O780" s="67" t="n">
        <v>0</v>
      </c>
      <c r="P780" s="67" t="n">
        <v>0</v>
      </c>
      <c r="Q780" s="66" t="inlineStr">
        <is>
          <t>Upgrade</t>
        </is>
      </c>
      <c r="Z780" s="66">
        <f>"SMALL|"&amp;A780</f>
        <v/>
      </c>
      <c r="AA780" s="66">
        <f>Q780&amp;"|"&amp;Z780</f>
        <v/>
      </c>
    </row>
    <row r="781" ht="15" customHeight="1" s="39">
      <c r="A781" s="67" t="inlineStr">
        <is>
          <t>E-Mutabakat</t>
        </is>
      </c>
      <c r="B781" s="67" t="n">
        <v>2</v>
      </c>
      <c r="C781" s="67" t="n">
        <v>1</v>
      </c>
      <c r="D781" s="67" t="n">
        <v>0</v>
      </c>
      <c r="E781" s="67" t="n">
        <v>3</v>
      </c>
      <c r="F781" s="67" t="n">
        <v>3</v>
      </c>
      <c r="G781" s="67" t="n">
        <v>1</v>
      </c>
      <c r="H781" s="67" t="n">
        <v>0</v>
      </c>
      <c r="I781" s="67" t="n">
        <v>2</v>
      </c>
      <c r="J781" s="67" t="n">
        <v>2</v>
      </c>
      <c r="K781" s="67" t="n">
        <v>0</v>
      </c>
      <c r="L781" s="67" t="n">
        <v>1</v>
      </c>
      <c r="M781" s="67" t="n">
        <v>1</v>
      </c>
      <c r="N781" s="67" t="n">
        <v>0</v>
      </c>
      <c r="O781" s="67" t="n">
        <v>0</v>
      </c>
      <c r="P781" s="67" t="n">
        <v>0</v>
      </c>
      <c r="Q781" s="66" t="inlineStr">
        <is>
          <t>Upgrade</t>
        </is>
      </c>
      <c r="Z781" s="66">
        <f>"SMALL|"&amp;A781</f>
        <v/>
      </c>
      <c r="AA781" s="66">
        <f>Q781&amp;"|"&amp;Z781</f>
        <v/>
      </c>
    </row>
    <row r="782" ht="15" customHeight="1" s="39">
      <c r="A782" s="67" t="inlineStr">
        <is>
          <t>E-Beyanname</t>
        </is>
      </c>
      <c r="B782" s="67" t="n">
        <v>4</v>
      </c>
      <c r="C782" s="67" t="n">
        <v>2</v>
      </c>
      <c r="D782" s="67" t="n">
        <v>0</v>
      </c>
      <c r="E782" s="67" t="n">
        <v>4</v>
      </c>
      <c r="F782" s="67" t="n">
        <v>3</v>
      </c>
      <c r="G782" s="67" t="n">
        <v>1</v>
      </c>
      <c r="H782" s="67" t="n">
        <v>0</v>
      </c>
      <c r="I782" s="67" t="n">
        <v>0</v>
      </c>
      <c r="J782" s="67" t="n">
        <v>0</v>
      </c>
      <c r="K782" s="67" t="n">
        <v>0</v>
      </c>
      <c r="L782" s="67" t="n">
        <v>1</v>
      </c>
      <c r="M782" s="67" t="n">
        <v>1</v>
      </c>
      <c r="N782" s="67" t="n">
        <v>0</v>
      </c>
      <c r="O782" s="67" t="n">
        <v>0</v>
      </c>
      <c r="P782" s="67" t="n">
        <v>0</v>
      </c>
      <c r="Q782" s="66" t="inlineStr">
        <is>
          <t>Upgrade</t>
        </is>
      </c>
      <c r="Z782" s="66">
        <f>"SMALL|"&amp;A782</f>
        <v/>
      </c>
      <c r="AA782" s="66">
        <f>Q782&amp;"|"&amp;Z782</f>
        <v/>
      </c>
    </row>
    <row r="783" ht="15" customHeight="1" s="39">
      <c r="A783" s="67" t="inlineStr">
        <is>
          <t>Gelen Fatura Otomasyon</t>
        </is>
      </c>
      <c r="B783" s="67" t="n">
        <v>4</v>
      </c>
      <c r="C783" s="67" t="n">
        <v>1</v>
      </c>
      <c r="D783" s="67" t="n">
        <v>0</v>
      </c>
      <c r="E783" s="67" t="n">
        <v>3</v>
      </c>
      <c r="F783" s="67" t="n">
        <v>3</v>
      </c>
      <c r="G783" s="67" t="n">
        <v>1</v>
      </c>
      <c r="H783" s="67" t="n">
        <v>0</v>
      </c>
      <c r="I783" s="67" t="n">
        <v>2</v>
      </c>
      <c r="J783" s="67" t="n">
        <v>2</v>
      </c>
      <c r="K783" s="67" t="n">
        <v>0</v>
      </c>
      <c r="L783" s="67" t="n">
        <v>1</v>
      </c>
      <c r="M783" s="67" t="n">
        <v>1</v>
      </c>
      <c r="N783" s="67" t="n">
        <v>0</v>
      </c>
      <c r="O783" s="67" t="n">
        <v>0</v>
      </c>
      <c r="P783" s="67" t="n">
        <v>0</v>
      </c>
      <c r="Q783" s="66" t="inlineStr">
        <is>
          <t>Upgrade</t>
        </is>
      </c>
      <c r="Z783" s="66">
        <f>"SMALL|"&amp;A783</f>
        <v/>
      </c>
      <c r="AA783" s="66">
        <f>Q783&amp;"|"&amp;Z783</f>
        <v/>
      </c>
    </row>
    <row r="784" ht="15" customHeight="1" s="39">
      <c r="A784" s="67" t="inlineStr">
        <is>
          <t>GLASSWING</t>
        </is>
      </c>
      <c r="B784" s="67" t="n">
        <v>20</v>
      </c>
      <c r="C784" s="67" t="n">
        <v>2</v>
      </c>
      <c r="D784" s="67" t="n">
        <v>1</v>
      </c>
      <c r="E784" s="67" t="n">
        <v>5</v>
      </c>
      <c r="F784" s="67" t="n">
        <v>4</v>
      </c>
      <c r="G784" s="67" t="n">
        <v>1</v>
      </c>
      <c r="H784" s="67" t="n">
        <v>0</v>
      </c>
      <c r="I784" s="67" t="n">
        <v>8</v>
      </c>
      <c r="J784" s="67" t="n">
        <v>10</v>
      </c>
      <c r="K784" s="67" t="n">
        <v>4</v>
      </c>
      <c r="L784" s="67" t="n">
        <v>1</v>
      </c>
      <c r="M784" s="67" t="n">
        <v>1</v>
      </c>
      <c r="N784" s="67" t="n">
        <v>3</v>
      </c>
      <c r="O784" s="67" t="n">
        <v>0</v>
      </c>
      <c r="P784" s="67" t="n">
        <v>0</v>
      </c>
      <c r="Q784" s="66" t="inlineStr">
        <is>
          <t>Upgrade</t>
        </is>
      </c>
      <c r="Z784" s="66">
        <f>"SMALL|"&amp;A784</f>
        <v/>
      </c>
      <c r="AA784" s="66">
        <f>Q784&amp;"|"&amp;Z784</f>
        <v/>
      </c>
    </row>
    <row r="785" ht="15" customHeight="1" s="39">
      <c r="A785" s="67" t="inlineStr">
        <is>
          <t>COMMODITY</t>
        </is>
      </c>
      <c r="B785" s="67" t="n">
        <v>42</v>
      </c>
      <c r="C785" s="67" t="n">
        <v>6</v>
      </c>
      <c r="D785" s="67" t="n">
        <v>2</v>
      </c>
      <c r="E785" s="67" t="n">
        <v>5</v>
      </c>
      <c r="F785" s="67" t="n">
        <v>6</v>
      </c>
      <c r="G785" s="67" t="n">
        <v>2</v>
      </c>
      <c r="H785" s="67" t="n">
        <v>1</v>
      </c>
      <c r="I785" s="67" t="n">
        <v>12</v>
      </c>
      <c r="J785" s="67" t="n">
        <v>12</v>
      </c>
      <c r="K785" s="67" t="n">
        <v>2</v>
      </c>
      <c r="L785" s="67" t="n">
        <v>2</v>
      </c>
      <c r="M785" s="67" t="n">
        <v>3</v>
      </c>
      <c r="N785" s="67" t="n">
        <v>5</v>
      </c>
      <c r="O785" s="67" t="n">
        <v>0</v>
      </c>
      <c r="P785" s="67" t="n">
        <v>0</v>
      </c>
      <c r="Q785" s="66" t="inlineStr">
        <is>
          <t>Upgrade</t>
        </is>
      </c>
      <c r="Z785" s="66">
        <f>"SMALL|"&amp;A785</f>
        <v/>
      </c>
      <c r="AA785" s="66">
        <f>Q785&amp;"|"&amp;Z785</f>
        <v/>
      </c>
    </row>
    <row r="786" ht="15" customHeight="1" s="39">
      <c r="A786" s="67" t="inlineStr">
        <is>
          <t>Dış Ticaret Çözümü</t>
        </is>
      </c>
      <c r="B786" s="67" t="n">
        <v>0</v>
      </c>
      <c r="C786" s="67" t="n">
        <v>0</v>
      </c>
      <c r="D786" s="67" t="n">
        <v>0</v>
      </c>
      <c r="E786" s="67" t="n">
        <v>0</v>
      </c>
      <c r="F786" s="67" t="n">
        <v>0</v>
      </c>
      <c r="G786" s="67" t="n">
        <v>0</v>
      </c>
      <c r="H786" s="67" t="n">
        <v>0</v>
      </c>
      <c r="I786" s="67" t="n">
        <v>0</v>
      </c>
      <c r="J786" s="67" t="n">
        <v>0</v>
      </c>
      <c r="K786" s="67" t="n">
        <v>0</v>
      </c>
      <c r="L786" s="67" t="n">
        <v>0</v>
      </c>
      <c r="M786" s="67" t="n">
        <v>0</v>
      </c>
      <c r="N786" s="67" t="n">
        <v>0</v>
      </c>
      <c r="O786" s="67" t="n">
        <v>0</v>
      </c>
      <c r="P786" s="67" t="n">
        <v>0</v>
      </c>
      <c r="Q786" s="66" t="inlineStr">
        <is>
          <t>Upgrade</t>
        </is>
      </c>
      <c r="Z786" s="66">
        <f>"SMALL|"&amp;A786</f>
        <v/>
      </c>
      <c r="AA786" s="66">
        <f>Q786&amp;"|"&amp;Z786</f>
        <v/>
      </c>
    </row>
    <row r="787" ht="15" customHeight="1" s="39">
      <c r="A787" s="67" t="inlineStr">
        <is>
          <t>Seyahat ve Masraf Yönetimi</t>
        </is>
      </c>
      <c r="B787" s="67" t="n">
        <v>0</v>
      </c>
      <c r="C787" s="67" t="n">
        <v>0</v>
      </c>
      <c r="D787" s="67" t="n">
        <v>0</v>
      </c>
      <c r="E787" s="67" t="n">
        <v>0</v>
      </c>
      <c r="F787" s="67" t="n">
        <v>0</v>
      </c>
      <c r="G787" s="67" t="n">
        <v>0</v>
      </c>
      <c r="H787" s="67" t="n">
        <v>0</v>
      </c>
      <c r="I787" s="67" t="n">
        <v>0</v>
      </c>
      <c r="J787" s="67" t="n">
        <v>0</v>
      </c>
      <c r="K787" s="67" t="n">
        <v>0</v>
      </c>
      <c r="L787" s="67" t="n">
        <v>0</v>
      </c>
      <c r="M787" s="67" t="n">
        <v>0</v>
      </c>
      <c r="N787" s="67" t="n">
        <v>0</v>
      </c>
      <c r="O787" s="67" t="n">
        <v>0</v>
      </c>
      <c r="P787" s="67" t="n">
        <v>0</v>
      </c>
      <c r="Q787" s="66" t="inlineStr">
        <is>
          <t>Upgrade</t>
        </is>
      </c>
      <c r="Z787" s="66">
        <f>"SMALL|"&amp;A787</f>
        <v/>
      </c>
      <c r="AA787" s="66">
        <f>Q787&amp;"|"&amp;Z787</f>
        <v/>
      </c>
    </row>
    <row r="788" ht="15" customHeight="1" s="39">
      <c r="A788" s="67" t="inlineStr">
        <is>
          <t>NTT Data POS</t>
        </is>
      </c>
      <c r="B788" s="67" t="n">
        <v>0</v>
      </c>
      <c r="C788" s="67" t="n">
        <v>0</v>
      </c>
      <c r="D788" s="67" t="n">
        <v>0</v>
      </c>
      <c r="E788" s="67" t="n">
        <v>0</v>
      </c>
      <c r="F788" s="67" t="n">
        <v>0</v>
      </c>
      <c r="G788" s="67" t="n">
        <v>0</v>
      </c>
      <c r="H788" s="67" t="n">
        <v>0</v>
      </c>
      <c r="I788" s="67" t="n">
        <v>0</v>
      </c>
      <c r="J788" s="67" t="n">
        <v>0</v>
      </c>
      <c r="K788" s="67" t="n">
        <v>0</v>
      </c>
      <c r="L788" s="67" t="n">
        <v>0</v>
      </c>
      <c r="M788" s="67" t="n">
        <v>0</v>
      </c>
      <c r="N788" s="67" t="n">
        <v>0</v>
      </c>
      <c r="O788" s="67" t="n">
        <v>0</v>
      </c>
      <c r="P788" s="67" t="n">
        <v>0</v>
      </c>
      <c r="Q788" s="66" t="inlineStr">
        <is>
          <t>Upgrade</t>
        </is>
      </c>
      <c r="Z788" s="66">
        <f>"SMALL|"&amp;A788</f>
        <v/>
      </c>
      <c r="AA788" s="66">
        <f>Q788&amp;"|"&amp;Z788</f>
        <v/>
      </c>
    </row>
    <row r="790" ht="15" customHeight="1" s="39">
      <c r="A790" s="68" t="inlineStr">
        <is>
          <t>MEDIUM</t>
        </is>
      </c>
      <c r="Q790" s="68" t="inlineStr">
        <is>
          <t>Upgrade</t>
        </is>
      </c>
    </row>
    <row r="791" ht="15" customHeight="1" s="39">
      <c r="A791" s="67">
        <f>INDEX(Translations!$D:$ZZ, MATCH(74,Translations!$A:$A,0), MATCH('Project Information'!$C$4,Translations!$D$1:$ZZ$1,0))</f>
        <v/>
      </c>
      <c r="B791" s="67">
        <f>INDEX(Translations!$D:$ZZ, MATCH(75,Translations!$A:$A,0), MATCH('Project Information'!$C$4,Translations!$D$1:$ZZ$1,0))</f>
        <v/>
      </c>
      <c r="C791" s="67">
        <f>INDEX(Translations!$D:$ZZ, MATCH(76,Translations!$A:$A,0), MATCH('Project Information'!$C$4,Translations!$D$1:$ZZ$1,0))</f>
        <v/>
      </c>
      <c r="D791" s="67">
        <f>INDEX(Translations!$D:$ZZ, MATCH(77,Translations!$A:$A,0), MATCH('Project Information'!$C$4,Translations!$D$1:$ZZ$1,0))</f>
        <v/>
      </c>
      <c r="E791" s="67">
        <f>INDEX(Translations!$D:$ZZ, MATCH(78,Translations!$A:$A,0), MATCH('Project Information'!$C$4,Translations!$D$1:$ZZ$1,0))</f>
        <v/>
      </c>
      <c r="F791" s="67">
        <f>INDEX(Translations!$D:$ZZ, MATCH(79,Translations!$A:$A,0), MATCH('Project Information'!$C$4,Translations!$D$1:$ZZ$1,0))</f>
        <v/>
      </c>
      <c r="G791" s="67">
        <f>INDEX(Translations!$D:$ZZ, MATCH(80,Translations!$A:$A,0), MATCH('Project Information'!$C$4,Translations!$D$1:$ZZ$1,0))</f>
        <v/>
      </c>
      <c r="H791" s="67">
        <f>INDEX(Translations!$D:$ZZ, MATCH(81,Translations!$A:$A,0), MATCH('Project Information'!$C$4,Translations!$D$1:$ZZ$1,0))</f>
        <v/>
      </c>
      <c r="I791" s="67">
        <f>INDEX(Translations!$D:$ZZ, MATCH(82,Translations!$A:$A,0), MATCH('Project Information'!$C$4,Translations!$D$1:$ZZ$1,0))</f>
        <v/>
      </c>
      <c r="J791" s="67">
        <f>INDEX(Translations!$D:$ZZ, MATCH(83,Translations!$A:$A,0), MATCH('Project Information'!$C$4,Translations!$D$1:$ZZ$1,0))</f>
        <v/>
      </c>
      <c r="K791" s="67">
        <f>INDEX(Translations!$D:$ZZ, MATCH(84,Translations!$A:$A,0), MATCH('Project Information'!$C$4,Translations!$D$1:$ZZ$1,0))</f>
        <v/>
      </c>
      <c r="L791" s="67">
        <f>INDEX(Translations!$D:$ZZ, MATCH(85,Translations!$A:$A,0), MATCH('Project Information'!$C$4,Translations!$D$1:$ZZ$1,0))</f>
        <v/>
      </c>
      <c r="M791" s="67">
        <f>INDEX(Translations!$D:$ZZ, MATCH(86,Translations!$A:$A,0), MATCH('Project Information'!$C$4,Translations!$D$1:$ZZ$1,0))</f>
        <v/>
      </c>
      <c r="N791" s="67">
        <f>INDEX(Translations!$D:$ZZ, MATCH(87,Translations!$A:$A,0), MATCH('Project Information'!$C$4,Translations!$D$1:$ZZ$1,0))</f>
        <v/>
      </c>
      <c r="O791" s="67">
        <f>INDEX(Translations!$D:$ZZ, MATCH(88,Translations!$A:$A,0), MATCH('Project Information'!$C$4,Translations!$D$1:$ZZ$1,0))</f>
        <v/>
      </c>
      <c r="P791" s="67">
        <f>INDEX(Translations!$D:$ZZ, MATCH(89,Translations!$A:$A,0), MATCH('Project Information'!$C$4,Translations!$D$1:$ZZ$1,0))</f>
        <v/>
      </c>
      <c r="Q791" s="67" t="inlineStr">
        <is>
          <t>Implementation Type</t>
        </is>
      </c>
      <c r="Z791" s="67">
        <f>INDEX(Translations!$D:$ZZ, MATCH(93,Translations!$A:$A,0), MATCH('Project Information'!$C$4,Translations!$D$1:$ZZ$1,0))</f>
        <v/>
      </c>
      <c r="AA791" s="67" t="inlineStr">
        <is>
          <t>Implementation Key</t>
        </is>
      </c>
    </row>
    <row r="792" ht="15" customHeight="1" s="39">
      <c r="A792" s="67" t="inlineStr">
        <is>
          <t>FI</t>
        </is>
      </c>
      <c r="B792" s="67" t="n">
        <v>36</v>
      </c>
      <c r="C792" s="67" t="n">
        <v>3</v>
      </c>
      <c r="D792" s="67" t="n">
        <v>2</v>
      </c>
      <c r="E792" s="67" t="n">
        <v>3</v>
      </c>
      <c r="F792" s="67" t="n">
        <v>2</v>
      </c>
      <c r="G792" s="67" t="n">
        <v>1</v>
      </c>
      <c r="H792" s="67" t="n">
        <v>2</v>
      </c>
      <c r="I792" s="67" t="n">
        <v>18</v>
      </c>
      <c r="J792" s="67" t="n">
        <v>18</v>
      </c>
      <c r="K792" s="67" t="n">
        <v>1</v>
      </c>
      <c r="L792" s="67" t="n">
        <v>1</v>
      </c>
      <c r="M792" s="67" t="n">
        <v>8</v>
      </c>
      <c r="N792" s="67" t="n">
        <v>8</v>
      </c>
      <c r="O792" s="67" t="n">
        <v>0</v>
      </c>
      <c r="P792" s="67" t="n">
        <v>0</v>
      </c>
      <c r="Q792" s="66" t="inlineStr">
        <is>
          <t>Upgrade</t>
        </is>
      </c>
      <c r="Z792" s="66">
        <f>"MEDIUM|"&amp;A792</f>
        <v/>
      </c>
      <c r="AA792" s="66">
        <f>Q792&amp;"|"&amp;Z792</f>
        <v/>
      </c>
    </row>
    <row r="793" ht="15" customHeight="1" s="39">
      <c r="A793" s="67" t="inlineStr">
        <is>
          <t>CO</t>
        </is>
      </c>
      <c r="B793" s="67" t="n">
        <v>32</v>
      </c>
      <c r="C793" s="67" t="n">
        <v>3</v>
      </c>
      <c r="D793" s="67" t="n">
        <v>2</v>
      </c>
      <c r="E793" s="67" t="n">
        <v>3</v>
      </c>
      <c r="F793" s="67" t="n">
        <v>2</v>
      </c>
      <c r="G793" s="67" t="n">
        <v>1</v>
      </c>
      <c r="H793" s="67" t="n">
        <v>1</v>
      </c>
      <c r="I793" s="67" t="n">
        <v>18</v>
      </c>
      <c r="J793" s="67" t="n">
        <v>18</v>
      </c>
      <c r="K793" s="67" t="n">
        <v>1</v>
      </c>
      <c r="L793" s="67" t="n">
        <v>1</v>
      </c>
      <c r="M793" s="67" t="n">
        <v>5</v>
      </c>
      <c r="N793" s="67" t="n">
        <v>5</v>
      </c>
      <c r="O793" s="67" t="n">
        <v>0</v>
      </c>
      <c r="P793" s="67" t="n">
        <v>0</v>
      </c>
      <c r="Q793" s="66" t="inlineStr">
        <is>
          <t>Upgrade</t>
        </is>
      </c>
      <c r="Z793" s="66">
        <f>"MEDIUM|"&amp;A793</f>
        <v/>
      </c>
      <c r="AA793" s="66">
        <f>Q793&amp;"|"&amp;Z793</f>
        <v/>
      </c>
    </row>
    <row r="794" ht="15" customHeight="1" s="39">
      <c r="A794" s="67" t="inlineStr">
        <is>
          <t>TRM</t>
        </is>
      </c>
      <c r="B794" s="67" t="n">
        <v>12</v>
      </c>
      <c r="C794" s="67" t="n">
        <v>2</v>
      </c>
      <c r="D794" s="67" t="n">
        <v>1</v>
      </c>
      <c r="E794" s="67" t="n">
        <v>2</v>
      </c>
      <c r="F794" s="67" t="n">
        <v>1</v>
      </c>
      <c r="G794" s="67" t="n">
        <v>0.5</v>
      </c>
      <c r="H794" s="67" t="n">
        <v>0.5</v>
      </c>
      <c r="I794" s="67" t="n">
        <v>6</v>
      </c>
      <c r="J794" s="67" t="n">
        <v>6</v>
      </c>
      <c r="K794" s="67" t="n">
        <v>0.5</v>
      </c>
      <c r="L794" s="67" t="n">
        <v>0.5</v>
      </c>
      <c r="M794" s="67" t="n">
        <v>5</v>
      </c>
      <c r="N794" s="67" t="n">
        <v>5</v>
      </c>
      <c r="O794" s="67" t="n">
        <v>0</v>
      </c>
      <c r="P794" s="67" t="n">
        <v>0</v>
      </c>
      <c r="Q794" s="66" t="inlineStr">
        <is>
          <t>Upgrade</t>
        </is>
      </c>
      <c r="Z794" s="66">
        <f>"MEDIUM|"&amp;A794</f>
        <v/>
      </c>
      <c r="AA794" s="66">
        <f>Q794&amp;"|"&amp;Z794</f>
        <v/>
      </c>
    </row>
    <row r="795" ht="15" customHeight="1" s="39">
      <c r="A795" s="67" t="inlineStr">
        <is>
          <t>CM</t>
        </is>
      </c>
      <c r="B795" s="67" t="n">
        <v>8</v>
      </c>
      <c r="C795" s="67" t="n">
        <v>1</v>
      </c>
      <c r="D795" s="67" t="n">
        <v>1</v>
      </c>
      <c r="E795" s="67" t="n">
        <v>1</v>
      </c>
      <c r="F795" s="67" t="n">
        <v>1</v>
      </c>
      <c r="G795" s="67" t="n">
        <v>0.5</v>
      </c>
      <c r="H795" s="67" t="n">
        <v>0.5</v>
      </c>
      <c r="I795" s="67" t="n">
        <v>2</v>
      </c>
      <c r="J795" s="67" t="n">
        <v>2</v>
      </c>
      <c r="K795" s="67" t="n">
        <v>0.5</v>
      </c>
      <c r="L795" s="67" t="n">
        <v>0.5</v>
      </c>
      <c r="M795" s="67" t="n">
        <v>2</v>
      </c>
      <c r="N795" s="67" t="n">
        <v>2</v>
      </c>
      <c r="O795" s="67" t="n">
        <v>0</v>
      </c>
      <c r="P795" s="67" t="n">
        <v>0</v>
      </c>
      <c r="Q795" s="66" t="inlineStr">
        <is>
          <t>Upgrade</t>
        </is>
      </c>
      <c r="Z795" s="66">
        <f>"MEDIUM|"&amp;A795</f>
        <v/>
      </c>
      <c r="AA795" s="66">
        <f>Q795&amp;"|"&amp;Z795</f>
        <v/>
      </c>
    </row>
    <row r="796" ht="15" customHeight="1" s="39">
      <c r="A796" s="67" t="inlineStr">
        <is>
          <t>FM</t>
        </is>
      </c>
      <c r="B796" s="67" t="n">
        <v>8</v>
      </c>
      <c r="C796" s="67" t="n">
        <v>1</v>
      </c>
      <c r="D796" s="67" t="n">
        <v>1</v>
      </c>
      <c r="E796" s="67" t="n">
        <v>1</v>
      </c>
      <c r="F796" s="67" t="n">
        <v>1</v>
      </c>
      <c r="G796" s="67" t="n">
        <v>0.5</v>
      </c>
      <c r="H796" s="67" t="n">
        <v>0.5</v>
      </c>
      <c r="I796" s="67" t="n">
        <v>2</v>
      </c>
      <c r="J796" s="67" t="n">
        <v>2</v>
      </c>
      <c r="K796" s="67" t="n">
        <v>0.5</v>
      </c>
      <c r="L796" s="67" t="n">
        <v>0.5</v>
      </c>
      <c r="M796" s="67" t="n">
        <v>2</v>
      </c>
      <c r="N796" s="67" t="n">
        <v>2</v>
      </c>
      <c r="O796" s="67" t="n">
        <v>0</v>
      </c>
      <c r="P796" s="67" t="n">
        <v>0</v>
      </c>
      <c r="Q796" s="66" t="inlineStr">
        <is>
          <t>Upgrade</t>
        </is>
      </c>
      <c r="Z796" s="66">
        <f>"MEDIUM|"&amp;A796</f>
        <v/>
      </c>
      <c r="AA796" s="66">
        <f>Q796&amp;"|"&amp;Z796</f>
        <v/>
      </c>
    </row>
    <row r="797" ht="15" customHeight="1" s="39">
      <c r="A797" s="67" t="inlineStr">
        <is>
          <t>RM</t>
        </is>
      </c>
      <c r="B797" s="67" t="n">
        <v>0</v>
      </c>
      <c r="C797" s="67" t="n">
        <v>0</v>
      </c>
      <c r="D797" s="67" t="n">
        <v>0</v>
      </c>
      <c r="E797" s="67" t="n">
        <v>0</v>
      </c>
      <c r="F797" s="67" t="n">
        <v>0</v>
      </c>
      <c r="G797" s="67" t="n">
        <v>0</v>
      </c>
      <c r="H797" s="67" t="n">
        <v>0</v>
      </c>
      <c r="I797" s="67" t="n">
        <v>0</v>
      </c>
      <c r="J797" s="67" t="n">
        <v>0</v>
      </c>
      <c r="K797" s="67" t="n">
        <v>0</v>
      </c>
      <c r="L797" s="67" t="n">
        <v>0</v>
      </c>
      <c r="M797" s="67" t="n">
        <v>0</v>
      </c>
      <c r="N797" s="67" t="n">
        <v>0</v>
      </c>
      <c r="O797" s="67" t="n">
        <v>0</v>
      </c>
      <c r="P797" s="67" t="n">
        <v>0</v>
      </c>
      <c r="Q797" s="66" t="inlineStr">
        <is>
          <t>Upgrade</t>
        </is>
      </c>
      <c r="Z797" s="66">
        <f>"MEDIUM|"&amp;A797</f>
        <v/>
      </c>
      <c r="AA797" s="66">
        <f>Q797&amp;"|"&amp;Z797</f>
        <v/>
      </c>
    </row>
    <row r="798" ht="15" customHeight="1" s="39">
      <c r="A798" s="67" t="inlineStr">
        <is>
          <t>RE/FX</t>
        </is>
      </c>
      <c r="B798" s="67" t="n">
        <v>0</v>
      </c>
      <c r="C798" s="67" t="n">
        <v>0</v>
      </c>
      <c r="D798" s="67" t="n">
        <v>0</v>
      </c>
      <c r="E798" s="67" t="n">
        <v>0</v>
      </c>
      <c r="F798" s="67" t="n">
        <v>0</v>
      </c>
      <c r="G798" s="67" t="n">
        <v>0</v>
      </c>
      <c r="H798" s="67" t="n">
        <v>0</v>
      </c>
      <c r="I798" s="67" t="n">
        <v>0</v>
      </c>
      <c r="J798" s="67" t="n">
        <v>0</v>
      </c>
      <c r="K798" s="67" t="n">
        <v>0</v>
      </c>
      <c r="L798" s="67" t="n">
        <v>0</v>
      </c>
      <c r="M798" s="67" t="n">
        <v>0</v>
      </c>
      <c r="N798" s="67" t="n">
        <v>0</v>
      </c>
      <c r="O798" s="67" t="n">
        <v>0</v>
      </c>
      <c r="P798" s="67" t="n">
        <v>0</v>
      </c>
      <c r="Q798" s="66" t="inlineStr">
        <is>
          <t>Upgrade</t>
        </is>
      </c>
      <c r="Z798" s="66">
        <f>"MEDIUM|"&amp;A798</f>
        <v/>
      </c>
      <c r="AA798" s="66">
        <f>Q798&amp;"|"&amp;Z798</f>
        <v/>
      </c>
    </row>
    <row r="799" ht="15" customHeight="1" s="39">
      <c r="A799" s="67" t="inlineStr">
        <is>
          <t>MM</t>
        </is>
      </c>
      <c r="B799" s="67" t="n">
        <v>42</v>
      </c>
      <c r="C799" s="67" t="n">
        <v>3</v>
      </c>
      <c r="D799" s="67" t="n">
        <v>2</v>
      </c>
      <c r="E799" s="67" t="n">
        <v>3</v>
      </c>
      <c r="F799" s="67" t="n">
        <v>2</v>
      </c>
      <c r="G799" s="67" t="n">
        <v>1</v>
      </c>
      <c r="H799" s="67" t="n">
        <v>3</v>
      </c>
      <c r="I799" s="67" t="n">
        <v>18</v>
      </c>
      <c r="J799" s="67" t="n">
        <v>18</v>
      </c>
      <c r="K799" s="67" t="n">
        <v>1</v>
      </c>
      <c r="L799" s="67" t="n">
        <v>1</v>
      </c>
      <c r="M799" s="67" t="n">
        <v>10</v>
      </c>
      <c r="N799" s="67" t="n">
        <v>10</v>
      </c>
      <c r="O799" s="67" t="n">
        <v>0</v>
      </c>
      <c r="P799" s="67" t="n">
        <v>0</v>
      </c>
      <c r="Q799" s="66" t="inlineStr">
        <is>
          <t>Upgrade</t>
        </is>
      </c>
      <c r="Z799" s="66">
        <f>"MEDIUM|"&amp;A799</f>
        <v/>
      </c>
      <c r="AA799" s="66">
        <f>Q799&amp;"|"&amp;Z799</f>
        <v/>
      </c>
    </row>
    <row r="800" ht="15" customHeight="1" s="39">
      <c r="A800" s="67" t="inlineStr">
        <is>
          <t>PP</t>
        </is>
      </c>
      <c r="B800" s="67" t="n">
        <v>42</v>
      </c>
      <c r="C800" s="67" t="n">
        <v>3</v>
      </c>
      <c r="D800" s="67" t="n">
        <v>2</v>
      </c>
      <c r="E800" s="67" t="n">
        <v>3</v>
      </c>
      <c r="F800" s="67" t="n">
        <v>2</v>
      </c>
      <c r="G800" s="67" t="n">
        <v>1</v>
      </c>
      <c r="H800" s="67" t="n">
        <v>3</v>
      </c>
      <c r="I800" s="67" t="n">
        <v>18</v>
      </c>
      <c r="J800" s="67" t="n">
        <v>18</v>
      </c>
      <c r="K800" s="67" t="n">
        <v>1</v>
      </c>
      <c r="L800" s="67" t="n">
        <v>1</v>
      </c>
      <c r="M800" s="67" t="n">
        <v>10</v>
      </c>
      <c r="N800" s="67" t="n">
        <v>10</v>
      </c>
      <c r="O800" s="67" t="n">
        <v>0</v>
      </c>
      <c r="P800" s="67" t="n">
        <v>0</v>
      </c>
      <c r="Q800" s="66" t="inlineStr">
        <is>
          <t>Upgrade</t>
        </is>
      </c>
      <c r="Z800" s="66">
        <f>"MEDIUM|"&amp;A800</f>
        <v/>
      </c>
      <c r="AA800" s="66">
        <f>Q800&amp;"|"&amp;Z800</f>
        <v/>
      </c>
    </row>
    <row r="801" ht="15" customHeight="1" s="39">
      <c r="A801" s="67" t="inlineStr">
        <is>
          <t>SD</t>
        </is>
      </c>
      <c r="B801" s="67" t="n">
        <v>42</v>
      </c>
      <c r="C801" s="67" t="n">
        <v>3</v>
      </c>
      <c r="D801" s="67" t="n">
        <v>2</v>
      </c>
      <c r="E801" s="67" t="n">
        <v>3</v>
      </c>
      <c r="F801" s="67" t="n">
        <v>2</v>
      </c>
      <c r="G801" s="67" t="n">
        <v>1</v>
      </c>
      <c r="H801" s="67" t="n">
        <v>2</v>
      </c>
      <c r="I801" s="67" t="n">
        <v>18</v>
      </c>
      <c r="J801" s="67" t="n">
        <v>18</v>
      </c>
      <c r="K801" s="67" t="n">
        <v>1</v>
      </c>
      <c r="L801" s="67" t="n">
        <v>1</v>
      </c>
      <c r="M801" s="67" t="n">
        <v>8</v>
      </c>
      <c r="N801" s="67" t="n">
        <v>8</v>
      </c>
      <c r="O801" s="67" t="n">
        <v>0</v>
      </c>
      <c r="P801" s="67" t="n">
        <v>0</v>
      </c>
      <c r="Q801" s="66" t="inlineStr">
        <is>
          <t>Upgrade</t>
        </is>
      </c>
      <c r="Z801" s="66">
        <f>"MEDIUM|"&amp;A801</f>
        <v/>
      </c>
      <c r="AA801" s="66">
        <f>Q801&amp;"|"&amp;Z801</f>
        <v/>
      </c>
    </row>
    <row r="802" ht="15" customHeight="1" s="39">
      <c r="A802" s="67" t="inlineStr">
        <is>
          <t>QM</t>
        </is>
      </c>
      <c r="B802" s="67" t="n">
        <v>32</v>
      </c>
      <c r="C802" s="67" t="n">
        <v>2</v>
      </c>
      <c r="D802" s="67" t="n">
        <v>1</v>
      </c>
      <c r="E802" s="67" t="n">
        <v>2</v>
      </c>
      <c r="F802" s="67" t="n">
        <v>2</v>
      </c>
      <c r="G802" s="67" t="n">
        <v>0.5</v>
      </c>
      <c r="H802" s="67" t="n">
        <v>3</v>
      </c>
      <c r="I802" s="67" t="n">
        <v>18</v>
      </c>
      <c r="J802" s="67" t="n">
        <v>18</v>
      </c>
      <c r="K802" s="67" t="n">
        <v>1</v>
      </c>
      <c r="L802" s="67" t="n">
        <v>0.5</v>
      </c>
      <c r="M802" s="67" t="n">
        <v>8</v>
      </c>
      <c r="N802" s="67" t="n">
        <v>8</v>
      </c>
      <c r="O802" s="67" t="n">
        <v>0</v>
      </c>
      <c r="P802" s="67" t="n">
        <v>0</v>
      </c>
      <c r="Q802" s="66" t="inlineStr">
        <is>
          <t>Upgrade</t>
        </is>
      </c>
      <c r="Z802" s="66">
        <f>"MEDIUM|"&amp;A802</f>
        <v/>
      </c>
      <c r="AA802" s="66">
        <f>Q802&amp;"|"&amp;Z802</f>
        <v/>
      </c>
    </row>
    <row r="803" ht="15" customHeight="1" s="39">
      <c r="A803" s="67" t="inlineStr">
        <is>
          <t>PM</t>
        </is>
      </c>
      <c r="B803" s="67" t="n">
        <v>24</v>
      </c>
      <c r="C803" s="67" t="n">
        <v>2</v>
      </c>
      <c r="D803" s="67" t="n">
        <v>1</v>
      </c>
      <c r="E803" s="67" t="n">
        <v>2</v>
      </c>
      <c r="F803" s="67" t="n">
        <v>2</v>
      </c>
      <c r="G803" s="67" t="n">
        <v>0.5</v>
      </c>
      <c r="H803" s="67" t="n">
        <v>2</v>
      </c>
      <c r="I803" s="67" t="n">
        <v>8</v>
      </c>
      <c r="J803" s="67" t="n">
        <v>8</v>
      </c>
      <c r="K803" s="67" t="n">
        <v>1</v>
      </c>
      <c r="L803" s="67" t="n">
        <v>0.5</v>
      </c>
      <c r="M803" s="67" t="n">
        <v>4</v>
      </c>
      <c r="N803" s="67" t="n">
        <v>4</v>
      </c>
      <c r="O803" s="67" t="n">
        <v>0</v>
      </c>
      <c r="P803" s="67" t="n">
        <v>0</v>
      </c>
      <c r="Q803" s="66" t="inlineStr">
        <is>
          <t>Upgrade</t>
        </is>
      </c>
      <c r="Z803" s="66">
        <f>"MEDIUM|"&amp;A803</f>
        <v/>
      </c>
      <c r="AA803" s="66">
        <f>Q803&amp;"|"&amp;Z803</f>
        <v/>
      </c>
    </row>
    <row r="804" ht="15" customHeight="1" s="39">
      <c r="A804" s="67" t="inlineStr">
        <is>
          <t>PS</t>
        </is>
      </c>
      <c r="B804" s="67" t="n">
        <v>24</v>
      </c>
      <c r="C804" s="67" t="n">
        <v>2</v>
      </c>
      <c r="D804" s="67" t="n">
        <v>1</v>
      </c>
      <c r="E804" s="67" t="n">
        <v>2</v>
      </c>
      <c r="F804" s="67" t="n">
        <v>2</v>
      </c>
      <c r="G804" s="67" t="n">
        <v>0.5</v>
      </c>
      <c r="H804" s="67" t="n">
        <v>2</v>
      </c>
      <c r="I804" s="67" t="n">
        <v>6</v>
      </c>
      <c r="J804" s="67" t="n">
        <v>6</v>
      </c>
      <c r="K804" s="67" t="n">
        <v>1</v>
      </c>
      <c r="L804" s="67" t="n">
        <v>0.5</v>
      </c>
      <c r="M804" s="67" t="n">
        <v>4</v>
      </c>
      <c r="N804" s="67" t="n">
        <v>4</v>
      </c>
      <c r="O804" s="67" t="n">
        <v>0</v>
      </c>
      <c r="P804" s="67" t="n">
        <v>0</v>
      </c>
      <c r="Q804" s="66" t="inlineStr">
        <is>
          <t>Upgrade</t>
        </is>
      </c>
      <c r="Z804" s="66">
        <f>"MEDIUM|"&amp;A804</f>
        <v/>
      </c>
      <c r="AA804" s="66">
        <f>Q804&amp;"|"&amp;Z804</f>
        <v/>
      </c>
    </row>
    <row r="805" ht="15" customHeight="1" s="39">
      <c r="A805" s="67" t="inlineStr">
        <is>
          <t>MII/DM</t>
        </is>
      </c>
      <c r="B805" s="67" t="n">
        <v>0</v>
      </c>
      <c r="C805" s="67" t="n">
        <v>0</v>
      </c>
      <c r="D805" s="67" t="n">
        <v>0</v>
      </c>
      <c r="E805" s="67" t="n">
        <v>0</v>
      </c>
      <c r="F805" s="67" t="n">
        <v>0</v>
      </c>
      <c r="G805" s="67" t="n">
        <v>0</v>
      </c>
      <c r="H805" s="67" t="n">
        <v>0</v>
      </c>
      <c r="I805" s="67" t="n">
        <v>0</v>
      </c>
      <c r="J805" s="67" t="n">
        <v>0</v>
      </c>
      <c r="K805" s="67" t="n">
        <v>0</v>
      </c>
      <c r="L805" s="67" t="n">
        <v>0</v>
      </c>
      <c r="M805" s="67" t="n">
        <v>0</v>
      </c>
      <c r="N805" s="67" t="n">
        <v>0</v>
      </c>
      <c r="O805" s="67" t="n">
        <v>0</v>
      </c>
      <c r="P805" s="67" t="n">
        <v>0</v>
      </c>
      <c r="Q805" s="66" t="inlineStr">
        <is>
          <t>Upgrade</t>
        </is>
      </c>
      <c r="Z805" s="66">
        <f>"MEDIUM|"&amp;A805</f>
        <v/>
      </c>
      <c r="AA805" s="66">
        <f>Q805&amp;"|"&amp;Z805</f>
        <v/>
      </c>
    </row>
    <row r="806" ht="15" customHeight="1" s="39">
      <c r="A806" s="67" t="inlineStr">
        <is>
          <t>PM Mobility</t>
        </is>
      </c>
      <c r="B806" s="67" t="n">
        <v>0</v>
      </c>
      <c r="C806" s="67" t="n">
        <v>0</v>
      </c>
      <c r="D806" s="67" t="n">
        <v>0</v>
      </c>
      <c r="E806" s="67" t="n">
        <v>0</v>
      </c>
      <c r="F806" s="67" t="n">
        <v>0</v>
      </c>
      <c r="G806" s="67" t="n">
        <v>0</v>
      </c>
      <c r="H806" s="67" t="n">
        <v>0</v>
      </c>
      <c r="I806" s="67" t="n">
        <v>0</v>
      </c>
      <c r="J806" s="67" t="n">
        <v>0</v>
      </c>
      <c r="K806" s="67" t="n">
        <v>0</v>
      </c>
      <c r="L806" s="67" t="n">
        <v>0</v>
      </c>
      <c r="M806" s="67" t="n">
        <v>0</v>
      </c>
      <c r="N806" s="67" t="n">
        <v>0</v>
      </c>
      <c r="O806" s="67" t="n">
        <v>0</v>
      </c>
      <c r="P806" s="67" t="n">
        <v>0</v>
      </c>
      <c r="Q806" s="66" t="inlineStr">
        <is>
          <t>Upgrade</t>
        </is>
      </c>
      <c r="Z806" s="66">
        <f>"MEDIUM|"&amp;A806</f>
        <v/>
      </c>
      <c r="AA806" s="66">
        <f>Q806&amp;"|"&amp;Z806</f>
        <v/>
      </c>
    </row>
    <row r="807" ht="15" customHeight="1" s="39">
      <c r="A807" s="67" t="inlineStr">
        <is>
          <t>Basic EWM</t>
        </is>
      </c>
      <c r="B807" s="67" t="n">
        <v>40</v>
      </c>
      <c r="C807" s="67" t="n">
        <v>3</v>
      </c>
      <c r="D807" s="67" t="n">
        <v>2</v>
      </c>
      <c r="E807" s="67" t="n">
        <v>3</v>
      </c>
      <c r="F807" s="67" t="n">
        <v>2</v>
      </c>
      <c r="G807" s="67" t="n">
        <v>1</v>
      </c>
      <c r="H807" s="67" t="n">
        <v>2</v>
      </c>
      <c r="I807" s="67" t="n">
        <v>18</v>
      </c>
      <c r="J807" s="67" t="n">
        <v>18</v>
      </c>
      <c r="K807" s="67" t="n">
        <v>1</v>
      </c>
      <c r="L807" s="67" t="n">
        <v>1</v>
      </c>
      <c r="M807" s="67" t="n">
        <v>8</v>
      </c>
      <c r="N807" s="67" t="n">
        <v>8</v>
      </c>
      <c r="O807" s="67" t="n">
        <v>0</v>
      </c>
      <c r="P807" s="67" t="n">
        <v>0</v>
      </c>
      <c r="Q807" s="66" t="inlineStr">
        <is>
          <t>Upgrade</t>
        </is>
      </c>
      <c r="Z807" s="66">
        <f>"MEDIUM|"&amp;A807</f>
        <v/>
      </c>
      <c r="AA807" s="66">
        <f>Q807&amp;"|"&amp;Z807</f>
        <v/>
      </c>
    </row>
    <row r="808" ht="15" customHeight="1" s="39">
      <c r="A808" s="67" t="inlineStr">
        <is>
          <t>Advanced EWM</t>
        </is>
      </c>
      <c r="B808" s="67" t="n">
        <v>0</v>
      </c>
      <c r="C808" s="67" t="n">
        <v>0</v>
      </c>
      <c r="D808" s="67" t="n">
        <v>0</v>
      </c>
      <c r="E808" s="67" t="n">
        <v>0</v>
      </c>
      <c r="F808" s="67" t="n">
        <v>0</v>
      </c>
      <c r="G808" s="67" t="n">
        <v>0</v>
      </c>
      <c r="H808" s="67" t="n">
        <v>0</v>
      </c>
      <c r="I808" s="67" t="n">
        <v>0</v>
      </c>
      <c r="J808" s="67" t="n">
        <v>0</v>
      </c>
      <c r="K808" s="67" t="n">
        <v>0</v>
      </c>
      <c r="L808" s="67" t="n">
        <v>0</v>
      </c>
      <c r="M808" s="67" t="n">
        <v>0</v>
      </c>
      <c r="N808" s="67" t="n">
        <v>0</v>
      </c>
      <c r="O808" s="67" t="n">
        <v>0</v>
      </c>
      <c r="P808" s="67" t="n">
        <v>0</v>
      </c>
      <c r="Q808" s="66" t="inlineStr">
        <is>
          <t>Upgrade</t>
        </is>
      </c>
      <c r="Z808" s="66">
        <f>"MEDIUM|"&amp;A808</f>
        <v/>
      </c>
      <c r="AA808" s="66">
        <f>Q808&amp;"|"&amp;Z808</f>
        <v/>
      </c>
    </row>
    <row r="809" ht="15" customHeight="1" s="39">
      <c r="A809" s="67" t="inlineStr">
        <is>
          <t>TM</t>
        </is>
      </c>
      <c r="B809" s="67" t="n">
        <v>24</v>
      </c>
      <c r="C809" s="67" t="n">
        <v>3</v>
      </c>
      <c r="D809" s="67" t="n">
        <v>2</v>
      </c>
      <c r="E809" s="67" t="n">
        <v>2</v>
      </c>
      <c r="F809" s="67" t="n">
        <v>2</v>
      </c>
      <c r="G809" s="67" t="n">
        <v>1</v>
      </c>
      <c r="H809" s="67" t="n">
        <v>2</v>
      </c>
      <c r="I809" s="67" t="n">
        <v>15</v>
      </c>
      <c r="J809" s="67" t="n">
        <v>15</v>
      </c>
      <c r="K809" s="67" t="n">
        <v>1</v>
      </c>
      <c r="L809" s="67" t="n">
        <v>1</v>
      </c>
      <c r="M809" s="67" t="n">
        <v>4</v>
      </c>
      <c r="N809" s="67" t="n">
        <v>6</v>
      </c>
      <c r="O809" s="67" t="n">
        <v>0</v>
      </c>
      <c r="P809" s="67" t="n">
        <v>0</v>
      </c>
      <c r="Q809" s="66" t="inlineStr">
        <is>
          <t>Upgrade</t>
        </is>
      </c>
      <c r="Z809" s="66">
        <f>"MEDIUM|"&amp;A809</f>
        <v/>
      </c>
      <c r="AA809" s="66">
        <f>Q809&amp;"|"&amp;Z809</f>
        <v/>
      </c>
    </row>
    <row r="810" ht="15" customHeight="1" s="39">
      <c r="A810" s="67" t="inlineStr">
        <is>
          <t>PPDS</t>
        </is>
      </c>
      <c r="B810" s="67" t="n">
        <v>25</v>
      </c>
      <c r="C810" s="67" t="n">
        <v>2</v>
      </c>
      <c r="D810" s="67" t="n">
        <v>2</v>
      </c>
      <c r="E810" s="67" t="n">
        <v>3</v>
      </c>
      <c r="F810" s="67" t="n">
        <v>3</v>
      </c>
      <c r="G810" s="67" t="n">
        <v>0.5</v>
      </c>
      <c r="H810" s="67" t="n">
        <v>0.5</v>
      </c>
      <c r="I810" s="67" t="n">
        <v>7</v>
      </c>
      <c r="J810" s="67" t="n">
        <v>7</v>
      </c>
      <c r="K810" s="67" t="n">
        <v>0.5</v>
      </c>
      <c r="L810" s="67" t="n">
        <v>0.5</v>
      </c>
      <c r="M810" s="67" t="n">
        <v>2</v>
      </c>
      <c r="N810" s="67" t="n">
        <v>2</v>
      </c>
      <c r="O810" s="67" t="n">
        <v>0</v>
      </c>
      <c r="P810" s="67" t="n">
        <v>0</v>
      </c>
      <c r="Q810" s="66" t="inlineStr">
        <is>
          <t>Upgrade</t>
        </is>
      </c>
      <c r="Z810" s="66">
        <f>"MEDIUM|"&amp;A810</f>
        <v/>
      </c>
      <c r="AA810" s="66">
        <f>Q810&amp;"|"&amp;Z810</f>
        <v/>
      </c>
    </row>
    <row r="811" ht="15" customHeight="1" s="39">
      <c r="A811" s="67" t="inlineStr">
        <is>
          <t>ABAP</t>
        </is>
      </c>
      <c r="B811" s="67" t="n">
        <v>0</v>
      </c>
      <c r="C811" s="67" t="n">
        <v>0</v>
      </c>
      <c r="D811" s="67" t="n">
        <v>0</v>
      </c>
      <c r="E811" s="67" t="n">
        <v>0</v>
      </c>
      <c r="F811" s="67" t="n">
        <v>0</v>
      </c>
      <c r="G811" s="67" t="n">
        <v>0</v>
      </c>
      <c r="H811" s="67" t="n">
        <v>0</v>
      </c>
      <c r="I811" s="67" t="n">
        <v>0</v>
      </c>
      <c r="J811" s="67" t="n">
        <v>0</v>
      </c>
      <c r="K811" s="67" t="n">
        <v>0</v>
      </c>
      <c r="L811" s="67" t="n">
        <v>0</v>
      </c>
      <c r="M811" s="67" t="n">
        <v>0</v>
      </c>
      <c r="N811" s="67" t="n">
        <v>0</v>
      </c>
      <c r="O811" s="67" t="n">
        <v>0</v>
      </c>
      <c r="P811" s="67" t="n">
        <v>0</v>
      </c>
      <c r="Q811" s="66" t="inlineStr">
        <is>
          <t>Upgrade</t>
        </is>
      </c>
      <c r="Z811" s="66">
        <f>"MEDIUM|"&amp;A811</f>
        <v/>
      </c>
      <c r="AA811" s="66">
        <f>Q811&amp;"|"&amp;Z811</f>
        <v/>
      </c>
    </row>
    <row r="812" ht="15" customHeight="1" s="39">
      <c r="A812" s="67" t="inlineStr">
        <is>
          <t>BASIS</t>
        </is>
      </c>
      <c r="B812" s="67" t="n">
        <v>0</v>
      </c>
      <c r="C812" s="67" t="n">
        <v>0</v>
      </c>
      <c r="D812" s="67" t="n">
        <v>0</v>
      </c>
      <c r="E812" s="67" t="n">
        <v>0</v>
      </c>
      <c r="F812" s="67" t="n">
        <v>0</v>
      </c>
      <c r="G812" s="67" t="n">
        <v>0</v>
      </c>
      <c r="H812" s="67" t="n">
        <v>0</v>
      </c>
      <c r="I812" s="67" t="n">
        <v>0</v>
      </c>
      <c r="J812" s="67" t="n">
        <v>0</v>
      </c>
      <c r="K812" s="67" t="n">
        <v>0</v>
      </c>
      <c r="L812" s="67" t="n">
        <v>0</v>
      </c>
      <c r="M812" s="67" t="n">
        <v>0</v>
      </c>
      <c r="N812" s="67" t="n">
        <v>0</v>
      </c>
      <c r="O812" s="67" t="n">
        <v>0</v>
      </c>
      <c r="P812" s="67" t="n">
        <v>0</v>
      </c>
      <c r="Q812" s="66" t="inlineStr">
        <is>
          <t>Upgrade</t>
        </is>
      </c>
      <c r="Z812" s="66">
        <f>"MEDIUM|"&amp;A812</f>
        <v/>
      </c>
      <c r="AA812" s="66">
        <f>Q812&amp;"|"&amp;Z812</f>
        <v/>
      </c>
    </row>
    <row r="813" ht="15" customHeight="1" s="39">
      <c r="A813" s="67" t="inlineStr">
        <is>
          <t>E-Fatura/Arşiv</t>
        </is>
      </c>
      <c r="B813" s="67" t="n">
        <v>4</v>
      </c>
      <c r="C813" s="67" t="n">
        <v>1</v>
      </c>
      <c r="D813" s="67" t="n">
        <v>0</v>
      </c>
      <c r="E813" s="67" t="n">
        <v>2</v>
      </c>
      <c r="F813" s="67" t="n">
        <v>2</v>
      </c>
      <c r="G813" s="67" t="n">
        <v>1</v>
      </c>
      <c r="H813" s="67" t="n">
        <v>1</v>
      </c>
      <c r="I813" s="67" t="n">
        <v>3</v>
      </c>
      <c r="J813" s="67" t="n">
        <v>3</v>
      </c>
      <c r="K813" s="67" t="n">
        <v>0</v>
      </c>
      <c r="L813" s="67" t="n">
        <v>1</v>
      </c>
      <c r="M813" s="67" t="n">
        <v>1</v>
      </c>
      <c r="N813" s="67" t="n">
        <v>0</v>
      </c>
      <c r="O813" s="67" t="n">
        <v>0</v>
      </c>
      <c r="P813" s="67" t="n">
        <v>0</v>
      </c>
      <c r="Q813" s="66" t="inlineStr">
        <is>
          <t>Upgrade</t>
        </is>
      </c>
      <c r="Z813" s="66">
        <f>"MEDIUM|"&amp;A813</f>
        <v/>
      </c>
      <c r="AA813" s="66">
        <f>Q813&amp;"|"&amp;Z813</f>
        <v/>
      </c>
    </row>
    <row r="814" ht="15" customHeight="1" s="39">
      <c r="A814" s="67" t="inlineStr">
        <is>
          <t>E-İrsaliye</t>
        </is>
      </c>
      <c r="B814" s="67" t="n">
        <v>4</v>
      </c>
      <c r="C814" s="67" t="n">
        <v>1</v>
      </c>
      <c r="D814" s="67" t="n">
        <v>0</v>
      </c>
      <c r="E814" s="67" t="n">
        <v>2</v>
      </c>
      <c r="F814" s="67" t="n">
        <v>2</v>
      </c>
      <c r="G814" s="67" t="n">
        <v>1</v>
      </c>
      <c r="H814" s="67" t="n">
        <v>1</v>
      </c>
      <c r="I814" s="67" t="n">
        <v>3</v>
      </c>
      <c r="J814" s="67" t="n">
        <v>3</v>
      </c>
      <c r="K814" s="67" t="n">
        <v>0</v>
      </c>
      <c r="L814" s="67" t="n">
        <v>1</v>
      </c>
      <c r="M814" s="67" t="n">
        <v>1</v>
      </c>
      <c r="N814" s="67" t="n">
        <v>0</v>
      </c>
      <c r="O814" s="67" t="n">
        <v>0</v>
      </c>
      <c r="P814" s="67" t="n">
        <v>0</v>
      </c>
      <c r="Q814" s="66" t="inlineStr">
        <is>
          <t>Upgrade</t>
        </is>
      </c>
      <c r="Z814" s="66">
        <f>"MEDIUM|"&amp;A814</f>
        <v/>
      </c>
      <c r="AA814" s="66">
        <f>Q814&amp;"|"&amp;Z814</f>
        <v/>
      </c>
    </row>
    <row r="815" ht="15" customHeight="1" s="39">
      <c r="A815" s="67" t="inlineStr">
        <is>
          <t>E-Defter</t>
        </is>
      </c>
      <c r="B815" s="67" t="n">
        <v>3</v>
      </c>
      <c r="C815" s="67" t="n">
        <v>1</v>
      </c>
      <c r="D815" s="67" t="n">
        <v>0</v>
      </c>
      <c r="E815" s="67" t="n">
        <v>2</v>
      </c>
      <c r="F815" s="67" t="n">
        <v>2</v>
      </c>
      <c r="G815" s="67" t="n">
        <v>1</v>
      </c>
      <c r="H815" s="67" t="n">
        <v>1</v>
      </c>
      <c r="I815" s="67" t="n">
        <v>0</v>
      </c>
      <c r="J815" s="67" t="n">
        <v>0</v>
      </c>
      <c r="K815" s="67" t="n">
        <v>0</v>
      </c>
      <c r="L815" s="67" t="n">
        <v>3</v>
      </c>
      <c r="M815" s="67" t="n">
        <v>1</v>
      </c>
      <c r="N815" s="67" t="n">
        <v>0</v>
      </c>
      <c r="O815" s="67" t="n">
        <v>0</v>
      </c>
      <c r="P815" s="67" t="n">
        <v>0</v>
      </c>
      <c r="Q815" s="66" t="inlineStr">
        <is>
          <t>Upgrade</t>
        </is>
      </c>
      <c r="Z815" s="66">
        <f>"MEDIUM|"&amp;A815</f>
        <v/>
      </c>
      <c r="AA815" s="66">
        <f>Q815&amp;"|"&amp;Z815</f>
        <v/>
      </c>
    </row>
    <row r="816" ht="15" customHeight="1" s="39">
      <c r="A816" s="67" t="inlineStr">
        <is>
          <t>E-Hesap Özeti</t>
        </is>
      </c>
      <c r="B816" s="67" t="n">
        <v>5</v>
      </c>
      <c r="C816" s="67" t="n">
        <v>1</v>
      </c>
      <c r="D816" s="67" t="n">
        <v>0</v>
      </c>
      <c r="E816" s="67" t="n">
        <v>4</v>
      </c>
      <c r="F816" s="67" t="n">
        <v>3</v>
      </c>
      <c r="G816" s="67" t="n">
        <v>1</v>
      </c>
      <c r="H816" s="67" t="n">
        <v>0</v>
      </c>
      <c r="I816" s="67" t="n">
        <v>2</v>
      </c>
      <c r="J816" s="67" t="n">
        <v>2</v>
      </c>
      <c r="K816" s="67" t="n">
        <v>0</v>
      </c>
      <c r="L816" s="67" t="n">
        <v>2</v>
      </c>
      <c r="M816" s="67" t="n">
        <v>1</v>
      </c>
      <c r="N816" s="67" t="n">
        <v>0</v>
      </c>
      <c r="O816" s="67" t="n">
        <v>0</v>
      </c>
      <c r="P816" s="67" t="n">
        <v>0</v>
      </c>
      <c r="Q816" s="66" t="inlineStr">
        <is>
          <t>Upgrade</t>
        </is>
      </c>
      <c r="Z816" s="66">
        <f>"MEDIUM|"&amp;A816</f>
        <v/>
      </c>
      <c r="AA816" s="66">
        <f>Q816&amp;"|"&amp;Z816</f>
        <v/>
      </c>
    </row>
    <row r="817" ht="15" customHeight="1" s="39">
      <c r="A817" s="67" t="inlineStr">
        <is>
          <t>E-Ödeme</t>
        </is>
      </c>
      <c r="B817" s="67" t="n">
        <v>5</v>
      </c>
      <c r="C817" s="67" t="n">
        <v>1</v>
      </c>
      <c r="D817" s="67" t="n">
        <v>0</v>
      </c>
      <c r="E817" s="67" t="n">
        <v>4</v>
      </c>
      <c r="F817" s="67" t="n">
        <v>3</v>
      </c>
      <c r="G817" s="67" t="n">
        <v>1</v>
      </c>
      <c r="H817" s="67" t="n">
        <v>0</v>
      </c>
      <c r="I817" s="67" t="n">
        <v>2</v>
      </c>
      <c r="J817" s="67" t="n">
        <v>2</v>
      </c>
      <c r="K817" s="67" t="n">
        <v>0</v>
      </c>
      <c r="L817" s="67" t="n">
        <v>2</v>
      </c>
      <c r="M817" s="67" t="n">
        <v>1</v>
      </c>
      <c r="N817" s="67" t="n">
        <v>0</v>
      </c>
      <c r="O817" s="67" t="n">
        <v>0</v>
      </c>
      <c r="P817" s="67" t="n">
        <v>0</v>
      </c>
      <c r="Q817" s="66" t="inlineStr">
        <is>
          <t>Upgrade</t>
        </is>
      </c>
      <c r="Z817" s="66">
        <f>"MEDIUM|"&amp;A817</f>
        <v/>
      </c>
      <c r="AA817" s="66">
        <f>Q817&amp;"|"&amp;Z817</f>
        <v/>
      </c>
    </row>
    <row r="818" ht="15" customHeight="1" s="39">
      <c r="A818" s="67" t="inlineStr">
        <is>
          <t>E-Mutabakat</t>
        </is>
      </c>
      <c r="B818" s="67" t="n">
        <v>4</v>
      </c>
      <c r="C818" s="67" t="n">
        <v>1</v>
      </c>
      <c r="D818" s="67" t="n">
        <v>0</v>
      </c>
      <c r="E818" s="67" t="n">
        <v>3</v>
      </c>
      <c r="F818" s="67" t="n">
        <v>3</v>
      </c>
      <c r="G818" s="67" t="n">
        <v>1</v>
      </c>
      <c r="H818" s="67" t="n">
        <v>0</v>
      </c>
      <c r="I818" s="67" t="n">
        <v>2</v>
      </c>
      <c r="J818" s="67" t="n">
        <v>2</v>
      </c>
      <c r="K818" s="67" t="n">
        <v>0</v>
      </c>
      <c r="L818" s="67" t="n">
        <v>2</v>
      </c>
      <c r="M818" s="67" t="n">
        <v>1</v>
      </c>
      <c r="N818" s="67" t="n">
        <v>0</v>
      </c>
      <c r="O818" s="67" t="n">
        <v>0</v>
      </c>
      <c r="P818" s="67" t="n">
        <v>0</v>
      </c>
      <c r="Q818" s="66" t="inlineStr">
        <is>
          <t>Upgrade</t>
        </is>
      </c>
      <c r="Z818" s="66">
        <f>"MEDIUM|"&amp;A818</f>
        <v/>
      </c>
      <c r="AA818" s="66">
        <f>Q818&amp;"|"&amp;Z818</f>
        <v/>
      </c>
    </row>
    <row r="819" ht="15" customHeight="1" s="39">
      <c r="A819" s="67" t="inlineStr">
        <is>
          <t>E-Beyanname</t>
        </is>
      </c>
      <c r="B819" s="67" t="n">
        <v>5</v>
      </c>
      <c r="C819" s="67" t="n">
        <v>2</v>
      </c>
      <c r="D819" s="67" t="n">
        <v>0</v>
      </c>
      <c r="E819" s="67" t="n">
        <v>5</v>
      </c>
      <c r="F819" s="67" t="n">
        <v>3</v>
      </c>
      <c r="G819" s="67" t="n">
        <v>1</v>
      </c>
      <c r="H819" s="67" t="n">
        <v>0</v>
      </c>
      <c r="I819" s="67" t="n">
        <v>0</v>
      </c>
      <c r="J819" s="67" t="n">
        <v>0</v>
      </c>
      <c r="K819" s="67" t="n">
        <v>0</v>
      </c>
      <c r="L819" s="67" t="n">
        <v>4</v>
      </c>
      <c r="M819" s="67" t="n">
        <v>1</v>
      </c>
      <c r="N819" s="67" t="n">
        <v>0</v>
      </c>
      <c r="O819" s="67" t="n">
        <v>0</v>
      </c>
      <c r="P819" s="67" t="n">
        <v>0</v>
      </c>
      <c r="Q819" s="66" t="inlineStr">
        <is>
          <t>Upgrade</t>
        </is>
      </c>
      <c r="Z819" s="66">
        <f>"MEDIUM|"&amp;A819</f>
        <v/>
      </c>
      <c r="AA819" s="66">
        <f>Q819&amp;"|"&amp;Z819</f>
        <v/>
      </c>
    </row>
    <row r="820" ht="15" customHeight="1" s="39">
      <c r="A820" s="67" t="inlineStr">
        <is>
          <t>Gelen Fatura Otomasyon</t>
        </is>
      </c>
      <c r="B820" s="67" t="n">
        <v>5</v>
      </c>
      <c r="C820" s="67" t="n">
        <v>1</v>
      </c>
      <c r="D820" s="67" t="n">
        <v>0</v>
      </c>
      <c r="E820" s="67" t="n">
        <v>3</v>
      </c>
      <c r="F820" s="67" t="n">
        <v>3</v>
      </c>
      <c r="G820" s="67" t="n">
        <v>1</v>
      </c>
      <c r="H820" s="67" t="n">
        <v>0</v>
      </c>
      <c r="I820" s="67" t="n">
        <v>2</v>
      </c>
      <c r="J820" s="67" t="n">
        <v>2</v>
      </c>
      <c r="K820" s="67" t="n">
        <v>0</v>
      </c>
      <c r="L820" s="67" t="n">
        <v>2</v>
      </c>
      <c r="M820" s="67" t="n">
        <v>1</v>
      </c>
      <c r="N820" s="67" t="n">
        <v>0</v>
      </c>
      <c r="O820" s="67" t="n">
        <v>0</v>
      </c>
      <c r="P820" s="67" t="n">
        <v>0</v>
      </c>
      <c r="Q820" s="66" t="inlineStr">
        <is>
          <t>Upgrade</t>
        </is>
      </c>
      <c r="Z820" s="66">
        <f>"MEDIUM|"&amp;A820</f>
        <v/>
      </c>
      <c r="AA820" s="66">
        <f>Q820&amp;"|"&amp;Z820</f>
        <v/>
      </c>
    </row>
    <row r="821" ht="15" customHeight="1" s="39">
      <c r="A821" s="67" t="inlineStr">
        <is>
          <t>GLASSWING</t>
        </is>
      </c>
      <c r="B821" s="67" t="n">
        <v>35</v>
      </c>
      <c r="C821" s="67" t="n">
        <v>3</v>
      </c>
      <c r="D821" s="67" t="n">
        <v>1</v>
      </c>
      <c r="E821" s="67" t="n">
        <v>8</v>
      </c>
      <c r="F821" s="67" t="n">
        <v>6</v>
      </c>
      <c r="G821" s="67" t="n">
        <v>1</v>
      </c>
      <c r="H821" s="67" t="n">
        <v>0</v>
      </c>
      <c r="I821" s="67" t="n">
        <v>15</v>
      </c>
      <c r="J821" s="67" t="n">
        <v>15</v>
      </c>
      <c r="K821" s="67" t="n">
        <v>8</v>
      </c>
      <c r="L821" s="67" t="n">
        <v>1</v>
      </c>
      <c r="M821" s="67" t="n">
        <v>2</v>
      </c>
      <c r="N821" s="67" t="n">
        <v>5</v>
      </c>
      <c r="O821" s="67" t="n">
        <v>0</v>
      </c>
      <c r="P821" s="67" t="n">
        <v>0</v>
      </c>
      <c r="Q821" s="66" t="inlineStr">
        <is>
          <t>Upgrade</t>
        </is>
      </c>
      <c r="Z821" s="66">
        <f>"MEDIUM|"&amp;A821</f>
        <v/>
      </c>
      <c r="AA821" s="66">
        <f>Q821&amp;"|"&amp;Z821</f>
        <v/>
      </c>
    </row>
    <row r="822" ht="15" customHeight="1" s="39">
      <c r="A822" s="67" t="inlineStr">
        <is>
          <t>COMMODITY</t>
        </is>
      </c>
      <c r="B822" s="67" t="n">
        <v>65</v>
      </c>
      <c r="C822" s="67" t="n">
        <v>7</v>
      </c>
      <c r="D822" s="67" t="n">
        <v>2</v>
      </c>
      <c r="E822" s="67" t="n">
        <v>8</v>
      </c>
      <c r="F822" s="67" t="n">
        <v>7</v>
      </c>
      <c r="G822" s="67" t="n">
        <v>2</v>
      </c>
      <c r="H822" s="67" t="n">
        <v>1</v>
      </c>
      <c r="I822" s="67" t="n">
        <v>20</v>
      </c>
      <c r="J822" s="67" t="n">
        <v>20</v>
      </c>
      <c r="K822" s="67" t="n">
        <v>3</v>
      </c>
      <c r="L822" s="67" t="n">
        <v>2</v>
      </c>
      <c r="M822" s="67" t="n">
        <v>4</v>
      </c>
      <c r="N822" s="67" t="n">
        <v>9</v>
      </c>
      <c r="O822" s="67" t="n">
        <v>0</v>
      </c>
      <c r="P822" s="67" t="n">
        <v>0</v>
      </c>
      <c r="Q822" s="66" t="inlineStr">
        <is>
          <t>Upgrade</t>
        </is>
      </c>
      <c r="Z822" s="66">
        <f>"MEDIUM|"&amp;A822</f>
        <v/>
      </c>
      <c r="AA822" s="66">
        <f>Q822&amp;"|"&amp;Z822</f>
        <v/>
      </c>
    </row>
    <row r="823" ht="15" customHeight="1" s="39">
      <c r="A823" s="67" t="inlineStr">
        <is>
          <t>Dış Ticaret Çözümü</t>
        </is>
      </c>
      <c r="B823" s="67" t="n">
        <v>0</v>
      </c>
      <c r="C823" s="67" t="n">
        <v>0</v>
      </c>
      <c r="D823" s="67" t="n">
        <v>0</v>
      </c>
      <c r="E823" s="67" t="n">
        <v>0</v>
      </c>
      <c r="F823" s="67" t="n">
        <v>0</v>
      </c>
      <c r="G823" s="67" t="n">
        <v>0</v>
      </c>
      <c r="H823" s="67" t="n">
        <v>0</v>
      </c>
      <c r="I823" s="67" t="n">
        <v>0</v>
      </c>
      <c r="J823" s="67" t="n">
        <v>0</v>
      </c>
      <c r="K823" s="67" t="n">
        <v>0</v>
      </c>
      <c r="L823" s="67" t="n">
        <v>0</v>
      </c>
      <c r="M823" s="67" t="n">
        <v>0</v>
      </c>
      <c r="N823" s="67" t="n">
        <v>0</v>
      </c>
      <c r="O823" s="67" t="n">
        <v>0</v>
      </c>
      <c r="P823" s="67" t="n">
        <v>0</v>
      </c>
      <c r="Q823" s="66" t="inlineStr">
        <is>
          <t>Upgrade</t>
        </is>
      </c>
      <c r="Z823" s="66">
        <f>"MEDIUM|"&amp;A823</f>
        <v/>
      </c>
      <c r="AA823" s="66">
        <f>Q823&amp;"|"&amp;Z823</f>
        <v/>
      </c>
    </row>
    <row r="824" ht="15" customHeight="1" s="39">
      <c r="A824" s="67" t="inlineStr">
        <is>
          <t>Seyahat ve Masraf Yönetimi</t>
        </is>
      </c>
      <c r="B824" s="67" t="n">
        <v>0</v>
      </c>
      <c r="C824" s="67" t="n">
        <v>0</v>
      </c>
      <c r="D824" s="67" t="n">
        <v>0</v>
      </c>
      <c r="E824" s="67" t="n">
        <v>0</v>
      </c>
      <c r="F824" s="67" t="n">
        <v>0</v>
      </c>
      <c r="G824" s="67" t="n">
        <v>0</v>
      </c>
      <c r="H824" s="67" t="n">
        <v>0</v>
      </c>
      <c r="I824" s="67" t="n">
        <v>0</v>
      </c>
      <c r="J824" s="67" t="n">
        <v>0</v>
      </c>
      <c r="K824" s="67" t="n">
        <v>0</v>
      </c>
      <c r="L824" s="67" t="n">
        <v>0</v>
      </c>
      <c r="M824" s="67" t="n">
        <v>0</v>
      </c>
      <c r="N824" s="67" t="n">
        <v>0</v>
      </c>
      <c r="O824" s="67" t="n">
        <v>0</v>
      </c>
      <c r="P824" s="67" t="n">
        <v>0</v>
      </c>
      <c r="Q824" s="66" t="inlineStr">
        <is>
          <t>Upgrade</t>
        </is>
      </c>
      <c r="Z824" s="66">
        <f>"MEDIUM|"&amp;A824</f>
        <v/>
      </c>
      <c r="AA824" s="66">
        <f>Q824&amp;"|"&amp;Z824</f>
        <v/>
      </c>
    </row>
    <row r="825" ht="15" customHeight="1" s="39">
      <c r="A825" s="67" t="inlineStr">
        <is>
          <t>NTT Data POS</t>
        </is>
      </c>
      <c r="B825" s="67" t="n">
        <v>0</v>
      </c>
      <c r="C825" s="67" t="n">
        <v>0</v>
      </c>
      <c r="D825" s="67" t="n">
        <v>0</v>
      </c>
      <c r="E825" s="67" t="n">
        <v>0</v>
      </c>
      <c r="F825" s="67" t="n">
        <v>0</v>
      </c>
      <c r="G825" s="67" t="n">
        <v>0</v>
      </c>
      <c r="H825" s="67" t="n">
        <v>0</v>
      </c>
      <c r="I825" s="67" t="n">
        <v>0</v>
      </c>
      <c r="J825" s="67" t="n">
        <v>0</v>
      </c>
      <c r="K825" s="67" t="n">
        <v>0</v>
      </c>
      <c r="L825" s="67" t="n">
        <v>0</v>
      </c>
      <c r="M825" s="67" t="n">
        <v>0</v>
      </c>
      <c r="N825" s="67" t="n">
        <v>0</v>
      </c>
      <c r="O825" s="67" t="n">
        <v>0</v>
      </c>
      <c r="P825" s="67" t="n">
        <v>0</v>
      </c>
      <c r="Q825" s="66" t="inlineStr">
        <is>
          <t>Upgrade</t>
        </is>
      </c>
      <c r="Z825" s="66">
        <f>"MEDIUM|"&amp;A825</f>
        <v/>
      </c>
      <c r="AA825" s="66">
        <f>Q825&amp;"|"&amp;Z825</f>
        <v/>
      </c>
    </row>
    <row r="827" ht="15" customHeight="1" s="39">
      <c r="A827" s="68" t="inlineStr">
        <is>
          <t>LARGE</t>
        </is>
      </c>
      <c r="Q827" s="68" t="inlineStr">
        <is>
          <t>Upgrade</t>
        </is>
      </c>
    </row>
    <row r="828" ht="15" customHeight="1" s="39">
      <c r="A828" s="67">
        <f>INDEX(Translations!$D:$ZZ, MATCH(74,Translations!$A:$A,0), MATCH('Project Information'!$C$4,Translations!$D$1:$ZZ$1,0))</f>
        <v/>
      </c>
      <c r="B828" s="67">
        <f>INDEX(Translations!$D:$ZZ, MATCH(75,Translations!$A:$A,0), MATCH('Project Information'!$C$4,Translations!$D$1:$ZZ$1,0))</f>
        <v/>
      </c>
      <c r="C828" s="67">
        <f>INDEX(Translations!$D:$ZZ, MATCH(76,Translations!$A:$A,0), MATCH('Project Information'!$C$4,Translations!$D$1:$ZZ$1,0))</f>
        <v/>
      </c>
      <c r="D828" s="67">
        <f>INDEX(Translations!$D:$ZZ, MATCH(77,Translations!$A:$A,0), MATCH('Project Information'!$C$4,Translations!$D$1:$ZZ$1,0))</f>
        <v/>
      </c>
      <c r="E828" s="67">
        <f>INDEX(Translations!$D:$ZZ, MATCH(78,Translations!$A:$A,0), MATCH('Project Information'!$C$4,Translations!$D$1:$ZZ$1,0))</f>
        <v/>
      </c>
      <c r="F828" s="67">
        <f>INDEX(Translations!$D:$ZZ, MATCH(79,Translations!$A:$A,0), MATCH('Project Information'!$C$4,Translations!$D$1:$ZZ$1,0))</f>
        <v/>
      </c>
      <c r="G828" s="67">
        <f>INDEX(Translations!$D:$ZZ, MATCH(80,Translations!$A:$A,0), MATCH('Project Information'!$C$4,Translations!$D$1:$ZZ$1,0))</f>
        <v/>
      </c>
      <c r="H828" s="67">
        <f>INDEX(Translations!$D:$ZZ, MATCH(81,Translations!$A:$A,0), MATCH('Project Information'!$C$4,Translations!$D$1:$ZZ$1,0))</f>
        <v/>
      </c>
      <c r="I828" s="67">
        <f>INDEX(Translations!$D:$ZZ, MATCH(82,Translations!$A:$A,0), MATCH('Project Information'!$C$4,Translations!$D$1:$ZZ$1,0))</f>
        <v/>
      </c>
      <c r="J828" s="67">
        <f>INDEX(Translations!$D:$ZZ, MATCH(83,Translations!$A:$A,0), MATCH('Project Information'!$C$4,Translations!$D$1:$ZZ$1,0))</f>
        <v/>
      </c>
      <c r="K828" s="67">
        <f>INDEX(Translations!$D:$ZZ, MATCH(84,Translations!$A:$A,0), MATCH('Project Information'!$C$4,Translations!$D$1:$ZZ$1,0))</f>
        <v/>
      </c>
      <c r="L828" s="67">
        <f>INDEX(Translations!$D:$ZZ, MATCH(85,Translations!$A:$A,0), MATCH('Project Information'!$C$4,Translations!$D$1:$ZZ$1,0))</f>
        <v/>
      </c>
      <c r="M828" s="67">
        <f>INDEX(Translations!$D:$ZZ, MATCH(86,Translations!$A:$A,0), MATCH('Project Information'!$C$4,Translations!$D$1:$ZZ$1,0))</f>
        <v/>
      </c>
      <c r="N828" s="67">
        <f>INDEX(Translations!$D:$ZZ, MATCH(87,Translations!$A:$A,0), MATCH('Project Information'!$C$4,Translations!$D$1:$ZZ$1,0))</f>
        <v/>
      </c>
      <c r="O828" s="67">
        <f>INDEX(Translations!$D:$ZZ, MATCH(88,Translations!$A:$A,0), MATCH('Project Information'!$C$4,Translations!$D$1:$ZZ$1,0))</f>
        <v/>
      </c>
      <c r="P828" s="67">
        <f>INDEX(Translations!$D:$ZZ, MATCH(89,Translations!$A:$A,0), MATCH('Project Information'!$C$4,Translations!$D$1:$ZZ$1,0))</f>
        <v/>
      </c>
      <c r="Q828" s="67" t="inlineStr">
        <is>
          <t>Implementation Type</t>
        </is>
      </c>
      <c r="Z828" s="67">
        <f>INDEX(Translations!$D:$ZZ, MATCH(93,Translations!$A:$A,0), MATCH('Project Information'!$C$4,Translations!$D$1:$ZZ$1,0))</f>
        <v/>
      </c>
      <c r="AA828" s="67" t="inlineStr">
        <is>
          <t>Implementation Key</t>
        </is>
      </c>
    </row>
    <row r="829" ht="15" customHeight="1" s="39">
      <c r="A829" s="67" t="inlineStr">
        <is>
          <t>FI</t>
        </is>
      </c>
      <c r="B829" s="67" t="n">
        <v>245</v>
      </c>
      <c r="C829" s="67" t="n">
        <v>10</v>
      </c>
      <c r="D829" s="67" t="n">
        <v>5</v>
      </c>
      <c r="E829" s="67" t="n">
        <v>5</v>
      </c>
      <c r="F829" s="67" t="n">
        <v>5</v>
      </c>
      <c r="G829" s="67" t="n">
        <v>2</v>
      </c>
      <c r="H829" s="67" t="n">
        <v>3</v>
      </c>
      <c r="I829" s="67" t="n">
        <v>28</v>
      </c>
      <c r="J829" s="67" t="n">
        <v>28</v>
      </c>
      <c r="K829" s="67" t="n">
        <v>3</v>
      </c>
      <c r="L829" s="67" t="n">
        <v>2</v>
      </c>
      <c r="M829" s="67" t="n">
        <v>15</v>
      </c>
      <c r="N829" s="67" t="n">
        <v>15</v>
      </c>
      <c r="O829" s="67" t="n">
        <v>0</v>
      </c>
      <c r="P829" s="67" t="n">
        <v>0</v>
      </c>
      <c r="Q829" s="66" t="inlineStr">
        <is>
          <t>Upgrade</t>
        </is>
      </c>
      <c r="Z829" s="66">
        <f>"LARGE|"&amp;A829</f>
        <v/>
      </c>
      <c r="AA829" s="66">
        <f>Q829&amp;"|"&amp;Z829</f>
        <v/>
      </c>
    </row>
    <row r="830" ht="15" customHeight="1" s="39">
      <c r="A830" s="67" t="inlineStr">
        <is>
          <t>CO</t>
        </is>
      </c>
      <c r="B830" s="67" t="n">
        <v>245</v>
      </c>
      <c r="C830" s="67" t="n">
        <v>10</v>
      </c>
      <c r="D830" s="67" t="n">
        <v>5</v>
      </c>
      <c r="E830" s="67" t="n">
        <v>4</v>
      </c>
      <c r="F830" s="67" t="n">
        <v>5</v>
      </c>
      <c r="G830" s="67" t="n">
        <v>2</v>
      </c>
      <c r="H830" s="67" t="n">
        <v>2</v>
      </c>
      <c r="I830" s="67" t="n">
        <v>28</v>
      </c>
      <c r="J830" s="67" t="n">
        <v>28</v>
      </c>
      <c r="K830" s="67" t="n">
        <v>3</v>
      </c>
      <c r="L830" s="67" t="n">
        <v>2</v>
      </c>
      <c r="M830" s="67" t="n">
        <v>10</v>
      </c>
      <c r="N830" s="67" t="n">
        <v>10</v>
      </c>
      <c r="O830" s="67" t="n">
        <v>0</v>
      </c>
      <c r="P830" s="67" t="n">
        <v>0</v>
      </c>
      <c r="Q830" s="66" t="inlineStr">
        <is>
          <t>Upgrade</t>
        </is>
      </c>
      <c r="Z830" s="66">
        <f>"LARGE|"&amp;A830</f>
        <v/>
      </c>
      <c r="AA830" s="66">
        <f>Q830&amp;"|"&amp;Z830</f>
        <v/>
      </c>
    </row>
    <row r="831" ht="15" customHeight="1" s="39">
      <c r="A831" s="67" t="inlineStr">
        <is>
          <t>TRM</t>
        </is>
      </c>
      <c r="B831" s="67" t="n">
        <v>100</v>
      </c>
      <c r="C831" s="67" t="n">
        <v>4</v>
      </c>
      <c r="D831" s="67" t="n">
        <v>2</v>
      </c>
      <c r="E831" s="67" t="n">
        <v>2</v>
      </c>
      <c r="F831" s="67" t="n">
        <v>3</v>
      </c>
      <c r="G831" s="67" t="n">
        <v>1</v>
      </c>
      <c r="H831" s="67" t="n">
        <v>1</v>
      </c>
      <c r="I831" s="67" t="n">
        <v>10</v>
      </c>
      <c r="J831" s="67" t="n">
        <v>10</v>
      </c>
      <c r="K831" s="67" t="n">
        <v>1</v>
      </c>
      <c r="L831" s="67" t="n">
        <v>1</v>
      </c>
      <c r="M831" s="67" t="n">
        <v>10</v>
      </c>
      <c r="N831" s="67" t="n">
        <v>10</v>
      </c>
      <c r="O831" s="67" t="n">
        <v>0</v>
      </c>
      <c r="P831" s="67" t="n">
        <v>0</v>
      </c>
      <c r="Q831" s="66" t="inlineStr">
        <is>
          <t>Upgrade</t>
        </is>
      </c>
      <c r="Z831" s="66">
        <f>"LARGE|"&amp;A831</f>
        <v/>
      </c>
      <c r="AA831" s="66">
        <f>Q831&amp;"|"&amp;Z831</f>
        <v/>
      </c>
    </row>
    <row r="832" ht="15" customHeight="1" s="39">
      <c r="A832" s="67" t="inlineStr">
        <is>
          <t>CM</t>
        </is>
      </c>
      <c r="B832" s="67" t="n">
        <v>100</v>
      </c>
      <c r="C832" s="67" t="n">
        <v>3</v>
      </c>
      <c r="D832" s="67" t="n">
        <v>2</v>
      </c>
      <c r="E832" s="67" t="n">
        <v>2</v>
      </c>
      <c r="F832" s="67" t="n">
        <v>3</v>
      </c>
      <c r="G832" s="67" t="n">
        <v>1</v>
      </c>
      <c r="H832" s="67" t="n">
        <v>1</v>
      </c>
      <c r="I832" s="67" t="n">
        <v>10</v>
      </c>
      <c r="J832" s="67" t="n">
        <v>10</v>
      </c>
      <c r="K832" s="67" t="n">
        <v>1</v>
      </c>
      <c r="L832" s="67" t="n">
        <v>1</v>
      </c>
      <c r="M832" s="67" t="n">
        <v>5</v>
      </c>
      <c r="N832" s="67" t="n">
        <v>5</v>
      </c>
      <c r="O832" s="67" t="n">
        <v>0</v>
      </c>
      <c r="P832" s="67" t="n">
        <v>0</v>
      </c>
      <c r="Q832" s="66" t="inlineStr">
        <is>
          <t>Upgrade</t>
        </is>
      </c>
      <c r="Z832" s="66">
        <f>"LARGE|"&amp;A832</f>
        <v/>
      </c>
      <c r="AA832" s="66">
        <f>Q832&amp;"|"&amp;Z832</f>
        <v/>
      </c>
    </row>
    <row r="833" ht="15" customHeight="1" s="39">
      <c r="A833" s="67" t="inlineStr">
        <is>
          <t>FM</t>
        </is>
      </c>
      <c r="B833" s="67" t="n">
        <v>100</v>
      </c>
      <c r="C833" s="67" t="n">
        <v>3</v>
      </c>
      <c r="D833" s="67" t="n">
        <v>2</v>
      </c>
      <c r="E833" s="67" t="n">
        <v>2</v>
      </c>
      <c r="F833" s="67" t="n">
        <v>3</v>
      </c>
      <c r="G833" s="67" t="n">
        <v>1</v>
      </c>
      <c r="H833" s="67" t="n">
        <v>1</v>
      </c>
      <c r="I833" s="67" t="n">
        <v>10</v>
      </c>
      <c r="J833" s="67" t="n">
        <v>10</v>
      </c>
      <c r="K833" s="67" t="n">
        <v>1</v>
      </c>
      <c r="L833" s="67" t="n">
        <v>1</v>
      </c>
      <c r="M833" s="67" t="n">
        <v>5</v>
      </c>
      <c r="N833" s="67" t="n">
        <v>5</v>
      </c>
      <c r="O833" s="67" t="n">
        <v>0</v>
      </c>
      <c r="P833" s="67" t="n">
        <v>0</v>
      </c>
      <c r="Q833" s="66" t="inlineStr">
        <is>
          <t>Upgrade</t>
        </is>
      </c>
      <c r="Z833" s="66">
        <f>"LARGE|"&amp;A833</f>
        <v/>
      </c>
      <c r="AA833" s="66">
        <f>Q833&amp;"|"&amp;Z833</f>
        <v/>
      </c>
    </row>
    <row r="834" ht="15" customHeight="1" s="39">
      <c r="A834" s="67" t="inlineStr">
        <is>
          <t>RM</t>
        </is>
      </c>
      <c r="B834" s="67" t="n">
        <v>0</v>
      </c>
      <c r="C834" s="67" t="n">
        <v>0</v>
      </c>
      <c r="D834" s="67" t="n">
        <v>0</v>
      </c>
      <c r="E834" s="67" t="n">
        <v>0</v>
      </c>
      <c r="F834" s="67" t="n">
        <v>0</v>
      </c>
      <c r="G834" s="67" t="n">
        <v>0</v>
      </c>
      <c r="H834" s="67" t="n">
        <v>0</v>
      </c>
      <c r="I834" s="67" t="n">
        <v>0</v>
      </c>
      <c r="J834" s="67" t="n">
        <v>0</v>
      </c>
      <c r="K834" s="67" t="n">
        <v>0</v>
      </c>
      <c r="L834" s="67" t="n">
        <v>0</v>
      </c>
      <c r="M834" s="67" t="n">
        <v>0</v>
      </c>
      <c r="N834" s="67" t="n">
        <v>0</v>
      </c>
      <c r="O834" s="67" t="n">
        <v>0</v>
      </c>
      <c r="P834" s="67" t="n">
        <v>0</v>
      </c>
      <c r="Q834" s="66" t="inlineStr">
        <is>
          <t>Upgrade</t>
        </is>
      </c>
      <c r="Z834" s="66">
        <f>"LARGE|"&amp;A834</f>
        <v/>
      </c>
      <c r="AA834" s="66">
        <f>Q834&amp;"|"&amp;Z834</f>
        <v/>
      </c>
    </row>
    <row r="835" ht="15" customHeight="1" s="39">
      <c r="A835" s="67" t="inlineStr">
        <is>
          <t>RE/FX</t>
        </is>
      </c>
      <c r="B835" s="67" t="n">
        <v>0</v>
      </c>
      <c r="C835" s="67" t="n">
        <v>0</v>
      </c>
      <c r="D835" s="67" t="n">
        <v>0</v>
      </c>
      <c r="E835" s="67" t="n">
        <v>0</v>
      </c>
      <c r="F835" s="67" t="n">
        <v>0</v>
      </c>
      <c r="G835" s="67" t="n">
        <v>0</v>
      </c>
      <c r="H835" s="67" t="n">
        <v>0</v>
      </c>
      <c r="I835" s="67" t="n">
        <v>0</v>
      </c>
      <c r="J835" s="67" t="n">
        <v>0</v>
      </c>
      <c r="K835" s="67" t="n">
        <v>0</v>
      </c>
      <c r="L835" s="67" t="n">
        <v>0</v>
      </c>
      <c r="M835" s="67" t="n">
        <v>0</v>
      </c>
      <c r="N835" s="67" t="n">
        <v>0</v>
      </c>
      <c r="O835" s="67" t="n">
        <v>0</v>
      </c>
      <c r="P835" s="67" t="n">
        <v>0</v>
      </c>
      <c r="Q835" s="66" t="inlineStr">
        <is>
          <t>Upgrade</t>
        </is>
      </c>
      <c r="Z835" s="66">
        <f>"LARGE|"&amp;A835</f>
        <v/>
      </c>
      <c r="AA835" s="66">
        <f>Q835&amp;"|"&amp;Z835</f>
        <v/>
      </c>
    </row>
    <row r="836" ht="15" customHeight="1" s="39">
      <c r="A836" s="67" t="inlineStr">
        <is>
          <t>MM</t>
        </is>
      </c>
      <c r="B836" s="67" t="n">
        <v>245</v>
      </c>
      <c r="C836" s="67" t="n">
        <v>10</v>
      </c>
      <c r="D836" s="67" t="n">
        <v>5</v>
      </c>
      <c r="E836" s="67" t="n">
        <v>5</v>
      </c>
      <c r="F836" s="67" t="n">
        <v>5</v>
      </c>
      <c r="G836" s="67" t="n">
        <v>2</v>
      </c>
      <c r="H836" s="67" t="n">
        <v>7</v>
      </c>
      <c r="I836" s="67" t="n">
        <v>28</v>
      </c>
      <c r="J836" s="67" t="n">
        <v>28</v>
      </c>
      <c r="K836" s="67" t="n">
        <v>3</v>
      </c>
      <c r="L836" s="67" t="n">
        <v>2</v>
      </c>
      <c r="M836" s="67" t="n">
        <v>20</v>
      </c>
      <c r="N836" s="67" t="n">
        <v>20</v>
      </c>
      <c r="O836" s="67" t="n">
        <v>0</v>
      </c>
      <c r="P836" s="67" t="n">
        <v>0</v>
      </c>
      <c r="Q836" s="66" t="inlineStr">
        <is>
          <t>Upgrade</t>
        </is>
      </c>
      <c r="Z836" s="66">
        <f>"LARGE|"&amp;A836</f>
        <v/>
      </c>
      <c r="AA836" s="66">
        <f>Q836&amp;"|"&amp;Z836</f>
        <v/>
      </c>
    </row>
    <row r="837" ht="15" customHeight="1" s="39">
      <c r="A837" s="67" t="inlineStr">
        <is>
          <t>PP</t>
        </is>
      </c>
      <c r="B837" s="67" t="n">
        <v>245</v>
      </c>
      <c r="C837" s="67" t="n">
        <v>10</v>
      </c>
      <c r="D837" s="67" t="n">
        <v>5</v>
      </c>
      <c r="E837" s="67" t="n">
        <v>5</v>
      </c>
      <c r="F837" s="67" t="n">
        <v>5</v>
      </c>
      <c r="G837" s="67" t="n">
        <v>2</v>
      </c>
      <c r="H837" s="67" t="n">
        <v>7</v>
      </c>
      <c r="I837" s="67" t="n">
        <v>28</v>
      </c>
      <c r="J837" s="67" t="n">
        <v>28</v>
      </c>
      <c r="K837" s="67" t="n">
        <v>3</v>
      </c>
      <c r="L837" s="67" t="n">
        <v>2</v>
      </c>
      <c r="M837" s="67" t="n">
        <v>20</v>
      </c>
      <c r="N837" s="67" t="n">
        <v>20</v>
      </c>
      <c r="O837" s="67" t="n">
        <v>0</v>
      </c>
      <c r="P837" s="67" t="n">
        <v>0</v>
      </c>
      <c r="Q837" s="66" t="inlineStr">
        <is>
          <t>Upgrade</t>
        </is>
      </c>
      <c r="Z837" s="66">
        <f>"LARGE|"&amp;A837</f>
        <v/>
      </c>
      <c r="AA837" s="66">
        <f>Q837&amp;"|"&amp;Z837</f>
        <v/>
      </c>
    </row>
    <row r="838" ht="15" customHeight="1" s="39">
      <c r="A838" s="67" t="inlineStr">
        <is>
          <t>SD</t>
        </is>
      </c>
      <c r="B838" s="67" t="n">
        <v>245</v>
      </c>
      <c r="C838" s="67" t="n">
        <v>10</v>
      </c>
      <c r="D838" s="67" t="n">
        <v>5</v>
      </c>
      <c r="E838" s="67" t="n">
        <v>5</v>
      </c>
      <c r="F838" s="67" t="n">
        <v>5</v>
      </c>
      <c r="G838" s="67" t="n">
        <v>2</v>
      </c>
      <c r="H838" s="67" t="n">
        <v>5</v>
      </c>
      <c r="I838" s="67" t="n">
        <v>28</v>
      </c>
      <c r="J838" s="67" t="n">
        <v>28</v>
      </c>
      <c r="K838" s="67" t="n">
        <v>3</v>
      </c>
      <c r="L838" s="67" t="n">
        <v>2</v>
      </c>
      <c r="M838" s="67" t="n">
        <v>15</v>
      </c>
      <c r="N838" s="67" t="n">
        <v>15</v>
      </c>
      <c r="O838" s="67" t="n">
        <v>0</v>
      </c>
      <c r="P838" s="67" t="n">
        <v>0</v>
      </c>
      <c r="Q838" s="66" t="inlineStr">
        <is>
          <t>Upgrade</t>
        </is>
      </c>
      <c r="Z838" s="66">
        <f>"LARGE|"&amp;A838</f>
        <v/>
      </c>
      <c r="AA838" s="66">
        <f>Q838&amp;"|"&amp;Z838</f>
        <v/>
      </c>
    </row>
    <row r="839" ht="15" customHeight="1" s="39">
      <c r="A839" s="67" t="inlineStr">
        <is>
          <t>QM</t>
        </is>
      </c>
      <c r="B839" s="67" t="n">
        <v>245</v>
      </c>
      <c r="C839" s="67" t="n">
        <v>8</v>
      </c>
      <c r="D839" s="67" t="n">
        <v>5</v>
      </c>
      <c r="E839" s="67" t="n">
        <v>4</v>
      </c>
      <c r="F839" s="67" t="n">
        <v>5</v>
      </c>
      <c r="G839" s="67" t="n">
        <v>1</v>
      </c>
      <c r="H839" s="67" t="n">
        <v>6</v>
      </c>
      <c r="I839" s="67" t="n">
        <v>26</v>
      </c>
      <c r="J839" s="67" t="n">
        <v>26</v>
      </c>
      <c r="K839" s="67" t="n">
        <v>2</v>
      </c>
      <c r="L839" s="67" t="n">
        <v>1</v>
      </c>
      <c r="M839" s="67" t="n">
        <v>15</v>
      </c>
      <c r="N839" s="67" t="n">
        <v>15</v>
      </c>
      <c r="O839" s="67" t="n">
        <v>0</v>
      </c>
      <c r="P839" s="67" t="n">
        <v>0</v>
      </c>
      <c r="Q839" s="66" t="inlineStr">
        <is>
          <t>Upgrade</t>
        </is>
      </c>
      <c r="Z839" s="66">
        <f>"LARGE|"&amp;A839</f>
        <v/>
      </c>
      <c r="AA839" s="66">
        <f>Q839&amp;"|"&amp;Z839</f>
        <v/>
      </c>
    </row>
    <row r="840" ht="15" customHeight="1" s="39">
      <c r="A840" s="67" t="inlineStr">
        <is>
          <t>PM</t>
        </is>
      </c>
      <c r="B840" s="67" t="n">
        <v>196</v>
      </c>
      <c r="C840" s="67" t="n">
        <v>8</v>
      </c>
      <c r="D840" s="67" t="n">
        <v>3</v>
      </c>
      <c r="E840" s="67" t="n">
        <v>3</v>
      </c>
      <c r="F840" s="67" t="n">
        <v>5</v>
      </c>
      <c r="G840" s="67" t="n">
        <v>1</v>
      </c>
      <c r="H840" s="67" t="n">
        <v>4</v>
      </c>
      <c r="I840" s="67" t="n">
        <v>16</v>
      </c>
      <c r="J840" s="67" t="n">
        <v>16</v>
      </c>
      <c r="K840" s="67" t="n">
        <v>2</v>
      </c>
      <c r="L840" s="67" t="n">
        <v>1</v>
      </c>
      <c r="M840" s="67" t="n">
        <v>10</v>
      </c>
      <c r="N840" s="67" t="n">
        <v>10</v>
      </c>
      <c r="O840" s="67" t="n">
        <v>0</v>
      </c>
      <c r="P840" s="67" t="n">
        <v>0</v>
      </c>
      <c r="Q840" s="66" t="inlineStr">
        <is>
          <t>Upgrade</t>
        </is>
      </c>
      <c r="Z840" s="66">
        <f>"LARGE|"&amp;A840</f>
        <v/>
      </c>
      <c r="AA840" s="66">
        <f>Q840&amp;"|"&amp;Z840</f>
        <v/>
      </c>
    </row>
    <row r="841" ht="15" customHeight="1" s="39">
      <c r="A841" s="67" t="inlineStr">
        <is>
          <t>PS</t>
        </is>
      </c>
      <c r="B841" s="67" t="n">
        <v>196</v>
      </c>
      <c r="C841" s="67" t="n">
        <v>8</v>
      </c>
      <c r="D841" s="67" t="n">
        <v>3</v>
      </c>
      <c r="E841" s="67" t="n">
        <v>3</v>
      </c>
      <c r="F841" s="67" t="n">
        <v>5</v>
      </c>
      <c r="G841" s="67" t="n">
        <v>1</v>
      </c>
      <c r="H841" s="67" t="n">
        <v>4</v>
      </c>
      <c r="I841" s="67" t="n">
        <v>16</v>
      </c>
      <c r="J841" s="67" t="n">
        <v>16</v>
      </c>
      <c r="K841" s="67" t="n">
        <v>2</v>
      </c>
      <c r="L841" s="67" t="n">
        <v>1</v>
      </c>
      <c r="M841" s="67" t="n">
        <v>10</v>
      </c>
      <c r="N841" s="67" t="n">
        <v>10</v>
      </c>
      <c r="O841" s="67" t="n">
        <v>0</v>
      </c>
      <c r="P841" s="67" t="n">
        <v>0</v>
      </c>
      <c r="Q841" s="66" t="inlineStr">
        <is>
          <t>Upgrade</t>
        </is>
      </c>
      <c r="Z841" s="66">
        <f>"LARGE|"&amp;A841</f>
        <v/>
      </c>
      <c r="AA841" s="66">
        <f>Q841&amp;"|"&amp;Z841</f>
        <v/>
      </c>
    </row>
    <row r="842" ht="15" customHeight="1" s="39">
      <c r="A842" s="67" t="inlineStr">
        <is>
          <t>MII/DM</t>
        </is>
      </c>
      <c r="B842" s="67" t="n">
        <v>0</v>
      </c>
      <c r="C842" s="67" t="n">
        <v>0</v>
      </c>
      <c r="D842" s="67" t="n">
        <v>0</v>
      </c>
      <c r="E842" s="67" t="n">
        <v>0</v>
      </c>
      <c r="F842" s="67" t="n">
        <v>0</v>
      </c>
      <c r="G842" s="67" t="n">
        <v>0</v>
      </c>
      <c r="H842" s="67" t="n">
        <v>0</v>
      </c>
      <c r="I842" s="67" t="n">
        <v>0</v>
      </c>
      <c r="J842" s="67" t="n">
        <v>0</v>
      </c>
      <c r="K842" s="67" t="n">
        <v>0</v>
      </c>
      <c r="L842" s="67" t="n">
        <v>0</v>
      </c>
      <c r="M842" s="67" t="n">
        <v>0</v>
      </c>
      <c r="N842" s="67" t="n">
        <v>0</v>
      </c>
      <c r="O842" s="67" t="n">
        <v>0</v>
      </c>
      <c r="P842" s="67" t="n">
        <v>0</v>
      </c>
      <c r="Q842" s="66" t="inlineStr">
        <is>
          <t>Upgrade</t>
        </is>
      </c>
      <c r="Z842" s="66">
        <f>"LARGE|"&amp;A842</f>
        <v/>
      </c>
      <c r="AA842" s="66">
        <f>Q842&amp;"|"&amp;Z842</f>
        <v/>
      </c>
    </row>
    <row r="843" ht="15" customHeight="1" s="39">
      <c r="A843" s="67" t="inlineStr">
        <is>
          <t>PM Mobility</t>
        </is>
      </c>
      <c r="B843" s="67" t="n">
        <v>0</v>
      </c>
      <c r="C843" s="67" t="n">
        <v>0</v>
      </c>
      <c r="D843" s="67" t="n">
        <v>0</v>
      </c>
      <c r="E843" s="67" t="n">
        <v>0</v>
      </c>
      <c r="F843" s="67" t="n">
        <v>0</v>
      </c>
      <c r="G843" s="67" t="n">
        <v>0</v>
      </c>
      <c r="H843" s="67" t="n">
        <v>0</v>
      </c>
      <c r="I843" s="67" t="n">
        <v>0</v>
      </c>
      <c r="J843" s="67" t="n">
        <v>0</v>
      </c>
      <c r="K843" s="67" t="n">
        <v>0</v>
      </c>
      <c r="L843" s="67" t="n">
        <v>0</v>
      </c>
      <c r="M843" s="67" t="n">
        <v>0</v>
      </c>
      <c r="N843" s="67" t="n">
        <v>0</v>
      </c>
      <c r="O843" s="67" t="n">
        <v>0</v>
      </c>
      <c r="P843" s="67" t="n">
        <v>0</v>
      </c>
      <c r="Q843" s="66" t="inlineStr">
        <is>
          <t>Upgrade</t>
        </is>
      </c>
      <c r="Z843" s="66">
        <f>"LARGE|"&amp;A843</f>
        <v/>
      </c>
      <c r="AA843" s="66">
        <f>Q843&amp;"|"&amp;Z843</f>
        <v/>
      </c>
    </row>
    <row r="844" ht="15" customHeight="1" s="39">
      <c r="A844" s="67" t="inlineStr">
        <is>
          <t>Basic EWM</t>
        </is>
      </c>
      <c r="B844" s="67" t="n">
        <v>245</v>
      </c>
      <c r="C844" s="67" t="n">
        <v>10</v>
      </c>
      <c r="D844" s="67" t="n">
        <v>5</v>
      </c>
      <c r="E844" s="67" t="n">
        <v>5</v>
      </c>
      <c r="F844" s="67" t="n">
        <v>5</v>
      </c>
      <c r="G844" s="67" t="n">
        <v>2</v>
      </c>
      <c r="H844" s="67" t="n">
        <v>4</v>
      </c>
      <c r="I844" s="67" t="n">
        <v>28</v>
      </c>
      <c r="J844" s="67" t="n">
        <v>28</v>
      </c>
      <c r="K844" s="67" t="n">
        <v>2</v>
      </c>
      <c r="L844" s="67" t="n">
        <v>2</v>
      </c>
      <c r="M844" s="67" t="n">
        <v>10</v>
      </c>
      <c r="N844" s="67" t="n">
        <v>10</v>
      </c>
      <c r="O844" s="67" t="n">
        <v>0</v>
      </c>
      <c r="P844" s="67" t="n">
        <v>0</v>
      </c>
      <c r="Q844" s="66" t="inlineStr">
        <is>
          <t>Upgrade</t>
        </is>
      </c>
      <c r="Z844" s="66">
        <f>"LARGE|"&amp;A844</f>
        <v/>
      </c>
      <c r="AA844" s="66">
        <f>Q844&amp;"|"&amp;Z844</f>
        <v/>
      </c>
    </row>
    <row r="845" ht="15" customHeight="1" s="39">
      <c r="A845" s="67" t="inlineStr">
        <is>
          <t>Advanced EWM</t>
        </is>
      </c>
      <c r="B845" s="67" t="n">
        <v>0</v>
      </c>
      <c r="C845" s="67" t="n">
        <v>0</v>
      </c>
      <c r="D845" s="67" t="n">
        <v>0</v>
      </c>
      <c r="E845" s="67" t="n">
        <v>0</v>
      </c>
      <c r="F845" s="67" t="n">
        <v>0</v>
      </c>
      <c r="G845" s="67" t="n">
        <v>0</v>
      </c>
      <c r="H845" s="67" t="n">
        <v>0</v>
      </c>
      <c r="I845" s="67" t="n">
        <v>0</v>
      </c>
      <c r="J845" s="67" t="n">
        <v>0</v>
      </c>
      <c r="K845" s="67" t="n">
        <v>0</v>
      </c>
      <c r="L845" s="67" t="n">
        <v>0</v>
      </c>
      <c r="M845" s="67" t="n">
        <v>0</v>
      </c>
      <c r="N845" s="67" t="n">
        <v>0</v>
      </c>
      <c r="O845" s="67" t="n">
        <v>0</v>
      </c>
      <c r="P845" s="67" t="n">
        <v>0</v>
      </c>
      <c r="Q845" s="66" t="inlineStr">
        <is>
          <t>Upgrade</t>
        </is>
      </c>
      <c r="Z845" s="66">
        <f>"LARGE|"&amp;A845</f>
        <v/>
      </c>
      <c r="AA845" s="66">
        <f>Q845&amp;"|"&amp;Z845</f>
        <v/>
      </c>
    </row>
    <row r="846" ht="15" customHeight="1" s="39">
      <c r="A846" s="67" t="inlineStr">
        <is>
          <t>TM</t>
        </is>
      </c>
      <c r="B846" s="67" t="n">
        <v>147</v>
      </c>
      <c r="C846" s="67" t="n">
        <v>5</v>
      </c>
      <c r="D846" s="67" t="n">
        <v>4</v>
      </c>
      <c r="E846" s="67" t="n">
        <v>3</v>
      </c>
      <c r="F846" s="67" t="n">
        <v>6</v>
      </c>
      <c r="G846" s="67" t="n">
        <v>2</v>
      </c>
      <c r="H846" s="67" t="n">
        <v>4</v>
      </c>
      <c r="I846" s="67" t="n">
        <v>15</v>
      </c>
      <c r="J846" s="67" t="n">
        <v>15</v>
      </c>
      <c r="K846" s="67" t="n">
        <v>2</v>
      </c>
      <c r="L846" s="67" t="n">
        <v>2</v>
      </c>
      <c r="M846" s="67" t="n">
        <v>6</v>
      </c>
      <c r="N846" s="67" t="n">
        <v>8</v>
      </c>
      <c r="O846" s="67" t="n">
        <v>0</v>
      </c>
      <c r="P846" s="67" t="n">
        <v>0</v>
      </c>
      <c r="Q846" s="66" t="inlineStr">
        <is>
          <t>Upgrade</t>
        </is>
      </c>
      <c r="Z846" s="66">
        <f>"LARGE|"&amp;A846</f>
        <v/>
      </c>
      <c r="AA846" s="66">
        <f>Q846&amp;"|"&amp;Z846</f>
        <v/>
      </c>
    </row>
    <row r="847" ht="15" customHeight="1" s="39">
      <c r="A847" s="67" t="inlineStr">
        <is>
          <t>PPDS</t>
        </is>
      </c>
      <c r="B847" s="67" t="n">
        <v>147</v>
      </c>
      <c r="C847" s="67" t="n">
        <v>4</v>
      </c>
      <c r="D847" s="67" t="n">
        <v>3</v>
      </c>
      <c r="E847" s="67" t="n">
        <v>5</v>
      </c>
      <c r="F847" s="67" t="n">
        <v>5</v>
      </c>
      <c r="G847" s="67" t="n">
        <v>1</v>
      </c>
      <c r="H847" s="67" t="n">
        <v>2</v>
      </c>
      <c r="I847" s="67" t="n">
        <v>15</v>
      </c>
      <c r="J847" s="67" t="n">
        <v>15</v>
      </c>
      <c r="K847" s="67" t="n">
        <v>1</v>
      </c>
      <c r="L847" s="67" t="n">
        <v>1</v>
      </c>
      <c r="M847" s="67" t="n">
        <v>3</v>
      </c>
      <c r="N847" s="67" t="n">
        <v>3</v>
      </c>
      <c r="O847" s="67" t="n">
        <v>0</v>
      </c>
      <c r="P847" s="67" t="n">
        <v>0</v>
      </c>
      <c r="Q847" s="66" t="inlineStr">
        <is>
          <t>Upgrade</t>
        </is>
      </c>
      <c r="Z847" s="66">
        <f>"LARGE|"&amp;A847</f>
        <v/>
      </c>
      <c r="AA847" s="66">
        <f>Q847&amp;"|"&amp;Z847</f>
        <v/>
      </c>
    </row>
    <row r="848" ht="15" customHeight="1" s="39">
      <c r="A848" s="67" t="inlineStr">
        <is>
          <t>ABAP</t>
        </is>
      </c>
      <c r="B848" s="67" t="n">
        <v>0</v>
      </c>
      <c r="C848" s="67" t="n">
        <v>0</v>
      </c>
      <c r="D848" s="67" t="n">
        <v>0</v>
      </c>
      <c r="E848" s="67" t="n">
        <v>0</v>
      </c>
      <c r="F848" s="67" t="n">
        <v>0</v>
      </c>
      <c r="G848" s="67" t="n">
        <v>0</v>
      </c>
      <c r="H848" s="67" t="n">
        <v>0</v>
      </c>
      <c r="I848" s="67" t="n">
        <v>0</v>
      </c>
      <c r="J848" s="67" t="n">
        <v>0</v>
      </c>
      <c r="K848" s="67" t="n">
        <v>0</v>
      </c>
      <c r="L848" s="67" t="n">
        <v>0</v>
      </c>
      <c r="M848" s="67" t="n">
        <v>0</v>
      </c>
      <c r="N848" s="67" t="n">
        <v>0</v>
      </c>
      <c r="O848" s="67" t="n">
        <v>0</v>
      </c>
      <c r="P848" s="67" t="n">
        <v>0</v>
      </c>
      <c r="Q848" s="66" t="inlineStr">
        <is>
          <t>Upgrade</t>
        </is>
      </c>
      <c r="Z848" s="66">
        <f>"LARGE|"&amp;A848</f>
        <v/>
      </c>
      <c r="AA848" s="66">
        <f>Q848&amp;"|"&amp;Z848</f>
        <v/>
      </c>
    </row>
    <row r="849" ht="15" customHeight="1" s="39">
      <c r="A849" s="67" t="inlineStr">
        <is>
          <t>BASIS</t>
        </is>
      </c>
      <c r="B849" s="67" t="n">
        <v>0</v>
      </c>
      <c r="C849" s="67" t="n">
        <v>0</v>
      </c>
      <c r="D849" s="67" t="n">
        <v>0</v>
      </c>
      <c r="E849" s="67" t="n">
        <v>0</v>
      </c>
      <c r="F849" s="67" t="n">
        <v>0</v>
      </c>
      <c r="G849" s="67" t="n">
        <v>0</v>
      </c>
      <c r="H849" s="67" t="n">
        <v>0</v>
      </c>
      <c r="I849" s="67" t="n">
        <v>0</v>
      </c>
      <c r="J849" s="67" t="n">
        <v>0</v>
      </c>
      <c r="K849" s="67" t="n">
        <v>0</v>
      </c>
      <c r="L849" s="67" t="n">
        <v>0</v>
      </c>
      <c r="M849" s="67" t="n">
        <v>0</v>
      </c>
      <c r="N849" s="67" t="n">
        <v>0</v>
      </c>
      <c r="O849" s="67" t="n">
        <v>0</v>
      </c>
      <c r="P849" s="67" t="n">
        <v>0</v>
      </c>
      <c r="Q849" s="66" t="inlineStr">
        <is>
          <t>Upgrade</t>
        </is>
      </c>
      <c r="Z849" s="66">
        <f>"LARGE|"&amp;A849</f>
        <v/>
      </c>
      <c r="AA849" s="66">
        <f>Q849&amp;"|"&amp;Z849</f>
        <v/>
      </c>
    </row>
    <row r="850" ht="15" customHeight="1" s="39">
      <c r="A850" s="67" t="inlineStr">
        <is>
          <t>E-Fatura/Arşiv</t>
        </is>
      </c>
      <c r="B850" s="67" t="n">
        <v>5</v>
      </c>
      <c r="C850" s="67" t="n">
        <v>2</v>
      </c>
      <c r="D850" s="67" t="n">
        <v>0</v>
      </c>
      <c r="E850" s="67" t="n">
        <v>2</v>
      </c>
      <c r="F850" s="67" t="n">
        <v>2</v>
      </c>
      <c r="G850" s="67" t="n">
        <v>1</v>
      </c>
      <c r="H850" s="67" t="n">
        <v>1</v>
      </c>
      <c r="I850" s="67" t="n">
        <v>3</v>
      </c>
      <c r="J850" s="67" t="n">
        <v>3</v>
      </c>
      <c r="K850" s="67" t="n">
        <v>0</v>
      </c>
      <c r="L850" s="67" t="n">
        <v>1</v>
      </c>
      <c r="M850" s="67" t="n">
        <v>1</v>
      </c>
      <c r="N850" s="67" t="n">
        <v>0</v>
      </c>
      <c r="O850" s="67" t="n">
        <v>0</v>
      </c>
      <c r="P850" s="67" t="n">
        <v>0</v>
      </c>
      <c r="Q850" s="66" t="inlineStr">
        <is>
          <t>Upgrade</t>
        </is>
      </c>
      <c r="Z850" s="66">
        <f>"LARGE|"&amp;A850</f>
        <v/>
      </c>
      <c r="AA850" s="66">
        <f>Q850&amp;"|"&amp;Z850</f>
        <v/>
      </c>
    </row>
    <row r="851" ht="15" customHeight="1" s="39">
      <c r="A851" s="67" t="inlineStr">
        <is>
          <t>E-İrsaliye</t>
        </is>
      </c>
      <c r="B851" s="67" t="n">
        <v>5</v>
      </c>
      <c r="C851" s="67" t="n">
        <v>2</v>
      </c>
      <c r="D851" s="67" t="n">
        <v>0</v>
      </c>
      <c r="E851" s="67" t="n">
        <v>2</v>
      </c>
      <c r="F851" s="67" t="n">
        <v>2</v>
      </c>
      <c r="G851" s="67" t="n">
        <v>1</v>
      </c>
      <c r="H851" s="67" t="n">
        <v>1</v>
      </c>
      <c r="I851" s="67" t="n">
        <v>3</v>
      </c>
      <c r="J851" s="67" t="n">
        <v>3</v>
      </c>
      <c r="K851" s="67" t="n">
        <v>0</v>
      </c>
      <c r="L851" s="67" t="n">
        <v>1</v>
      </c>
      <c r="M851" s="67" t="n">
        <v>1</v>
      </c>
      <c r="N851" s="67" t="n">
        <v>0</v>
      </c>
      <c r="O851" s="67" t="n">
        <v>0</v>
      </c>
      <c r="P851" s="67" t="n">
        <v>0</v>
      </c>
      <c r="Q851" s="66" t="inlineStr">
        <is>
          <t>Upgrade</t>
        </is>
      </c>
      <c r="Z851" s="66">
        <f>"LARGE|"&amp;A851</f>
        <v/>
      </c>
      <c r="AA851" s="66">
        <f>Q851&amp;"|"&amp;Z851</f>
        <v/>
      </c>
    </row>
    <row r="852" ht="15" customHeight="1" s="39">
      <c r="A852" s="67" t="inlineStr">
        <is>
          <t>E-Defter</t>
        </is>
      </c>
      <c r="B852" s="67" t="n">
        <v>3</v>
      </c>
      <c r="C852" s="67" t="n">
        <v>2</v>
      </c>
      <c r="D852" s="67" t="n">
        <v>0</v>
      </c>
      <c r="E852" s="67" t="n">
        <v>3</v>
      </c>
      <c r="F852" s="67" t="n">
        <v>3</v>
      </c>
      <c r="G852" s="67" t="n">
        <v>1</v>
      </c>
      <c r="H852" s="67" t="n">
        <v>1</v>
      </c>
      <c r="I852" s="67" t="n">
        <v>0</v>
      </c>
      <c r="J852" s="67" t="n">
        <v>0</v>
      </c>
      <c r="K852" s="67" t="n">
        <v>0</v>
      </c>
      <c r="L852" s="67" t="n">
        <v>3</v>
      </c>
      <c r="M852" s="67" t="n">
        <v>1</v>
      </c>
      <c r="N852" s="67" t="n">
        <v>0</v>
      </c>
      <c r="O852" s="67" t="n">
        <v>0</v>
      </c>
      <c r="P852" s="67" t="n">
        <v>0</v>
      </c>
      <c r="Q852" s="66" t="inlineStr">
        <is>
          <t>Upgrade</t>
        </is>
      </c>
      <c r="Z852" s="66">
        <f>"LARGE|"&amp;A852</f>
        <v/>
      </c>
      <c r="AA852" s="66">
        <f>Q852&amp;"|"&amp;Z852</f>
        <v/>
      </c>
    </row>
    <row r="853" ht="15" customHeight="1" s="39">
      <c r="A853" s="67" t="inlineStr">
        <is>
          <t>E-Hesap Özeti</t>
        </is>
      </c>
      <c r="B853" s="67" t="n">
        <v>5</v>
      </c>
      <c r="C853" s="67" t="n">
        <v>3</v>
      </c>
      <c r="D853" s="67" t="n">
        <v>0</v>
      </c>
      <c r="E853" s="67" t="n">
        <v>4</v>
      </c>
      <c r="F853" s="67" t="n">
        <v>3</v>
      </c>
      <c r="G853" s="67" t="n">
        <v>1</v>
      </c>
      <c r="H853" s="67" t="n">
        <v>0</v>
      </c>
      <c r="I853" s="67" t="n">
        <v>3</v>
      </c>
      <c r="J853" s="67" t="n">
        <v>3</v>
      </c>
      <c r="K853" s="67" t="n">
        <v>0</v>
      </c>
      <c r="L853" s="67" t="n">
        <v>2</v>
      </c>
      <c r="M853" s="67" t="n">
        <v>1</v>
      </c>
      <c r="N853" s="67" t="n">
        <v>0</v>
      </c>
      <c r="O853" s="67" t="n">
        <v>0</v>
      </c>
      <c r="P853" s="67" t="n">
        <v>0</v>
      </c>
      <c r="Q853" s="66" t="inlineStr">
        <is>
          <t>Upgrade</t>
        </is>
      </c>
      <c r="Z853" s="66">
        <f>"LARGE|"&amp;A853</f>
        <v/>
      </c>
      <c r="AA853" s="66">
        <f>Q853&amp;"|"&amp;Z853</f>
        <v/>
      </c>
    </row>
    <row r="854" ht="15" customHeight="1" s="39">
      <c r="A854" s="67" t="inlineStr">
        <is>
          <t>E-Ödeme</t>
        </is>
      </c>
      <c r="B854" s="67" t="n">
        <v>5</v>
      </c>
      <c r="C854" s="67" t="n">
        <v>3</v>
      </c>
      <c r="D854" s="67" t="n">
        <v>0</v>
      </c>
      <c r="E854" s="67" t="n">
        <v>4</v>
      </c>
      <c r="F854" s="67" t="n">
        <v>3</v>
      </c>
      <c r="G854" s="67" t="n">
        <v>1</v>
      </c>
      <c r="H854" s="67" t="n">
        <v>0</v>
      </c>
      <c r="I854" s="67" t="n">
        <v>3</v>
      </c>
      <c r="J854" s="67" t="n">
        <v>3</v>
      </c>
      <c r="K854" s="67" t="n">
        <v>0</v>
      </c>
      <c r="L854" s="67" t="n">
        <v>2</v>
      </c>
      <c r="M854" s="67" t="n">
        <v>1</v>
      </c>
      <c r="N854" s="67" t="n">
        <v>0</v>
      </c>
      <c r="O854" s="67" t="n">
        <v>0</v>
      </c>
      <c r="P854" s="67" t="n">
        <v>0</v>
      </c>
      <c r="Q854" s="66" t="inlineStr">
        <is>
          <t>Upgrade</t>
        </is>
      </c>
      <c r="Z854" s="66">
        <f>"LARGE|"&amp;A854</f>
        <v/>
      </c>
      <c r="AA854" s="66">
        <f>Q854&amp;"|"&amp;Z854</f>
        <v/>
      </c>
    </row>
    <row r="855" ht="15" customHeight="1" s="39">
      <c r="A855" s="67" t="inlineStr">
        <is>
          <t>E-Mutabakat</t>
        </is>
      </c>
      <c r="B855" s="67" t="n">
        <v>5</v>
      </c>
      <c r="C855" s="67" t="n">
        <v>3</v>
      </c>
      <c r="D855" s="67" t="n">
        <v>0</v>
      </c>
      <c r="E855" s="67" t="n">
        <v>3</v>
      </c>
      <c r="F855" s="67" t="n">
        <v>3</v>
      </c>
      <c r="G855" s="67" t="n">
        <v>1</v>
      </c>
      <c r="H855" s="67" t="n">
        <v>0</v>
      </c>
      <c r="I855" s="67" t="n">
        <v>3</v>
      </c>
      <c r="J855" s="67" t="n">
        <v>3</v>
      </c>
      <c r="K855" s="67" t="n">
        <v>0</v>
      </c>
      <c r="L855" s="67" t="n">
        <v>2</v>
      </c>
      <c r="M855" s="67" t="n">
        <v>1</v>
      </c>
      <c r="N855" s="67" t="n">
        <v>0</v>
      </c>
      <c r="O855" s="67" t="n">
        <v>0</v>
      </c>
      <c r="P855" s="67" t="n">
        <v>0</v>
      </c>
      <c r="Q855" s="66" t="inlineStr">
        <is>
          <t>Upgrade</t>
        </is>
      </c>
      <c r="Z855" s="66">
        <f>"LARGE|"&amp;A855</f>
        <v/>
      </c>
      <c r="AA855" s="66">
        <f>Q855&amp;"|"&amp;Z855</f>
        <v/>
      </c>
    </row>
    <row r="856" ht="15" customHeight="1" s="39">
      <c r="A856" s="67" t="inlineStr">
        <is>
          <t>E-Beyanname</t>
        </is>
      </c>
      <c r="B856" s="67" t="n">
        <v>6</v>
      </c>
      <c r="C856" s="67" t="n">
        <v>3</v>
      </c>
      <c r="D856" s="67" t="n">
        <v>0</v>
      </c>
      <c r="E856" s="67" t="n">
        <v>6</v>
      </c>
      <c r="F856" s="67" t="n">
        <v>3</v>
      </c>
      <c r="G856" s="67" t="n">
        <v>2</v>
      </c>
      <c r="H856" s="67" t="n">
        <v>0</v>
      </c>
      <c r="I856" s="67" t="n">
        <v>0</v>
      </c>
      <c r="J856" s="67" t="n">
        <v>0</v>
      </c>
      <c r="K856" s="67" t="n">
        <v>0</v>
      </c>
      <c r="L856" s="67" t="n">
        <v>4</v>
      </c>
      <c r="M856" s="67" t="n">
        <v>2</v>
      </c>
      <c r="N856" s="67" t="n">
        <v>0</v>
      </c>
      <c r="O856" s="67" t="n">
        <v>0</v>
      </c>
      <c r="P856" s="67" t="n">
        <v>0</v>
      </c>
      <c r="Q856" s="66" t="inlineStr">
        <is>
          <t>Upgrade</t>
        </is>
      </c>
      <c r="Z856" s="66">
        <f>"LARGE|"&amp;A856</f>
        <v/>
      </c>
      <c r="AA856" s="66">
        <f>Q856&amp;"|"&amp;Z856</f>
        <v/>
      </c>
    </row>
    <row r="857" ht="15" customHeight="1" s="39">
      <c r="A857" s="67" t="inlineStr">
        <is>
          <t>Gelen Fatura Otomasyon</t>
        </is>
      </c>
      <c r="B857" s="67" t="n">
        <v>5</v>
      </c>
      <c r="C857" s="67" t="n">
        <v>2</v>
      </c>
      <c r="D857" s="67" t="n">
        <v>0</v>
      </c>
      <c r="E857" s="67" t="n">
        <v>3</v>
      </c>
      <c r="F857" s="67" t="n">
        <v>4</v>
      </c>
      <c r="G857" s="67" t="n">
        <v>2</v>
      </c>
      <c r="H857" s="67" t="n">
        <v>0</v>
      </c>
      <c r="I857" s="67" t="n">
        <v>2</v>
      </c>
      <c r="J857" s="67" t="n">
        <v>2</v>
      </c>
      <c r="K857" s="67" t="n">
        <v>0</v>
      </c>
      <c r="L857" s="67" t="n">
        <v>4</v>
      </c>
      <c r="M857" s="67" t="n">
        <v>1</v>
      </c>
      <c r="N857" s="67" t="n">
        <v>0</v>
      </c>
      <c r="O857" s="67" t="n">
        <v>0</v>
      </c>
      <c r="P857" s="67" t="n">
        <v>0</v>
      </c>
      <c r="Q857" s="66" t="inlineStr">
        <is>
          <t>Upgrade</t>
        </is>
      </c>
      <c r="Z857" s="66">
        <f>"LARGE|"&amp;A857</f>
        <v/>
      </c>
      <c r="AA857" s="66">
        <f>Q857&amp;"|"&amp;Z857</f>
        <v/>
      </c>
    </row>
    <row r="858" ht="15" customHeight="1" s="39">
      <c r="A858" s="67" t="inlineStr">
        <is>
          <t>GLASSWING</t>
        </is>
      </c>
      <c r="B858" s="67" t="n">
        <v>60</v>
      </c>
      <c r="C858" s="67" t="n">
        <v>6</v>
      </c>
      <c r="D858" s="67" t="n">
        <v>2</v>
      </c>
      <c r="E858" s="67" t="n">
        <v>15</v>
      </c>
      <c r="F858" s="67" t="n">
        <v>10</v>
      </c>
      <c r="G858" s="67" t="n">
        <v>2</v>
      </c>
      <c r="H858" s="67" t="n">
        <v>0</v>
      </c>
      <c r="I858" s="67" t="n">
        <v>25</v>
      </c>
      <c r="J858" s="67" t="n">
        <v>25</v>
      </c>
      <c r="K858" s="67" t="n">
        <v>13</v>
      </c>
      <c r="L858" s="67" t="n">
        <v>2</v>
      </c>
      <c r="M858" s="67" t="n">
        <v>5</v>
      </c>
      <c r="N858" s="67" t="n">
        <v>10</v>
      </c>
      <c r="O858" s="67" t="n">
        <v>0</v>
      </c>
      <c r="P858" s="67" t="n">
        <v>0</v>
      </c>
      <c r="Q858" s="66" t="inlineStr">
        <is>
          <t>Upgrade</t>
        </is>
      </c>
      <c r="Z858" s="66">
        <f>"LARGE|"&amp;A858</f>
        <v/>
      </c>
      <c r="AA858" s="66">
        <f>Q858&amp;"|"&amp;Z858</f>
        <v/>
      </c>
    </row>
    <row r="859" ht="15" customHeight="1" s="39">
      <c r="A859" s="67" t="inlineStr">
        <is>
          <t>COMMODITY</t>
        </is>
      </c>
      <c r="B859" s="67" t="n">
        <v>100</v>
      </c>
      <c r="C859" s="67" t="n">
        <v>9</v>
      </c>
      <c r="D859" s="67" t="n">
        <v>3</v>
      </c>
      <c r="E859" s="67" t="n">
        <v>15</v>
      </c>
      <c r="F859" s="67" t="n">
        <v>15</v>
      </c>
      <c r="G859" s="67" t="n">
        <v>2</v>
      </c>
      <c r="H859" s="67" t="n">
        <v>1</v>
      </c>
      <c r="I859" s="67" t="n">
        <v>30</v>
      </c>
      <c r="J859" s="67" t="n">
        <v>30</v>
      </c>
      <c r="K859" s="67" t="n">
        <v>10</v>
      </c>
      <c r="L859" s="67" t="n">
        <v>2</v>
      </c>
      <c r="M859" s="67" t="n">
        <v>8</v>
      </c>
      <c r="N859" s="67" t="n">
        <v>15</v>
      </c>
      <c r="O859" s="67" t="n">
        <v>0</v>
      </c>
      <c r="P859" s="67" t="n">
        <v>0</v>
      </c>
      <c r="Q859" s="66" t="inlineStr">
        <is>
          <t>Upgrade</t>
        </is>
      </c>
      <c r="Z859" s="66">
        <f>"LARGE|"&amp;A859</f>
        <v/>
      </c>
      <c r="AA859" s="66">
        <f>Q859&amp;"|"&amp;Z859</f>
        <v/>
      </c>
    </row>
    <row r="860" ht="15" customHeight="1" s="39">
      <c r="A860" s="67" t="inlineStr">
        <is>
          <t>Dış Ticaret Çözümü</t>
        </is>
      </c>
      <c r="B860" s="67" t="n">
        <v>0</v>
      </c>
      <c r="C860" s="67" t="n">
        <v>0</v>
      </c>
      <c r="D860" s="67" t="n">
        <v>0</v>
      </c>
      <c r="E860" s="67" t="n">
        <v>0</v>
      </c>
      <c r="F860" s="67" t="n">
        <v>0</v>
      </c>
      <c r="G860" s="67" t="n">
        <v>0</v>
      </c>
      <c r="H860" s="67" t="n">
        <v>0</v>
      </c>
      <c r="I860" s="67" t="n">
        <v>0</v>
      </c>
      <c r="J860" s="67" t="n">
        <v>0</v>
      </c>
      <c r="K860" s="67" t="n">
        <v>0</v>
      </c>
      <c r="L860" s="67" t="n">
        <v>0</v>
      </c>
      <c r="M860" s="67" t="n">
        <v>0</v>
      </c>
      <c r="N860" s="67" t="n">
        <v>0</v>
      </c>
      <c r="O860" s="67" t="n">
        <v>0</v>
      </c>
      <c r="P860" s="67" t="n">
        <v>0</v>
      </c>
      <c r="Q860" s="66" t="inlineStr">
        <is>
          <t>Upgrade</t>
        </is>
      </c>
      <c r="Z860" s="66">
        <f>"LARGE|"&amp;A860</f>
        <v/>
      </c>
      <c r="AA860" s="66">
        <f>Q860&amp;"|"&amp;Z860</f>
        <v/>
      </c>
    </row>
    <row r="861" ht="15" customHeight="1" s="39">
      <c r="A861" s="67" t="inlineStr">
        <is>
          <t>Seyahat ve Masraf Yönetimi</t>
        </is>
      </c>
      <c r="B861" s="67" t="n">
        <v>0</v>
      </c>
      <c r="C861" s="67" t="n">
        <v>0</v>
      </c>
      <c r="D861" s="67" t="n">
        <v>0</v>
      </c>
      <c r="E861" s="67" t="n">
        <v>0</v>
      </c>
      <c r="F861" s="67" t="n">
        <v>0</v>
      </c>
      <c r="G861" s="67" t="n">
        <v>0</v>
      </c>
      <c r="H861" s="67" t="n">
        <v>0</v>
      </c>
      <c r="I861" s="67" t="n">
        <v>0</v>
      </c>
      <c r="J861" s="67" t="n">
        <v>0</v>
      </c>
      <c r="K861" s="67" t="n">
        <v>0</v>
      </c>
      <c r="L861" s="67" t="n">
        <v>0</v>
      </c>
      <c r="M861" s="67" t="n">
        <v>0</v>
      </c>
      <c r="N861" s="67" t="n">
        <v>0</v>
      </c>
      <c r="O861" s="67" t="n">
        <v>0</v>
      </c>
      <c r="P861" s="67" t="n">
        <v>0</v>
      </c>
      <c r="Q861" s="66" t="inlineStr">
        <is>
          <t>Upgrade</t>
        </is>
      </c>
      <c r="Z861" s="66">
        <f>"LARGE|"&amp;A861</f>
        <v/>
      </c>
      <c r="AA861" s="66">
        <f>Q861&amp;"|"&amp;Z861</f>
        <v/>
      </c>
    </row>
    <row r="862" ht="15" customHeight="1" s="39">
      <c r="A862" s="67" t="inlineStr">
        <is>
          <t>NTT Data POS</t>
        </is>
      </c>
      <c r="B862" s="67" t="n">
        <v>0</v>
      </c>
      <c r="C862" s="67" t="n">
        <v>0</v>
      </c>
      <c r="D862" s="67" t="n">
        <v>0</v>
      </c>
      <c r="E862" s="67" t="n">
        <v>0</v>
      </c>
      <c r="F862" s="67" t="n">
        <v>0</v>
      </c>
      <c r="G862" s="67" t="n">
        <v>0</v>
      </c>
      <c r="H862" s="67" t="n">
        <v>0</v>
      </c>
      <c r="I862" s="67" t="n">
        <v>0</v>
      </c>
      <c r="J862" s="67" t="n">
        <v>0</v>
      </c>
      <c r="K862" s="67" t="n">
        <v>0</v>
      </c>
      <c r="L862" s="67" t="n">
        <v>0</v>
      </c>
      <c r="M862" s="67" t="n">
        <v>0</v>
      </c>
      <c r="N862" s="67" t="n">
        <v>0</v>
      </c>
      <c r="O862" s="67" t="n">
        <v>0</v>
      </c>
      <c r="P862" s="67" t="n">
        <v>0</v>
      </c>
      <c r="Q862" s="66" t="inlineStr">
        <is>
          <t>Upgrade</t>
        </is>
      </c>
      <c r="Z862" s="66">
        <f>"LARGE|"&amp;A862</f>
        <v/>
      </c>
      <c r="AA862" s="66">
        <f>Q862&amp;"|"&amp;Z862</f>
        <v/>
      </c>
    </row>
    <row r="864" ht="15" customHeight="1" s="39">
      <c r="A864" s="68" t="inlineStr">
        <is>
          <t>X-LARGE</t>
        </is>
      </c>
      <c r="Q864" s="68" t="inlineStr">
        <is>
          <t>Upgrade</t>
        </is>
      </c>
    </row>
    <row r="865" ht="15" customHeight="1" s="39">
      <c r="A865" s="67">
        <f>INDEX(Translations!$D:$ZZ, MATCH(74,Translations!$A:$A,0), MATCH('Project Information'!$C$4,Translations!$D$1:$ZZ$1,0))</f>
        <v/>
      </c>
      <c r="B865" s="67">
        <f>INDEX(Translations!$D:$ZZ, MATCH(75,Translations!$A:$A,0), MATCH('Project Information'!$C$4,Translations!$D$1:$ZZ$1,0))</f>
        <v/>
      </c>
      <c r="C865" s="67">
        <f>INDEX(Translations!$D:$ZZ, MATCH(76,Translations!$A:$A,0), MATCH('Project Information'!$C$4,Translations!$D$1:$ZZ$1,0))</f>
        <v/>
      </c>
      <c r="D865" s="67">
        <f>INDEX(Translations!$D:$ZZ, MATCH(77,Translations!$A:$A,0), MATCH('Project Information'!$C$4,Translations!$D$1:$ZZ$1,0))</f>
        <v/>
      </c>
      <c r="E865" s="67">
        <f>INDEX(Translations!$D:$ZZ, MATCH(78,Translations!$A:$A,0), MATCH('Project Information'!$C$4,Translations!$D$1:$ZZ$1,0))</f>
        <v/>
      </c>
      <c r="F865" s="67">
        <f>INDEX(Translations!$D:$ZZ, MATCH(79,Translations!$A:$A,0), MATCH('Project Information'!$C$4,Translations!$D$1:$ZZ$1,0))</f>
        <v/>
      </c>
      <c r="G865" s="67">
        <f>INDEX(Translations!$D:$ZZ, MATCH(80,Translations!$A:$A,0), MATCH('Project Information'!$C$4,Translations!$D$1:$ZZ$1,0))</f>
        <v/>
      </c>
      <c r="H865" s="67">
        <f>INDEX(Translations!$D:$ZZ, MATCH(81,Translations!$A:$A,0), MATCH('Project Information'!$C$4,Translations!$D$1:$ZZ$1,0))</f>
        <v/>
      </c>
      <c r="I865" s="67">
        <f>INDEX(Translations!$D:$ZZ, MATCH(82,Translations!$A:$A,0), MATCH('Project Information'!$C$4,Translations!$D$1:$ZZ$1,0))</f>
        <v/>
      </c>
      <c r="J865" s="67">
        <f>INDEX(Translations!$D:$ZZ, MATCH(83,Translations!$A:$A,0), MATCH('Project Information'!$C$4,Translations!$D$1:$ZZ$1,0))</f>
        <v/>
      </c>
      <c r="K865" s="67">
        <f>INDEX(Translations!$D:$ZZ, MATCH(84,Translations!$A:$A,0), MATCH('Project Information'!$C$4,Translations!$D$1:$ZZ$1,0))</f>
        <v/>
      </c>
      <c r="L865" s="67">
        <f>INDEX(Translations!$D:$ZZ, MATCH(85,Translations!$A:$A,0), MATCH('Project Information'!$C$4,Translations!$D$1:$ZZ$1,0))</f>
        <v/>
      </c>
      <c r="M865" s="67">
        <f>INDEX(Translations!$D:$ZZ, MATCH(86,Translations!$A:$A,0), MATCH('Project Information'!$C$4,Translations!$D$1:$ZZ$1,0))</f>
        <v/>
      </c>
      <c r="N865" s="67">
        <f>INDEX(Translations!$D:$ZZ, MATCH(87,Translations!$A:$A,0), MATCH('Project Information'!$C$4,Translations!$D$1:$ZZ$1,0))</f>
        <v/>
      </c>
      <c r="O865" s="67">
        <f>INDEX(Translations!$D:$ZZ, MATCH(88,Translations!$A:$A,0), MATCH('Project Information'!$C$4,Translations!$D$1:$ZZ$1,0))</f>
        <v/>
      </c>
      <c r="P865" s="67">
        <f>INDEX(Translations!$D:$ZZ, MATCH(89,Translations!$A:$A,0), MATCH('Project Information'!$C$4,Translations!$D$1:$ZZ$1,0))</f>
        <v/>
      </c>
      <c r="Q865" s="67" t="inlineStr">
        <is>
          <t>Implementation Type</t>
        </is>
      </c>
      <c r="Z865" s="67">
        <f>INDEX(Translations!$D:$ZZ, MATCH(93,Translations!$A:$A,0), MATCH('Project Information'!$C$4,Translations!$D$1:$ZZ$1,0))</f>
        <v/>
      </c>
      <c r="AA865" s="67" t="inlineStr">
        <is>
          <t>Implementation Key</t>
        </is>
      </c>
    </row>
    <row r="866" ht="15" customHeight="1" s="39">
      <c r="A866" s="67" t="inlineStr">
        <is>
          <t>FI</t>
        </is>
      </c>
      <c r="B866" s="67" t="n">
        <v>245</v>
      </c>
      <c r="C866" s="67" t="n">
        <v>10</v>
      </c>
      <c r="D866" s="67" t="n">
        <v>5</v>
      </c>
      <c r="E866" s="67" t="n">
        <v>5</v>
      </c>
      <c r="F866" s="67" t="n">
        <v>5</v>
      </c>
      <c r="G866" s="67" t="n">
        <v>2</v>
      </c>
      <c r="H866" s="67" t="n">
        <v>3</v>
      </c>
      <c r="I866" s="67" t="n">
        <v>28</v>
      </c>
      <c r="J866" s="67" t="n">
        <v>28</v>
      </c>
      <c r="K866" s="67" t="n">
        <v>3</v>
      </c>
      <c r="L866" s="67" t="n">
        <v>2</v>
      </c>
      <c r="M866" s="67" t="n">
        <v>15</v>
      </c>
      <c r="N866" s="67" t="n">
        <v>15</v>
      </c>
      <c r="O866" s="67" t="n">
        <v>0</v>
      </c>
      <c r="P866" s="67" t="n">
        <v>0</v>
      </c>
      <c r="Q866" s="66" t="inlineStr">
        <is>
          <t>Upgrade</t>
        </is>
      </c>
      <c r="Z866" s="66">
        <f>"X-LARGE|"&amp;A866</f>
        <v/>
      </c>
      <c r="AA866" s="66">
        <f>Q866&amp;"|"&amp;Z866</f>
        <v/>
      </c>
    </row>
    <row r="867" ht="15" customHeight="1" s="39">
      <c r="A867" s="67" t="inlineStr">
        <is>
          <t>CO</t>
        </is>
      </c>
      <c r="B867" s="67" t="n">
        <v>245</v>
      </c>
      <c r="C867" s="67" t="n">
        <v>10</v>
      </c>
      <c r="D867" s="67" t="n">
        <v>5</v>
      </c>
      <c r="E867" s="67" t="n">
        <v>4</v>
      </c>
      <c r="F867" s="67" t="n">
        <v>5</v>
      </c>
      <c r="G867" s="67" t="n">
        <v>2</v>
      </c>
      <c r="H867" s="67" t="n">
        <v>2</v>
      </c>
      <c r="I867" s="67" t="n">
        <v>28</v>
      </c>
      <c r="J867" s="67" t="n">
        <v>28</v>
      </c>
      <c r="K867" s="67" t="n">
        <v>3</v>
      </c>
      <c r="L867" s="67" t="n">
        <v>2</v>
      </c>
      <c r="M867" s="67" t="n">
        <v>10</v>
      </c>
      <c r="N867" s="67" t="n">
        <v>10</v>
      </c>
      <c r="O867" s="67" t="n">
        <v>0</v>
      </c>
      <c r="P867" s="67" t="n">
        <v>0</v>
      </c>
      <c r="Q867" s="66" t="inlineStr">
        <is>
          <t>Upgrade</t>
        </is>
      </c>
      <c r="Z867" s="66">
        <f>"X-LARGE|"&amp;A867</f>
        <v/>
      </c>
      <c r="AA867" s="66">
        <f>Q867&amp;"|"&amp;Z867</f>
        <v/>
      </c>
    </row>
    <row r="868" ht="15" customHeight="1" s="39">
      <c r="A868" s="67" t="inlineStr">
        <is>
          <t>TRM</t>
        </is>
      </c>
      <c r="B868" s="67" t="n">
        <v>100</v>
      </c>
      <c r="C868" s="67" t="n">
        <v>4</v>
      </c>
      <c r="D868" s="67" t="n">
        <v>2</v>
      </c>
      <c r="E868" s="67" t="n">
        <v>2</v>
      </c>
      <c r="F868" s="67" t="n">
        <v>3</v>
      </c>
      <c r="G868" s="67" t="n">
        <v>1</v>
      </c>
      <c r="H868" s="67" t="n">
        <v>1</v>
      </c>
      <c r="I868" s="67" t="n">
        <v>10</v>
      </c>
      <c r="J868" s="67" t="n">
        <v>10</v>
      </c>
      <c r="K868" s="67" t="n">
        <v>1</v>
      </c>
      <c r="L868" s="67" t="n">
        <v>1</v>
      </c>
      <c r="M868" s="67" t="n">
        <v>10</v>
      </c>
      <c r="N868" s="67" t="n">
        <v>10</v>
      </c>
      <c r="O868" s="67" t="n">
        <v>0</v>
      </c>
      <c r="P868" s="67" t="n">
        <v>0</v>
      </c>
      <c r="Q868" s="66" t="inlineStr">
        <is>
          <t>Upgrade</t>
        </is>
      </c>
      <c r="Z868" s="66">
        <f>"X-LARGE|"&amp;A868</f>
        <v/>
      </c>
      <c r="AA868" s="66">
        <f>Q868&amp;"|"&amp;Z868</f>
        <v/>
      </c>
    </row>
    <row r="869" ht="15" customHeight="1" s="39">
      <c r="A869" s="67" t="inlineStr">
        <is>
          <t>CM</t>
        </is>
      </c>
      <c r="B869" s="67" t="n">
        <v>100</v>
      </c>
      <c r="C869" s="67" t="n">
        <v>3</v>
      </c>
      <c r="D869" s="67" t="n">
        <v>2</v>
      </c>
      <c r="E869" s="67" t="n">
        <v>2</v>
      </c>
      <c r="F869" s="67" t="n">
        <v>3</v>
      </c>
      <c r="G869" s="67" t="n">
        <v>1</v>
      </c>
      <c r="H869" s="67" t="n">
        <v>1</v>
      </c>
      <c r="I869" s="67" t="n">
        <v>10</v>
      </c>
      <c r="J869" s="67" t="n">
        <v>10</v>
      </c>
      <c r="K869" s="67" t="n">
        <v>1</v>
      </c>
      <c r="L869" s="67" t="n">
        <v>1</v>
      </c>
      <c r="M869" s="67" t="n">
        <v>5</v>
      </c>
      <c r="N869" s="67" t="n">
        <v>5</v>
      </c>
      <c r="O869" s="67" t="n">
        <v>0</v>
      </c>
      <c r="P869" s="67" t="n">
        <v>0</v>
      </c>
      <c r="Q869" s="66" t="inlineStr">
        <is>
          <t>Upgrade</t>
        </is>
      </c>
      <c r="Z869" s="66">
        <f>"X-LARGE|"&amp;A869</f>
        <v/>
      </c>
      <c r="AA869" s="66">
        <f>Q869&amp;"|"&amp;Z869</f>
        <v/>
      </c>
    </row>
    <row r="870" ht="15" customHeight="1" s="39">
      <c r="A870" s="67" t="inlineStr">
        <is>
          <t>FM</t>
        </is>
      </c>
      <c r="B870" s="67" t="n">
        <v>100</v>
      </c>
      <c r="C870" s="67" t="n">
        <v>3</v>
      </c>
      <c r="D870" s="67" t="n">
        <v>2</v>
      </c>
      <c r="E870" s="67" t="n">
        <v>2</v>
      </c>
      <c r="F870" s="67" t="n">
        <v>3</v>
      </c>
      <c r="G870" s="67" t="n">
        <v>1</v>
      </c>
      <c r="H870" s="67" t="n">
        <v>1</v>
      </c>
      <c r="I870" s="67" t="n">
        <v>10</v>
      </c>
      <c r="J870" s="67" t="n">
        <v>10</v>
      </c>
      <c r="K870" s="67" t="n">
        <v>1</v>
      </c>
      <c r="L870" s="67" t="n">
        <v>1</v>
      </c>
      <c r="M870" s="67" t="n">
        <v>5</v>
      </c>
      <c r="N870" s="67" t="n">
        <v>5</v>
      </c>
      <c r="O870" s="67" t="n">
        <v>0</v>
      </c>
      <c r="P870" s="67" t="n">
        <v>0</v>
      </c>
      <c r="Q870" s="66" t="inlineStr">
        <is>
          <t>Upgrade</t>
        </is>
      </c>
      <c r="Z870" s="66">
        <f>"X-LARGE|"&amp;A870</f>
        <v/>
      </c>
      <c r="AA870" s="66">
        <f>Q870&amp;"|"&amp;Z870</f>
        <v/>
      </c>
    </row>
    <row r="871" ht="15" customHeight="1" s="39">
      <c r="A871" s="67" t="inlineStr">
        <is>
          <t>RM</t>
        </is>
      </c>
      <c r="B871" s="67" t="n">
        <v>0</v>
      </c>
      <c r="C871" s="67" t="n">
        <v>0</v>
      </c>
      <c r="D871" s="67" t="n">
        <v>0</v>
      </c>
      <c r="E871" s="67" t="n">
        <v>0</v>
      </c>
      <c r="F871" s="67" t="n">
        <v>0</v>
      </c>
      <c r="G871" s="67" t="n">
        <v>0</v>
      </c>
      <c r="H871" s="67" t="n">
        <v>0</v>
      </c>
      <c r="I871" s="67" t="n">
        <v>0</v>
      </c>
      <c r="J871" s="67" t="n">
        <v>0</v>
      </c>
      <c r="K871" s="67" t="n">
        <v>0</v>
      </c>
      <c r="L871" s="67" t="n">
        <v>0</v>
      </c>
      <c r="M871" s="67" t="n">
        <v>0</v>
      </c>
      <c r="N871" s="67" t="n">
        <v>0</v>
      </c>
      <c r="O871" s="67" t="n">
        <v>0</v>
      </c>
      <c r="P871" s="67" t="n">
        <v>0</v>
      </c>
      <c r="Q871" s="66" t="inlineStr">
        <is>
          <t>Upgrade</t>
        </is>
      </c>
      <c r="Z871" s="66">
        <f>"X-LARGE|"&amp;A871</f>
        <v/>
      </c>
      <c r="AA871" s="66">
        <f>Q871&amp;"|"&amp;Z871</f>
        <v/>
      </c>
    </row>
    <row r="872" ht="15" customHeight="1" s="39">
      <c r="A872" s="67" t="inlineStr">
        <is>
          <t>RE/FX</t>
        </is>
      </c>
      <c r="B872" s="67" t="n">
        <v>0</v>
      </c>
      <c r="C872" s="67" t="n">
        <v>0</v>
      </c>
      <c r="D872" s="67" t="n">
        <v>0</v>
      </c>
      <c r="E872" s="67" t="n">
        <v>0</v>
      </c>
      <c r="F872" s="67" t="n">
        <v>0</v>
      </c>
      <c r="G872" s="67" t="n">
        <v>0</v>
      </c>
      <c r="H872" s="67" t="n">
        <v>0</v>
      </c>
      <c r="I872" s="67" t="n">
        <v>0</v>
      </c>
      <c r="J872" s="67" t="n">
        <v>0</v>
      </c>
      <c r="K872" s="67" t="n">
        <v>0</v>
      </c>
      <c r="L872" s="67" t="n">
        <v>0</v>
      </c>
      <c r="M872" s="67" t="n">
        <v>0</v>
      </c>
      <c r="N872" s="67" t="n">
        <v>0</v>
      </c>
      <c r="O872" s="67" t="n">
        <v>0</v>
      </c>
      <c r="P872" s="67" t="n">
        <v>0</v>
      </c>
      <c r="Q872" s="66" t="inlineStr">
        <is>
          <t>Upgrade</t>
        </is>
      </c>
      <c r="Z872" s="66">
        <f>"X-LARGE|"&amp;A872</f>
        <v/>
      </c>
      <c r="AA872" s="66">
        <f>Q872&amp;"|"&amp;Z872</f>
        <v/>
      </c>
    </row>
    <row r="873" ht="15" customHeight="1" s="39">
      <c r="A873" s="67" t="inlineStr">
        <is>
          <t>MM</t>
        </is>
      </c>
      <c r="B873" s="67" t="n">
        <v>245</v>
      </c>
      <c r="C873" s="67" t="n">
        <v>10</v>
      </c>
      <c r="D873" s="67" t="n">
        <v>5</v>
      </c>
      <c r="E873" s="67" t="n">
        <v>5</v>
      </c>
      <c r="F873" s="67" t="n">
        <v>5</v>
      </c>
      <c r="G873" s="67" t="n">
        <v>2</v>
      </c>
      <c r="H873" s="67" t="n">
        <v>7</v>
      </c>
      <c r="I873" s="67" t="n">
        <v>28</v>
      </c>
      <c r="J873" s="67" t="n">
        <v>28</v>
      </c>
      <c r="K873" s="67" t="n">
        <v>3</v>
      </c>
      <c r="L873" s="67" t="n">
        <v>2</v>
      </c>
      <c r="M873" s="67" t="n">
        <v>20</v>
      </c>
      <c r="N873" s="67" t="n">
        <v>20</v>
      </c>
      <c r="O873" s="67" t="n">
        <v>0</v>
      </c>
      <c r="P873" s="67" t="n">
        <v>0</v>
      </c>
      <c r="Q873" s="66" t="inlineStr">
        <is>
          <t>Upgrade</t>
        </is>
      </c>
      <c r="Z873" s="66">
        <f>"X-LARGE|"&amp;A873</f>
        <v/>
      </c>
      <c r="AA873" s="66">
        <f>Q873&amp;"|"&amp;Z873</f>
        <v/>
      </c>
    </row>
    <row r="874" ht="15" customHeight="1" s="39">
      <c r="A874" s="67" t="inlineStr">
        <is>
          <t>PP</t>
        </is>
      </c>
      <c r="B874" s="67" t="n">
        <v>245</v>
      </c>
      <c r="C874" s="67" t="n">
        <v>10</v>
      </c>
      <c r="D874" s="67" t="n">
        <v>5</v>
      </c>
      <c r="E874" s="67" t="n">
        <v>5</v>
      </c>
      <c r="F874" s="67" t="n">
        <v>5</v>
      </c>
      <c r="G874" s="67" t="n">
        <v>2</v>
      </c>
      <c r="H874" s="67" t="n">
        <v>7</v>
      </c>
      <c r="I874" s="67" t="n">
        <v>28</v>
      </c>
      <c r="J874" s="67" t="n">
        <v>28</v>
      </c>
      <c r="K874" s="67" t="n">
        <v>3</v>
      </c>
      <c r="L874" s="67" t="n">
        <v>2</v>
      </c>
      <c r="M874" s="67" t="n">
        <v>20</v>
      </c>
      <c r="N874" s="67" t="n">
        <v>20</v>
      </c>
      <c r="O874" s="67" t="n">
        <v>0</v>
      </c>
      <c r="P874" s="67" t="n">
        <v>0</v>
      </c>
      <c r="Q874" s="66" t="inlineStr">
        <is>
          <t>Upgrade</t>
        </is>
      </c>
      <c r="Z874" s="66">
        <f>"X-LARGE|"&amp;A874</f>
        <v/>
      </c>
      <c r="AA874" s="66">
        <f>Q874&amp;"|"&amp;Z874</f>
        <v/>
      </c>
    </row>
    <row r="875" ht="15" customHeight="1" s="39">
      <c r="A875" s="67" t="inlineStr">
        <is>
          <t>SD</t>
        </is>
      </c>
      <c r="B875" s="67" t="n">
        <v>245</v>
      </c>
      <c r="C875" s="67" t="n">
        <v>10</v>
      </c>
      <c r="D875" s="67" t="n">
        <v>5</v>
      </c>
      <c r="E875" s="67" t="n">
        <v>5</v>
      </c>
      <c r="F875" s="67" t="n">
        <v>5</v>
      </c>
      <c r="G875" s="67" t="n">
        <v>2</v>
      </c>
      <c r="H875" s="67" t="n">
        <v>5</v>
      </c>
      <c r="I875" s="67" t="n">
        <v>28</v>
      </c>
      <c r="J875" s="67" t="n">
        <v>28</v>
      </c>
      <c r="K875" s="67" t="n">
        <v>3</v>
      </c>
      <c r="L875" s="67" t="n">
        <v>2</v>
      </c>
      <c r="M875" s="67" t="n">
        <v>15</v>
      </c>
      <c r="N875" s="67" t="n">
        <v>15</v>
      </c>
      <c r="O875" s="67" t="n">
        <v>0</v>
      </c>
      <c r="P875" s="67" t="n">
        <v>0</v>
      </c>
      <c r="Q875" s="66" t="inlineStr">
        <is>
          <t>Upgrade</t>
        </is>
      </c>
      <c r="Z875" s="66">
        <f>"X-LARGE|"&amp;A875</f>
        <v/>
      </c>
      <c r="AA875" s="66">
        <f>Q875&amp;"|"&amp;Z875</f>
        <v/>
      </c>
    </row>
    <row r="876" ht="15" customHeight="1" s="39">
      <c r="A876" s="67" t="inlineStr">
        <is>
          <t>QM</t>
        </is>
      </c>
      <c r="B876" s="67" t="n">
        <v>245</v>
      </c>
      <c r="C876" s="67" t="n">
        <v>8</v>
      </c>
      <c r="D876" s="67" t="n">
        <v>5</v>
      </c>
      <c r="E876" s="67" t="n">
        <v>4</v>
      </c>
      <c r="F876" s="67" t="n">
        <v>5</v>
      </c>
      <c r="G876" s="67" t="n">
        <v>1</v>
      </c>
      <c r="H876" s="67" t="n">
        <v>6</v>
      </c>
      <c r="I876" s="67" t="n">
        <v>26</v>
      </c>
      <c r="J876" s="67" t="n">
        <v>26</v>
      </c>
      <c r="K876" s="67" t="n">
        <v>2</v>
      </c>
      <c r="L876" s="67" t="n">
        <v>1</v>
      </c>
      <c r="M876" s="67" t="n">
        <v>15</v>
      </c>
      <c r="N876" s="67" t="n">
        <v>15</v>
      </c>
      <c r="O876" s="67" t="n">
        <v>0</v>
      </c>
      <c r="P876" s="67" t="n">
        <v>0</v>
      </c>
      <c r="Q876" s="66" t="inlineStr">
        <is>
          <t>Upgrade</t>
        </is>
      </c>
      <c r="Z876" s="66">
        <f>"X-LARGE|"&amp;A876</f>
        <v/>
      </c>
      <c r="AA876" s="66">
        <f>Q876&amp;"|"&amp;Z876</f>
        <v/>
      </c>
    </row>
    <row r="877" ht="15" customHeight="1" s="39">
      <c r="A877" s="67" t="inlineStr">
        <is>
          <t>PM</t>
        </is>
      </c>
      <c r="B877" s="67" t="n">
        <v>196</v>
      </c>
      <c r="C877" s="67" t="n">
        <v>8</v>
      </c>
      <c r="D877" s="67" t="n">
        <v>3</v>
      </c>
      <c r="E877" s="67" t="n">
        <v>3</v>
      </c>
      <c r="F877" s="67" t="n">
        <v>5</v>
      </c>
      <c r="G877" s="67" t="n">
        <v>1</v>
      </c>
      <c r="H877" s="67" t="n">
        <v>4</v>
      </c>
      <c r="I877" s="67" t="n">
        <v>16</v>
      </c>
      <c r="J877" s="67" t="n">
        <v>16</v>
      </c>
      <c r="K877" s="67" t="n">
        <v>2</v>
      </c>
      <c r="L877" s="67" t="n">
        <v>1</v>
      </c>
      <c r="M877" s="67" t="n">
        <v>10</v>
      </c>
      <c r="N877" s="67" t="n">
        <v>10</v>
      </c>
      <c r="O877" s="67" t="n">
        <v>0</v>
      </c>
      <c r="P877" s="67" t="n">
        <v>0</v>
      </c>
      <c r="Q877" s="66" t="inlineStr">
        <is>
          <t>Upgrade</t>
        </is>
      </c>
      <c r="Z877" s="66">
        <f>"X-LARGE|"&amp;A877</f>
        <v/>
      </c>
      <c r="AA877" s="66">
        <f>Q877&amp;"|"&amp;Z877</f>
        <v/>
      </c>
    </row>
    <row r="878" ht="15" customHeight="1" s="39">
      <c r="A878" s="67" t="inlineStr">
        <is>
          <t>PS</t>
        </is>
      </c>
      <c r="B878" s="67" t="n">
        <v>196</v>
      </c>
      <c r="C878" s="67" t="n">
        <v>8</v>
      </c>
      <c r="D878" s="67" t="n">
        <v>3</v>
      </c>
      <c r="E878" s="67" t="n">
        <v>3</v>
      </c>
      <c r="F878" s="67" t="n">
        <v>5</v>
      </c>
      <c r="G878" s="67" t="n">
        <v>1</v>
      </c>
      <c r="H878" s="67" t="n">
        <v>4</v>
      </c>
      <c r="I878" s="67" t="n">
        <v>16</v>
      </c>
      <c r="J878" s="67" t="n">
        <v>16</v>
      </c>
      <c r="K878" s="67" t="n">
        <v>2</v>
      </c>
      <c r="L878" s="67" t="n">
        <v>1</v>
      </c>
      <c r="M878" s="67" t="n">
        <v>10</v>
      </c>
      <c r="N878" s="67" t="n">
        <v>10</v>
      </c>
      <c r="O878" s="67" t="n">
        <v>0</v>
      </c>
      <c r="P878" s="67" t="n">
        <v>0</v>
      </c>
      <c r="Q878" s="66" t="inlineStr">
        <is>
          <t>Upgrade</t>
        </is>
      </c>
      <c r="Z878" s="66">
        <f>"X-LARGE|"&amp;A878</f>
        <v/>
      </c>
      <c r="AA878" s="66">
        <f>Q878&amp;"|"&amp;Z878</f>
        <v/>
      </c>
    </row>
    <row r="879" ht="15" customHeight="1" s="39">
      <c r="A879" s="67" t="inlineStr">
        <is>
          <t>MII/DM</t>
        </is>
      </c>
      <c r="B879" s="67" t="n">
        <v>0</v>
      </c>
      <c r="C879" s="67" t="n">
        <v>0</v>
      </c>
      <c r="D879" s="67" t="n">
        <v>0</v>
      </c>
      <c r="E879" s="67" t="n">
        <v>0</v>
      </c>
      <c r="F879" s="67" t="n">
        <v>0</v>
      </c>
      <c r="G879" s="67" t="n">
        <v>0</v>
      </c>
      <c r="H879" s="67" t="n">
        <v>0</v>
      </c>
      <c r="I879" s="67" t="n">
        <v>0</v>
      </c>
      <c r="J879" s="67" t="n">
        <v>0</v>
      </c>
      <c r="K879" s="67" t="n">
        <v>0</v>
      </c>
      <c r="L879" s="67" t="n">
        <v>0</v>
      </c>
      <c r="M879" s="67" t="n">
        <v>0</v>
      </c>
      <c r="N879" s="67" t="n">
        <v>0</v>
      </c>
      <c r="O879" s="67" t="n">
        <v>0</v>
      </c>
      <c r="P879" s="67" t="n">
        <v>0</v>
      </c>
      <c r="Q879" s="66" t="inlineStr">
        <is>
          <t>Upgrade</t>
        </is>
      </c>
      <c r="Z879" s="66">
        <f>"X-LARGE|"&amp;A879</f>
        <v/>
      </c>
      <c r="AA879" s="66">
        <f>Q879&amp;"|"&amp;Z879</f>
        <v/>
      </c>
    </row>
    <row r="880" ht="15" customHeight="1" s="39">
      <c r="A880" s="67" t="inlineStr">
        <is>
          <t>PM Mobility</t>
        </is>
      </c>
      <c r="B880" s="67" t="n">
        <v>0</v>
      </c>
      <c r="C880" s="67" t="n">
        <v>0</v>
      </c>
      <c r="D880" s="67" t="n">
        <v>0</v>
      </c>
      <c r="E880" s="67" t="n">
        <v>0</v>
      </c>
      <c r="F880" s="67" t="n">
        <v>0</v>
      </c>
      <c r="G880" s="67" t="n">
        <v>0</v>
      </c>
      <c r="H880" s="67" t="n">
        <v>0</v>
      </c>
      <c r="I880" s="67" t="n">
        <v>0</v>
      </c>
      <c r="J880" s="67" t="n">
        <v>0</v>
      </c>
      <c r="K880" s="67" t="n">
        <v>0</v>
      </c>
      <c r="L880" s="67" t="n">
        <v>0</v>
      </c>
      <c r="M880" s="67" t="n">
        <v>0</v>
      </c>
      <c r="N880" s="67" t="n">
        <v>0</v>
      </c>
      <c r="O880" s="67" t="n">
        <v>0</v>
      </c>
      <c r="P880" s="67" t="n">
        <v>0</v>
      </c>
      <c r="Q880" s="66" t="inlineStr">
        <is>
          <t>Upgrade</t>
        </is>
      </c>
      <c r="Z880" s="66">
        <f>"X-LARGE|"&amp;A880</f>
        <v/>
      </c>
      <c r="AA880" s="66">
        <f>Q880&amp;"|"&amp;Z880</f>
        <v/>
      </c>
    </row>
    <row r="881" ht="15" customHeight="1" s="39">
      <c r="A881" s="67" t="inlineStr">
        <is>
          <t>Basic EWM</t>
        </is>
      </c>
      <c r="B881" s="67" t="n">
        <v>245</v>
      </c>
      <c r="C881" s="67" t="n">
        <v>10</v>
      </c>
      <c r="D881" s="67" t="n">
        <v>5</v>
      </c>
      <c r="E881" s="67" t="n">
        <v>5</v>
      </c>
      <c r="F881" s="67" t="n">
        <v>5</v>
      </c>
      <c r="G881" s="67" t="n">
        <v>2</v>
      </c>
      <c r="H881" s="67" t="n">
        <v>4</v>
      </c>
      <c r="I881" s="67" t="n">
        <v>28</v>
      </c>
      <c r="J881" s="67" t="n">
        <v>28</v>
      </c>
      <c r="K881" s="67" t="n">
        <v>2</v>
      </c>
      <c r="L881" s="67" t="n">
        <v>2</v>
      </c>
      <c r="M881" s="67" t="n">
        <v>10</v>
      </c>
      <c r="N881" s="67" t="n">
        <v>10</v>
      </c>
      <c r="O881" s="67" t="n">
        <v>0</v>
      </c>
      <c r="P881" s="67" t="n">
        <v>0</v>
      </c>
      <c r="Q881" s="66" t="inlineStr">
        <is>
          <t>Upgrade</t>
        </is>
      </c>
      <c r="Z881" s="66">
        <f>"X-LARGE|"&amp;A881</f>
        <v/>
      </c>
      <c r="AA881" s="66">
        <f>Q881&amp;"|"&amp;Z881</f>
        <v/>
      </c>
    </row>
    <row r="882" ht="15" customHeight="1" s="39">
      <c r="A882" s="67" t="inlineStr">
        <is>
          <t>Advanced EWM</t>
        </is>
      </c>
      <c r="B882" s="67" t="n">
        <v>0</v>
      </c>
      <c r="C882" s="67" t="n">
        <v>0</v>
      </c>
      <c r="D882" s="67" t="n">
        <v>0</v>
      </c>
      <c r="E882" s="67" t="n">
        <v>0</v>
      </c>
      <c r="F882" s="67" t="n">
        <v>0</v>
      </c>
      <c r="G882" s="67" t="n">
        <v>0</v>
      </c>
      <c r="H882" s="67" t="n">
        <v>0</v>
      </c>
      <c r="I882" s="67" t="n">
        <v>0</v>
      </c>
      <c r="J882" s="67" t="n">
        <v>0</v>
      </c>
      <c r="K882" s="67" t="n">
        <v>0</v>
      </c>
      <c r="L882" s="67" t="n">
        <v>0</v>
      </c>
      <c r="M882" s="67" t="n">
        <v>0</v>
      </c>
      <c r="N882" s="67" t="n">
        <v>0</v>
      </c>
      <c r="O882" s="67" t="n">
        <v>0</v>
      </c>
      <c r="P882" s="67" t="n">
        <v>0</v>
      </c>
      <c r="Q882" s="66" t="inlineStr">
        <is>
          <t>Upgrade</t>
        </is>
      </c>
      <c r="Z882" s="66">
        <f>"X-LARGE|"&amp;A882</f>
        <v/>
      </c>
      <c r="AA882" s="66">
        <f>Q882&amp;"|"&amp;Z882</f>
        <v/>
      </c>
    </row>
    <row r="883" ht="15" customHeight="1" s="39">
      <c r="A883" s="67" t="inlineStr">
        <is>
          <t>TM</t>
        </is>
      </c>
      <c r="B883" s="67" t="n">
        <v>147</v>
      </c>
      <c r="C883" s="67" t="n">
        <v>5</v>
      </c>
      <c r="D883" s="67" t="n">
        <v>4</v>
      </c>
      <c r="E883" s="67" t="n">
        <v>3</v>
      </c>
      <c r="F883" s="67" t="n">
        <v>6</v>
      </c>
      <c r="G883" s="67" t="n">
        <v>2</v>
      </c>
      <c r="H883" s="67" t="n">
        <v>4</v>
      </c>
      <c r="I883" s="67" t="n">
        <v>15</v>
      </c>
      <c r="J883" s="67" t="n">
        <v>15</v>
      </c>
      <c r="K883" s="67" t="n">
        <v>2</v>
      </c>
      <c r="L883" s="67" t="n">
        <v>2</v>
      </c>
      <c r="M883" s="67" t="n">
        <v>6</v>
      </c>
      <c r="N883" s="67" t="n">
        <v>8</v>
      </c>
      <c r="O883" s="67" t="n">
        <v>0</v>
      </c>
      <c r="P883" s="67" t="n">
        <v>0</v>
      </c>
      <c r="Q883" s="66" t="inlineStr">
        <is>
          <t>Upgrade</t>
        </is>
      </c>
      <c r="Z883" s="66">
        <f>"X-LARGE|"&amp;A883</f>
        <v/>
      </c>
      <c r="AA883" s="66">
        <f>Q883&amp;"|"&amp;Z883</f>
        <v/>
      </c>
    </row>
    <row r="884" ht="15" customHeight="1" s="39">
      <c r="A884" s="67" t="inlineStr">
        <is>
          <t>PPDS</t>
        </is>
      </c>
      <c r="B884" s="67" t="n">
        <v>147</v>
      </c>
      <c r="C884" s="67" t="n">
        <v>4</v>
      </c>
      <c r="D884" s="67" t="n">
        <v>3</v>
      </c>
      <c r="E884" s="67" t="n">
        <v>5</v>
      </c>
      <c r="F884" s="67" t="n">
        <v>5</v>
      </c>
      <c r="G884" s="67" t="n">
        <v>1</v>
      </c>
      <c r="H884" s="67" t="n">
        <v>2</v>
      </c>
      <c r="I884" s="67" t="n">
        <v>15</v>
      </c>
      <c r="J884" s="67" t="n">
        <v>15</v>
      </c>
      <c r="K884" s="67" t="n">
        <v>1</v>
      </c>
      <c r="L884" s="67" t="n">
        <v>1</v>
      </c>
      <c r="M884" s="67" t="n">
        <v>3</v>
      </c>
      <c r="N884" s="67" t="n">
        <v>3</v>
      </c>
      <c r="O884" s="67" t="n">
        <v>0</v>
      </c>
      <c r="P884" s="67" t="n">
        <v>0</v>
      </c>
      <c r="Q884" s="66" t="inlineStr">
        <is>
          <t>Upgrade</t>
        </is>
      </c>
      <c r="Z884" s="66">
        <f>"X-LARGE|"&amp;A884</f>
        <v/>
      </c>
      <c r="AA884" s="66">
        <f>Q884&amp;"|"&amp;Z884</f>
        <v/>
      </c>
    </row>
    <row r="885" ht="15" customHeight="1" s="39">
      <c r="A885" s="67" t="inlineStr">
        <is>
          <t>ABAP</t>
        </is>
      </c>
      <c r="B885" s="67" t="n">
        <v>0</v>
      </c>
      <c r="C885" s="67" t="n">
        <v>0</v>
      </c>
      <c r="D885" s="67" t="n">
        <v>0</v>
      </c>
      <c r="E885" s="67" t="n">
        <v>0</v>
      </c>
      <c r="F885" s="67" t="n">
        <v>0</v>
      </c>
      <c r="G885" s="67" t="n">
        <v>0</v>
      </c>
      <c r="H885" s="67" t="n">
        <v>0</v>
      </c>
      <c r="I885" s="67" t="n">
        <v>0</v>
      </c>
      <c r="J885" s="67" t="n">
        <v>0</v>
      </c>
      <c r="K885" s="67" t="n">
        <v>0</v>
      </c>
      <c r="L885" s="67" t="n">
        <v>0</v>
      </c>
      <c r="M885" s="67" t="n">
        <v>0</v>
      </c>
      <c r="N885" s="67" t="n">
        <v>0</v>
      </c>
      <c r="O885" s="67" t="n">
        <v>0</v>
      </c>
      <c r="P885" s="67" t="n">
        <v>0</v>
      </c>
      <c r="Q885" s="66" t="inlineStr">
        <is>
          <t>Upgrade</t>
        </is>
      </c>
      <c r="Z885" s="66">
        <f>"X-LARGE|"&amp;A885</f>
        <v/>
      </c>
      <c r="AA885" s="66">
        <f>Q885&amp;"|"&amp;Z885</f>
        <v/>
      </c>
    </row>
    <row r="886" ht="15" customHeight="1" s="39">
      <c r="A886" s="67" t="inlineStr">
        <is>
          <t>BASIS</t>
        </is>
      </c>
      <c r="B886" s="67" t="n">
        <v>0</v>
      </c>
      <c r="C886" s="67" t="n">
        <v>0</v>
      </c>
      <c r="D886" s="67" t="n">
        <v>0</v>
      </c>
      <c r="E886" s="67" t="n">
        <v>0</v>
      </c>
      <c r="F886" s="67" t="n">
        <v>0</v>
      </c>
      <c r="G886" s="67" t="n">
        <v>0</v>
      </c>
      <c r="H886" s="67" t="n">
        <v>0</v>
      </c>
      <c r="I886" s="67" t="n">
        <v>0</v>
      </c>
      <c r="J886" s="67" t="n">
        <v>0</v>
      </c>
      <c r="K886" s="67" t="n">
        <v>0</v>
      </c>
      <c r="L886" s="67" t="n">
        <v>0</v>
      </c>
      <c r="M886" s="67" t="n">
        <v>0</v>
      </c>
      <c r="N886" s="67" t="n">
        <v>0</v>
      </c>
      <c r="O886" s="67" t="n">
        <v>0</v>
      </c>
      <c r="P886" s="67" t="n">
        <v>0</v>
      </c>
      <c r="Q886" s="66" t="inlineStr">
        <is>
          <t>Upgrade</t>
        </is>
      </c>
      <c r="Z886" s="66">
        <f>"X-LARGE|"&amp;A886</f>
        <v/>
      </c>
      <c r="AA886" s="66">
        <f>Q886&amp;"|"&amp;Z886</f>
        <v/>
      </c>
    </row>
    <row r="887" ht="15" customHeight="1" s="39">
      <c r="A887" s="67" t="inlineStr">
        <is>
          <t>E-Fatura/Arşiv</t>
        </is>
      </c>
      <c r="B887" s="67" t="n">
        <v>5</v>
      </c>
      <c r="C887" s="67" t="n">
        <v>2</v>
      </c>
      <c r="D887" s="67" t="n">
        <v>0</v>
      </c>
      <c r="E887" s="67" t="n">
        <v>2</v>
      </c>
      <c r="F887" s="67" t="n">
        <v>2</v>
      </c>
      <c r="G887" s="67" t="n">
        <v>1</v>
      </c>
      <c r="H887" s="67" t="n">
        <v>1</v>
      </c>
      <c r="I887" s="67" t="n">
        <v>3</v>
      </c>
      <c r="J887" s="67" t="n">
        <v>3</v>
      </c>
      <c r="K887" s="67" t="n">
        <v>0</v>
      </c>
      <c r="L887" s="67" t="n">
        <v>1</v>
      </c>
      <c r="M887" s="67" t="n">
        <v>1</v>
      </c>
      <c r="N887" s="67" t="n">
        <v>0</v>
      </c>
      <c r="O887" s="67" t="n">
        <v>0</v>
      </c>
      <c r="P887" s="67" t="n">
        <v>0</v>
      </c>
      <c r="Q887" s="66" t="inlineStr">
        <is>
          <t>Upgrade</t>
        </is>
      </c>
      <c r="Z887" s="66">
        <f>"X-LARGE|"&amp;A887</f>
        <v/>
      </c>
      <c r="AA887" s="66">
        <f>Q887&amp;"|"&amp;Z887</f>
        <v/>
      </c>
    </row>
    <row r="888" ht="15" customHeight="1" s="39">
      <c r="A888" s="67" t="inlineStr">
        <is>
          <t>E-İrsaliye</t>
        </is>
      </c>
      <c r="B888" s="67" t="n">
        <v>5</v>
      </c>
      <c r="C888" s="67" t="n">
        <v>2</v>
      </c>
      <c r="D888" s="67" t="n">
        <v>0</v>
      </c>
      <c r="E888" s="67" t="n">
        <v>2</v>
      </c>
      <c r="F888" s="67" t="n">
        <v>2</v>
      </c>
      <c r="G888" s="67" t="n">
        <v>1</v>
      </c>
      <c r="H888" s="67" t="n">
        <v>1</v>
      </c>
      <c r="I888" s="67" t="n">
        <v>3</v>
      </c>
      <c r="J888" s="67" t="n">
        <v>3</v>
      </c>
      <c r="K888" s="67" t="n">
        <v>0</v>
      </c>
      <c r="L888" s="67" t="n">
        <v>1</v>
      </c>
      <c r="M888" s="67" t="n">
        <v>1</v>
      </c>
      <c r="N888" s="67" t="n">
        <v>0</v>
      </c>
      <c r="O888" s="67" t="n">
        <v>0</v>
      </c>
      <c r="P888" s="67" t="n">
        <v>0</v>
      </c>
      <c r="Q888" s="66" t="inlineStr">
        <is>
          <t>Upgrade</t>
        </is>
      </c>
      <c r="Z888" s="66">
        <f>"X-LARGE|"&amp;A888</f>
        <v/>
      </c>
      <c r="AA888" s="66">
        <f>Q888&amp;"|"&amp;Z888</f>
        <v/>
      </c>
    </row>
    <row r="889" ht="15" customHeight="1" s="39">
      <c r="A889" s="67" t="inlineStr">
        <is>
          <t>E-Defter</t>
        </is>
      </c>
      <c r="B889" s="67" t="n">
        <v>3</v>
      </c>
      <c r="C889" s="67" t="n">
        <v>2</v>
      </c>
      <c r="D889" s="67" t="n">
        <v>0</v>
      </c>
      <c r="E889" s="67" t="n">
        <v>3</v>
      </c>
      <c r="F889" s="67" t="n">
        <v>3</v>
      </c>
      <c r="G889" s="67" t="n">
        <v>1</v>
      </c>
      <c r="H889" s="67" t="n">
        <v>1</v>
      </c>
      <c r="I889" s="67" t="n">
        <v>0</v>
      </c>
      <c r="J889" s="67" t="n">
        <v>0</v>
      </c>
      <c r="K889" s="67" t="n">
        <v>0</v>
      </c>
      <c r="L889" s="67" t="n">
        <v>3</v>
      </c>
      <c r="M889" s="67" t="n">
        <v>1</v>
      </c>
      <c r="N889" s="67" t="n">
        <v>0</v>
      </c>
      <c r="O889" s="67" t="n">
        <v>0</v>
      </c>
      <c r="P889" s="67" t="n">
        <v>0</v>
      </c>
      <c r="Q889" s="66" t="inlineStr">
        <is>
          <t>Upgrade</t>
        </is>
      </c>
      <c r="Z889" s="66">
        <f>"X-LARGE|"&amp;A889</f>
        <v/>
      </c>
      <c r="AA889" s="66">
        <f>Q889&amp;"|"&amp;Z889</f>
        <v/>
      </c>
    </row>
    <row r="890" ht="15" customHeight="1" s="39">
      <c r="A890" s="67" t="inlineStr">
        <is>
          <t>E-Hesap Özeti</t>
        </is>
      </c>
      <c r="B890" s="67" t="n">
        <v>5</v>
      </c>
      <c r="C890" s="67" t="n">
        <v>3</v>
      </c>
      <c r="D890" s="67" t="n">
        <v>0</v>
      </c>
      <c r="E890" s="67" t="n">
        <v>4</v>
      </c>
      <c r="F890" s="67" t="n">
        <v>3</v>
      </c>
      <c r="G890" s="67" t="n">
        <v>1</v>
      </c>
      <c r="H890" s="67" t="n">
        <v>0</v>
      </c>
      <c r="I890" s="67" t="n">
        <v>3</v>
      </c>
      <c r="J890" s="67" t="n">
        <v>3</v>
      </c>
      <c r="K890" s="67" t="n">
        <v>0</v>
      </c>
      <c r="L890" s="67" t="n">
        <v>2</v>
      </c>
      <c r="M890" s="67" t="n">
        <v>1</v>
      </c>
      <c r="N890" s="67" t="n">
        <v>0</v>
      </c>
      <c r="O890" s="67" t="n">
        <v>0</v>
      </c>
      <c r="P890" s="67" t="n">
        <v>0</v>
      </c>
      <c r="Q890" s="66" t="inlineStr">
        <is>
          <t>Upgrade</t>
        </is>
      </c>
      <c r="Z890" s="66">
        <f>"X-LARGE|"&amp;A890</f>
        <v/>
      </c>
      <c r="AA890" s="66">
        <f>Q890&amp;"|"&amp;Z890</f>
        <v/>
      </c>
    </row>
    <row r="891" ht="15" customHeight="1" s="39">
      <c r="A891" s="67" t="inlineStr">
        <is>
          <t>E-Ödeme</t>
        </is>
      </c>
      <c r="B891" s="67" t="n">
        <v>5</v>
      </c>
      <c r="C891" s="67" t="n">
        <v>3</v>
      </c>
      <c r="D891" s="67" t="n">
        <v>0</v>
      </c>
      <c r="E891" s="67" t="n">
        <v>4</v>
      </c>
      <c r="F891" s="67" t="n">
        <v>3</v>
      </c>
      <c r="G891" s="67" t="n">
        <v>1</v>
      </c>
      <c r="H891" s="67" t="n">
        <v>0</v>
      </c>
      <c r="I891" s="67" t="n">
        <v>3</v>
      </c>
      <c r="J891" s="67" t="n">
        <v>3</v>
      </c>
      <c r="K891" s="67" t="n">
        <v>0</v>
      </c>
      <c r="L891" s="67" t="n">
        <v>2</v>
      </c>
      <c r="M891" s="67" t="n">
        <v>1</v>
      </c>
      <c r="N891" s="67" t="n">
        <v>0</v>
      </c>
      <c r="O891" s="67" t="n">
        <v>0</v>
      </c>
      <c r="P891" s="67" t="n">
        <v>0</v>
      </c>
      <c r="Q891" s="66" t="inlineStr">
        <is>
          <t>Upgrade</t>
        </is>
      </c>
      <c r="Z891" s="66">
        <f>"X-LARGE|"&amp;A891</f>
        <v/>
      </c>
      <c r="AA891" s="66">
        <f>Q891&amp;"|"&amp;Z891</f>
        <v/>
      </c>
    </row>
    <row r="892" ht="15" customHeight="1" s="39">
      <c r="A892" s="67" t="inlineStr">
        <is>
          <t>E-Mutabakat</t>
        </is>
      </c>
      <c r="B892" s="67" t="n">
        <v>5</v>
      </c>
      <c r="C892" s="67" t="n">
        <v>3</v>
      </c>
      <c r="D892" s="67" t="n">
        <v>0</v>
      </c>
      <c r="E892" s="67" t="n">
        <v>3</v>
      </c>
      <c r="F892" s="67" t="n">
        <v>3</v>
      </c>
      <c r="G892" s="67" t="n">
        <v>1</v>
      </c>
      <c r="H892" s="67" t="n">
        <v>0</v>
      </c>
      <c r="I892" s="67" t="n">
        <v>3</v>
      </c>
      <c r="J892" s="67" t="n">
        <v>3</v>
      </c>
      <c r="K892" s="67" t="n">
        <v>0</v>
      </c>
      <c r="L892" s="67" t="n">
        <v>2</v>
      </c>
      <c r="M892" s="67" t="n">
        <v>1</v>
      </c>
      <c r="N892" s="67" t="n">
        <v>0</v>
      </c>
      <c r="O892" s="67" t="n">
        <v>0</v>
      </c>
      <c r="P892" s="67" t="n">
        <v>0</v>
      </c>
      <c r="Q892" s="66" t="inlineStr">
        <is>
          <t>Upgrade</t>
        </is>
      </c>
      <c r="Z892" s="66">
        <f>"X-LARGE|"&amp;A892</f>
        <v/>
      </c>
      <c r="AA892" s="66">
        <f>Q892&amp;"|"&amp;Z892</f>
        <v/>
      </c>
    </row>
    <row r="893" ht="15" customHeight="1" s="39">
      <c r="A893" s="67" t="inlineStr">
        <is>
          <t>E-Beyanname</t>
        </is>
      </c>
      <c r="B893" s="67" t="n">
        <v>6</v>
      </c>
      <c r="C893" s="67" t="n">
        <v>3</v>
      </c>
      <c r="D893" s="67" t="n">
        <v>0</v>
      </c>
      <c r="E893" s="67" t="n">
        <v>6</v>
      </c>
      <c r="F893" s="67" t="n">
        <v>3</v>
      </c>
      <c r="G893" s="67" t="n">
        <v>2</v>
      </c>
      <c r="H893" s="67" t="n">
        <v>0</v>
      </c>
      <c r="I893" s="67" t="n">
        <v>0</v>
      </c>
      <c r="J893" s="67" t="n">
        <v>0</v>
      </c>
      <c r="K893" s="67" t="n">
        <v>0</v>
      </c>
      <c r="L893" s="67" t="n">
        <v>4</v>
      </c>
      <c r="M893" s="67" t="n">
        <v>2</v>
      </c>
      <c r="N893" s="67" t="n">
        <v>0</v>
      </c>
      <c r="O893" s="67" t="n">
        <v>0</v>
      </c>
      <c r="P893" s="67" t="n">
        <v>0</v>
      </c>
      <c r="Q893" s="66" t="inlineStr">
        <is>
          <t>Upgrade</t>
        </is>
      </c>
      <c r="Z893" s="66">
        <f>"X-LARGE|"&amp;A893</f>
        <v/>
      </c>
      <c r="AA893" s="66">
        <f>Q893&amp;"|"&amp;Z893</f>
        <v/>
      </c>
    </row>
    <row r="894" ht="15" customHeight="1" s="39">
      <c r="A894" s="67" t="inlineStr">
        <is>
          <t>Gelen Fatura Otomasyon</t>
        </is>
      </c>
      <c r="B894" s="67" t="n">
        <v>5</v>
      </c>
      <c r="C894" s="67" t="n">
        <v>2</v>
      </c>
      <c r="D894" s="67" t="n">
        <v>0</v>
      </c>
      <c r="E894" s="67" t="n">
        <v>3</v>
      </c>
      <c r="F894" s="67" t="n">
        <v>4</v>
      </c>
      <c r="G894" s="67" t="n">
        <v>2</v>
      </c>
      <c r="H894" s="67" t="n">
        <v>0</v>
      </c>
      <c r="I894" s="67" t="n">
        <v>2</v>
      </c>
      <c r="J894" s="67" t="n">
        <v>2</v>
      </c>
      <c r="K894" s="67" t="n">
        <v>0</v>
      </c>
      <c r="L894" s="67" t="n">
        <v>4</v>
      </c>
      <c r="M894" s="67" t="n">
        <v>1</v>
      </c>
      <c r="N894" s="67" t="n">
        <v>0</v>
      </c>
      <c r="O894" s="67" t="n">
        <v>0</v>
      </c>
      <c r="P894" s="67" t="n">
        <v>0</v>
      </c>
      <c r="Q894" s="66" t="inlineStr">
        <is>
          <t>Upgrade</t>
        </is>
      </c>
      <c r="Z894" s="66">
        <f>"X-LARGE|"&amp;A894</f>
        <v/>
      </c>
      <c r="AA894" s="66">
        <f>Q894&amp;"|"&amp;Z894</f>
        <v/>
      </c>
    </row>
    <row r="895" ht="15" customHeight="1" s="39">
      <c r="A895" s="67" t="inlineStr">
        <is>
          <t>GLASSWING</t>
        </is>
      </c>
      <c r="B895" s="67" t="n">
        <v>60</v>
      </c>
      <c r="C895" s="67" t="n">
        <v>6</v>
      </c>
      <c r="D895" s="67" t="n">
        <v>2</v>
      </c>
      <c r="E895" s="67" t="n">
        <v>15</v>
      </c>
      <c r="F895" s="67" t="n">
        <v>10</v>
      </c>
      <c r="G895" s="67" t="n">
        <v>2</v>
      </c>
      <c r="H895" s="67" t="n">
        <v>0</v>
      </c>
      <c r="I895" s="67" t="n">
        <v>25</v>
      </c>
      <c r="J895" s="67" t="n">
        <v>25</v>
      </c>
      <c r="K895" s="67" t="n">
        <v>13</v>
      </c>
      <c r="L895" s="67" t="n">
        <v>2</v>
      </c>
      <c r="M895" s="67" t="n">
        <v>5</v>
      </c>
      <c r="N895" s="67" t="n">
        <v>10</v>
      </c>
      <c r="O895" s="67" t="n">
        <v>0</v>
      </c>
      <c r="P895" s="67" t="n">
        <v>0</v>
      </c>
      <c r="Q895" s="66" t="inlineStr">
        <is>
          <t>Upgrade</t>
        </is>
      </c>
      <c r="Z895" s="66">
        <f>"X-LARGE|"&amp;A895</f>
        <v/>
      </c>
      <c r="AA895" s="66">
        <f>Q895&amp;"|"&amp;Z895</f>
        <v/>
      </c>
    </row>
    <row r="896" ht="15" customHeight="1" s="39">
      <c r="A896" s="67" t="inlineStr">
        <is>
          <t>COMMODITY</t>
        </is>
      </c>
      <c r="B896" s="67" t="n">
        <v>100</v>
      </c>
      <c r="C896" s="67" t="n">
        <v>9</v>
      </c>
      <c r="D896" s="67" t="n">
        <v>3</v>
      </c>
      <c r="E896" s="67" t="n">
        <v>15</v>
      </c>
      <c r="F896" s="67" t="n">
        <v>15</v>
      </c>
      <c r="G896" s="67" t="n">
        <v>2</v>
      </c>
      <c r="H896" s="67" t="n">
        <v>1</v>
      </c>
      <c r="I896" s="67" t="n">
        <v>30</v>
      </c>
      <c r="J896" s="67" t="n">
        <v>30</v>
      </c>
      <c r="K896" s="67" t="n">
        <v>10</v>
      </c>
      <c r="L896" s="67" t="n">
        <v>2</v>
      </c>
      <c r="M896" s="67" t="n">
        <v>8</v>
      </c>
      <c r="N896" s="67" t="n">
        <v>15</v>
      </c>
      <c r="O896" s="67" t="n">
        <v>0</v>
      </c>
      <c r="P896" s="67" t="n">
        <v>0</v>
      </c>
      <c r="Q896" s="66" t="inlineStr">
        <is>
          <t>Upgrade</t>
        </is>
      </c>
      <c r="Z896" s="66">
        <f>"X-LARGE|"&amp;A896</f>
        <v/>
      </c>
      <c r="AA896" s="66">
        <f>Q896&amp;"|"&amp;Z896</f>
        <v/>
      </c>
    </row>
    <row r="897" ht="15" customHeight="1" s="39">
      <c r="A897" s="67" t="inlineStr">
        <is>
          <t>Dış Ticaret Çözümü</t>
        </is>
      </c>
      <c r="B897" s="67" t="n">
        <v>0</v>
      </c>
      <c r="C897" s="67" t="n">
        <v>0</v>
      </c>
      <c r="D897" s="67" t="n">
        <v>0</v>
      </c>
      <c r="E897" s="67" t="n">
        <v>0</v>
      </c>
      <c r="F897" s="67" t="n">
        <v>0</v>
      </c>
      <c r="G897" s="67" t="n">
        <v>0</v>
      </c>
      <c r="H897" s="67" t="n">
        <v>0</v>
      </c>
      <c r="I897" s="67" t="n">
        <v>0</v>
      </c>
      <c r="J897" s="67" t="n">
        <v>0</v>
      </c>
      <c r="K897" s="67" t="n">
        <v>0</v>
      </c>
      <c r="L897" s="67" t="n">
        <v>0</v>
      </c>
      <c r="M897" s="67" t="n">
        <v>0</v>
      </c>
      <c r="N897" s="67" t="n">
        <v>0</v>
      </c>
      <c r="O897" s="67" t="n">
        <v>0</v>
      </c>
      <c r="P897" s="67" t="n">
        <v>0</v>
      </c>
      <c r="Q897" s="66" t="inlineStr">
        <is>
          <t>Upgrade</t>
        </is>
      </c>
      <c r="Z897" s="66">
        <f>"X-LARGE|"&amp;A897</f>
        <v/>
      </c>
      <c r="AA897" s="66">
        <f>Q897&amp;"|"&amp;Z897</f>
        <v/>
      </c>
    </row>
    <row r="898" ht="15" customHeight="1" s="39">
      <c r="A898" s="67" t="inlineStr">
        <is>
          <t>Seyahat ve Masraf Yönetimi</t>
        </is>
      </c>
      <c r="B898" s="67" t="n">
        <v>0</v>
      </c>
      <c r="C898" s="67" t="n">
        <v>0</v>
      </c>
      <c r="D898" s="67" t="n">
        <v>0</v>
      </c>
      <c r="E898" s="67" t="n">
        <v>0</v>
      </c>
      <c r="F898" s="67" t="n">
        <v>0</v>
      </c>
      <c r="G898" s="67" t="n">
        <v>0</v>
      </c>
      <c r="H898" s="67" t="n">
        <v>0</v>
      </c>
      <c r="I898" s="67" t="n">
        <v>0</v>
      </c>
      <c r="J898" s="67" t="n">
        <v>0</v>
      </c>
      <c r="K898" s="67" t="n">
        <v>0</v>
      </c>
      <c r="L898" s="67" t="n">
        <v>0</v>
      </c>
      <c r="M898" s="67" t="n">
        <v>0</v>
      </c>
      <c r="N898" s="67" t="n">
        <v>0</v>
      </c>
      <c r="O898" s="67" t="n">
        <v>0</v>
      </c>
      <c r="P898" s="67" t="n">
        <v>0</v>
      </c>
      <c r="Q898" s="66" t="inlineStr">
        <is>
          <t>Upgrade</t>
        </is>
      </c>
      <c r="Z898" s="66">
        <f>"X-LARGE|"&amp;A898</f>
        <v/>
      </c>
      <c r="AA898" s="66">
        <f>Q898&amp;"|"&amp;Z898</f>
        <v/>
      </c>
    </row>
    <row r="899" ht="15" customHeight="1" s="39">
      <c r="A899" s="67" t="inlineStr">
        <is>
          <t>NTT Data POS</t>
        </is>
      </c>
      <c r="B899" s="67" t="n">
        <v>0</v>
      </c>
      <c r="C899" s="67" t="n">
        <v>0</v>
      </c>
      <c r="D899" s="67" t="n">
        <v>0</v>
      </c>
      <c r="E899" s="67" t="n">
        <v>0</v>
      </c>
      <c r="F899" s="67" t="n">
        <v>0</v>
      </c>
      <c r="G899" s="67" t="n">
        <v>0</v>
      </c>
      <c r="H899" s="67" t="n">
        <v>0</v>
      </c>
      <c r="I899" s="67" t="n">
        <v>0</v>
      </c>
      <c r="J899" s="67" t="n">
        <v>0</v>
      </c>
      <c r="K899" s="67" t="n">
        <v>0</v>
      </c>
      <c r="L899" s="67" t="n">
        <v>0</v>
      </c>
      <c r="M899" s="67" t="n">
        <v>0</v>
      </c>
      <c r="N899" s="67" t="n">
        <v>0</v>
      </c>
      <c r="O899" s="67" t="n">
        <v>0</v>
      </c>
      <c r="P899" s="67" t="n">
        <v>0</v>
      </c>
      <c r="Q899" s="66" t="inlineStr">
        <is>
          <t>Upgrade</t>
        </is>
      </c>
      <c r="Z899" s="66">
        <f>"X-LARGE|"&amp;A899</f>
        <v/>
      </c>
      <c r="AA899" s="66">
        <f>Q899&amp;"|"&amp;Z899</f>
        <v/>
      </c>
    </row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K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8" activeCellId="0" sqref="A8"/>
    </sheetView>
  </sheetViews>
  <sheetFormatPr baseColWidth="8" defaultColWidth="8.57421875" defaultRowHeight="15" customHeight="1" zeroHeight="0" outlineLevelRow="0"/>
  <cols>
    <col width="18.57" customWidth="1" style="38" min="1" max="1"/>
    <col width="5.86" customWidth="1" style="38" min="2" max="2"/>
    <col width="58.29" customWidth="1" style="38" min="3" max="3"/>
    <col width="62.57" customWidth="1" style="38" min="4" max="4"/>
    <col width="21.86" customWidth="1" style="38" min="5" max="5"/>
    <col width="13" customWidth="1" style="38" min="6" max="6"/>
    <col width="16.43" customWidth="1" style="38" min="7" max="7"/>
    <col width="21.86" customWidth="1" style="38" min="8" max="8"/>
    <col width="20.72" customWidth="1" style="38" min="9" max="9"/>
    <col width="7.86" customWidth="1" style="38" min="10" max="10"/>
    <col width="8.289999999999999" customWidth="1" style="38" min="11" max="11"/>
  </cols>
  <sheetData>
    <row r="1" ht="15" customHeight="1" s="39">
      <c r="A1" s="67" t="inlineStr">
        <is>
          <t>Dependency Type</t>
        </is>
      </c>
      <c r="B1" s="67">
        <f>INDEX(Translations!$D:$ZZ, MATCH(16,Translations!$A:$A,0), MATCH('Project Information'!$C$4,Translations!$D$1:$ZZ$1,0))</f>
        <v/>
      </c>
      <c r="C1" s="67">
        <f>INDEX(Translations!$D:$ZZ, MATCH(48,Translations!$A:$A,0), MATCH('Project Information'!$C$4,Translations!$D$1:$ZZ$1,0))</f>
        <v/>
      </c>
      <c r="D1" s="67">
        <f>INDEX(Translations!$D:$ZZ, MATCH(18,Translations!$A:$A,0), MATCH('Project Information'!$C$4,Translations!$D$1:$ZZ$1,0))</f>
        <v/>
      </c>
      <c r="E1" s="67">
        <f>INDEX(Translations!$D:$ZZ, MATCH(49,Translations!$A:$A,0), MATCH('Project Information'!$C$4,Translations!$D$1:$ZZ$1,0))</f>
        <v/>
      </c>
      <c r="F1" s="67">
        <f>INDEX(Translations!$D:$ZZ, MATCH(162,Translations!$A:$A,0), MATCH('Project Information'!$C$4,Translations!$D$1:$ZZ$1,0))</f>
        <v/>
      </c>
      <c r="G1" s="67">
        <f>INDEX(Translations!$D:$ZZ, MATCH(50,Translations!$A:$A,0), MATCH('Project Information'!$C$4,Translations!$D$1:$ZZ$1,0))</f>
        <v/>
      </c>
      <c r="H1" s="67">
        <f>INDEX(Translations!$D:$ZZ, MATCH(51,Translations!$A:$A,0), MATCH('Project Information'!$C$4,Translations!$D$1:$ZZ$1,0))</f>
        <v/>
      </c>
      <c r="I1" s="67">
        <f>INDEX(Translations!$D:$ZZ, MATCH(52,Translations!$A:$A,0), MATCH('Project Information'!$C$4,Translations!$D$1:$ZZ$1,0))</f>
        <v/>
      </c>
      <c r="J1" s="67">
        <f>INDEX(Translations!$D:$ZZ, MATCH(20,Translations!$A:$A,0), MATCH('Project Information'!$C$4,Translations!$D$1:$ZZ$1,0))</f>
        <v/>
      </c>
      <c r="K1" s="67">
        <f>INDEX(Translations!$D:$ZZ, MATCH(53,Translations!$A:$A,0), MATCH('Project Information'!$C$4,Translations!$D$1:$ZZ$1,0))</f>
        <v/>
      </c>
    </row>
    <row r="2" ht="30" customHeight="1" s="39">
      <c r="A2" s="63" t="inlineStr">
        <is>
          <t>Size Variables</t>
        </is>
      </c>
      <c r="B2" s="63" t="n">
        <v>1</v>
      </c>
      <c r="C2" s="63">
        <f>INDEX(Translations!$D:$ZZ, MATCH(25,Translations!$A:$A,0), MATCH('Project Information'!$C$4,Translations!$D$1:$ZZ$1,0))</f>
        <v/>
      </c>
      <c r="D2" s="69">
        <f>INDEX(Translations!$D:$ZZ, MATCH(26,Translations!$A:$A,0), MATCH('Project Information'!$C$4,Translations!$D$1:$ZZ$1,0))</f>
        <v/>
      </c>
      <c r="E2" s="63">
        <f>INDEX(Translations!$D:$ZZ, MATCH(62,Translations!$A:$A,0), MATCH('Project Information'!$C$4,Translations!$D$1:$ZZ$1,0))</f>
        <v/>
      </c>
      <c r="F2" s="63">
        <f>INDEX(Translations!$D:$ZZ, MATCH(166,Translations!$A:$A,0), MATCH('Project Information'!$C$4,Translations!$D$1:$ZZ$1,0))</f>
        <v/>
      </c>
      <c r="G2" s="63">
        <f>INDEX(Translations!$D:$ZZ, MATCH(63,Translations!$A:$A,0), MATCH('Project Information'!$C$4,Translations!$D$1:$ZZ$1,0))</f>
        <v/>
      </c>
      <c r="H2" s="63">
        <f>INDEX(Translations!$D:$ZZ, MATCH(64,Translations!$A:$A,0), MATCH('Project Information'!$C$4,Translations!$D$1:$ZZ$1,0))</f>
        <v/>
      </c>
      <c r="I2" s="63">
        <f>INDEX(Translations!$D:$ZZ, MATCH(27,Translations!$A:$A,0), MATCH('Project Information'!$C$4,Translations!$D$1:$ZZ$1,0))</f>
        <v/>
      </c>
      <c r="J2" s="63" t="n">
        <v>5</v>
      </c>
      <c r="K2" s="63" t="n"/>
    </row>
    <row r="3" ht="15" customHeight="1" s="39">
      <c r="A3" s="63" t="inlineStr">
        <is>
          <t>Size Variables</t>
        </is>
      </c>
      <c r="B3" s="63" t="n">
        <v>2</v>
      </c>
      <c r="C3" s="63">
        <f>INDEX(Translations!$D:$ZZ, MATCH(164,Translations!$A:$A,0), MATCH('Project Information'!$C$4,Translations!$D$1:$ZZ$1,0))</f>
        <v/>
      </c>
      <c r="D3" s="63">
        <f>INDEX(Translations!$D:$ZZ, MATCH(165,Translations!$A:$A,0), MATCH('Project Information'!$C$4,Translations!$D$1:$ZZ$1,0))</f>
        <v/>
      </c>
      <c r="E3" s="63">
        <f>INDEX(Translations!$D:$ZZ, MATCH(62,Translations!$A:$A,0), MATCH('Project Information'!$C$4,Translations!$D$1:$ZZ$1,0))</f>
        <v/>
      </c>
      <c r="F3" s="63">
        <f>INDEX(Translations!$D:$ZZ, MATCH(166,Translations!$A:$A,0), MATCH('Project Information'!$C$4,Translations!$D$1:$ZZ$1,0))</f>
        <v/>
      </c>
      <c r="G3" s="63">
        <f>IF('Project Information'!$C$4="EN","No","Hayır")</f>
        <v/>
      </c>
      <c r="H3" s="63">
        <f>INDEX(Translations!$D:$ZZ, MATCH(66,Translations!$A:$A,0), MATCH('Project Information'!$C$4,Translations!$D$1:$ZZ$1,0))</f>
        <v/>
      </c>
      <c r="I3" s="63">
        <f>INDEX(Translations!$D:$ZZ, MATCH(27,Translations!$A:$A,0), MATCH('Project Information'!$C$4,Translations!$D$1:$ZZ$1,0))</f>
        <v/>
      </c>
      <c r="J3" s="63" t="n"/>
      <c r="K3" s="63" t="n"/>
    </row>
    <row r="4" ht="30" customHeight="1" s="39">
      <c r="A4" s="63" t="inlineStr">
        <is>
          <t>Size Variables</t>
        </is>
      </c>
      <c r="B4" s="63" t="n">
        <v>3</v>
      </c>
      <c r="C4" s="63">
        <f>INDEX(Translations!$D:$ZZ, MATCH(30,Translations!$A:$A,0), MATCH('Project Information'!$C$4,Translations!$D$1:$ZZ$1,0))</f>
        <v/>
      </c>
      <c r="D4" s="69">
        <f>INDEX(Translations!$D:$ZZ, MATCH(31,Translations!$A:$A,0), MATCH('Project Information'!$C$4,Translations!$D$1:$ZZ$1,0))</f>
        <v/>
      </c>
      <c r="E4" s="63">
        <f>INDEX(Translations!$D:$ZZ, MATCH(62,Translations!$A:$A,0), MATCH('Project Information'!$C$4,Translations!$D$1:$ZZ$1,0))</f>
        <v/>
      </c>
      <c r="F4" s="63">
        <f>INDEX(Translations!$D:$ZZ, MATCH(166,Translations!$A:$A,0), MATCH('Project Information'!$C$4,Translations!$D$1:$ZZ$1,0))</f>
        <v/>
      </c>
      <c r="G4" s="63">
        <f>INDEX(Translations!$D:$ZZ, MATCH(63,Translations!$A:$A,0), MATCH('Project Information'!$C$4,Translations!$D$1:$ZZ$1,0))</f>
        <v/>
      </c>
      <c r="H4" s="63">
        <f>INDEX(Translations!$D:$ZZ, MATCH(64,Translations!$A:$A,0), MATCH('Project Information'!$C$4,Translations!$D$1:$ZZ$1,0))</f>
        <v/>
      </c>
      <c r="I4" s="63">
        <f>INDEX(Translations!$D:$ZZ, MATCH(27,Translations!$A:$A,0), MATCH('Project Information'!$C$4,Translations!$D$1:$ZZ$1,0))</f>
        <v/>
      </c>
      <c r="J4" s="63" t="n">
        <v>5</v>
      </c>
      <c r="K4" s="63" t="n"/>
    </row>
    <row r="5" ht="15" customHeight="1" s="39">
      <c r="A5" s="63" t="inlineStr">
        <is>
          <t>Size Variables</t>
        </is>
      </c>
      <c r="B5" s="63" t="n">
        <v>4</v>
      </c>
      <c r="C5" s="63">
        <f>INDEX(Translations!$D:$ZZ, MATCH(167,Translations!$A:$A,0), MATCH('Project Information'!$C$4,Translations!$D$1:$ZZ$1,0))</f>
        <v/>
      </c>
      <c r="D5" s="63">
        <f>INDEX(Translations!$D:$ZZ, MATCH(168,Translations!$A:$A,0), MATCH('Project Information'!$C$4,Translations!$D$1:$ZZ$1,0))</f>
        <v/>
      </c>
      <c r="E5" s="63">
        <f>INDEX(Translations!$D:$ZZ, MATCH(62,Translations!$A:$A,0), MATCH('Project Information'!$C$4,Translations!$D$1:$ZZ$1,0))</f>
        <v/>
      </c>
      <c r="F5" s="63">
        <f>INDEX(Translations!$D:$ZZ, MATCH(166,Translations!$A:$A,0), MATCH('Project Information'!$C$4,Translations!$D$1:$ZZ$1,0))</f>
        <v/>
      </c>
      <c r="G5" s="63">
        <f>IF('Project Information'!$C$4="EN","No","Hayır")</f>
        <v/>
      </c>
      <c r="H5" s="63">
        <f>INDEX(Translations!$D:$ZZ, MATCH(66,Translations!$A:$A,0), MATCH('Project Information'!$C$4,Translations!$D$1:$ZZ$1,0))</f>
        <v/>
      </c>
      <c r="I5" s="63">
        <f>INDEX(Translations!$D:$ZZ, MATCH(27,Translations!$A:$A,0), MATCH('Project Information'!$C$4,Translations!$D$1:$ZZ$1,0))</f>
        <v/>
      </c>
      <c r="J5" s="63" t="n"/>
      <c r="K5" s="63" t="n"/>
    </row>
    <row r="6" ht="15" customHeight="1" s="39">
      <c r="A6" s="63" t="inlineStr">
        <is>
          <t>Size Variables</t>
        </is>
      </c>
      <c r="B6" s="63" t="n">
        <v>5</v>
      </c>
      <c r="C6" s="63">
        <f>INDEX(Translations!$D:$ZZ, MATCH(28,Translations!$A:$A,0), MATCH('Project Information'!$C$4,Translations!$D$1:$ZZ$1,0))</f>
        <v/>
      </c>
      <c r="D6" s="63">
        <f>INDEX(Translations!$D:$ZZ, MATCH(29,Translations!$A:$A,0), MATCH('Project Information'!$C$4,Translations!$D$1:$ZZ$1,0))</f>
        <v/>
      </c>
      <c r="E6" s="63">
        <f>INDEX(Translations!$D:$ZZ, MATCH(62,Translations!$A:$A,0), MATCH('Project Information'!$C$4,Translations!$D$1:$ZZ$1,0))</f>
        <v/>
      </c>
      <c r="F6" s="63">
        <f>INDEX(Translations!$D:$ZZ, MATCH(166,Translations!$A:$A,0), MATCH('Project Information'!$C$4,Translations!$D$1:$ZZ$1,0))</f>
        <v/>
      </c>
      <c r="G6" s="63">
        <f>INDEX(Translations!$D:$ZZ, MATCH(63,Translations!$A:$A,0), MATCH('Project Information'!$C$4,Translations!$D$1:$ZZ$1,0))</f>
        <v/>
      </c>
      <c r="H6" s="63">
        <f>INDEX(Translations!$D:$ZZ, MATCH(64,Translations!$A:$A,0), MATCH('Project Information'!$C$4,Translations!$D$1:$ZZ$1,0))</f>
        <v/>
      </c>
      <c r="I6" s="63">
        <f>INDEX(Translations!$D:$ZZ, MATCH(27,Translations!$A:$A,0), MATCH('Project Information'!$C$4,Translations!$D$1:$ZZ$1,0))</f>
        <v/>
      </c>
      <c r="J6" s="63" t="n">
        <v>5</v>
      </c>
      <c r="K6" s="63" t="n"/>
    </row>
    <row r="7" ht="30" customHeight="1" s="39">
      <c r="A7" s="63" t="inlineStr">
        <is>
          <t>Size Variables</t>
        </is>
      </c>
      <c r="B7" s="63" t="n">
        <v>6</v>
      </c>
      <c r="C7" s="63">
        <f>INDEX(Translations!$D:$ZZ, MATCH(44,Translations!$A:$A,0), MATCH('Project Information'!$C$4,Translations!$D$1:$ZZ$1,0))</f>
        <v/>
      </c>
      <c r="D7" s="69">
        <f>INDEX(Translations!$D:$ZZ, MATCH(45,Translations!$A:$A,0), MATCH('Project Information'!$C$4,Translations!$D$1:$ZZ$1,0))</f>
        <v/>
      </c>
      <c r="E7" s="63">
        <f>INDEX(Translations!$D:$ZZ, MATCH(62,Translations!$A:$A,0), MATCH('Project Information'!$C$4,Translations!$D$1:$ZZ$1,0))</f>
        <v/>
      </c>
      <c r="F7" s="63">
        <f>INDEX(Translations!$D:$ZZ, MATCH(166,Translations!$A:$A,0), MATCH('Project Information'!$C$4,Translations!$D$1:$ZZ$1,0))</f>
        <v/>
      </c>
      <c r="G7" s="63">
        <f>INDEX(Translations!$D:$ZZ, MATCH(63,Translations!$A:$A,0), MATCH('Project Information'!$C$4,Translations!$D$1:$ZZ$1,0))</f>
        <v/>
      </c>
      <c r="H7" s="63">
        <f>INDEX(Translations!$D:$ZZ, MATCH(64,Translations!$A:$A,0), MATCH('Project Information'!$C$4,Translations!$D$1:$ZZ$1,0))</f>
        <v/>
      </c>
      <c r="I7" s="63">
        <f>INDEX(Translations!$D:$ZZ, MATCH(27,Translations!$A:$A,0), MATCH('Project Information'!$C$4,Translations!$D$1:$ZZ$1,0))</f>
        <v/>
      </c>
      <c r="J7" s="63" t="n">
        <v>5</v>
      </c>
      <c r="K7" s="63" t="n"/>
    </row>
    <row r="8" ht="30" customHeight="1" s="39">
      <c r="A8" s="63" t="inlineStr">
        <is>
          <t>Size Variables</t>
        </is>
      </c>
      <c r="B8" s="63" t="n">
        <v>7</v>
      </c>
      <c r="C8" s="63">
        <f>INDEX(Translations!$D:$ZZ, MATCH(32,Translations!$A:$A,0), MATCH('Project Information'!$C$4,Translations!$D$1:$ZZ$1,0))</f>
        <v/>
      </c>
      <c r="D8" s="69">
        <f>INDEX(Translations!$D:$ZZ, MATCH(33,Translations!$A:$A,0), MATCH('Project Information'!$C$4,Translations!$D$1:$ZZ$1,0))</f>
        <v/>
      </c>
      <c r="E8" s="63">
        <f>INDEX(Translations!$D:$ZZ, MATCH(65,Translations!$A:$A,0), MATCH('Project Information'!$C$4,Translations!$D$1:$ZZ$1,0))</f>
        <v/>
      </c>
      <c r="F8" s="63">
        <f>INDEX(Translations!$D:$ZZ, MATCH(166,Translations!$A:$A,0), MATCH('Project Information'!$C$4,Translations!$D$1:$ZZ$1,0))</f>
        <v/>
      </c>
      <c r="G8" s="63">
        <f>INDEX(Translations!$D:$ZZ, MATCH(63,Translations!$A:$A,0), MATCH('Project Information'!$C$4,Translations!$D$1:$ZZ$1,0))</f>
        <v/>
      </c>
      <c r="H8" s="63">
        <f>INDEX(Translations!$D:$ZZ, MATCH(66,Translations!$A:$A,0), MATCH('Project Information'!$C$4,Translations!$D$1:$ZZ$1,0))</f>
        <v/>
      </c>
      <c r="I8" s="63">
        <f>INDEX(Translations!$D:$ZZ, MATCH(34,Translations!$A:$A,0), MATCH('Project Information'!$C$4,Translations!$D$1:$ZZ$1,0))</f>
        <v/>
      </c>
      <c r="J8" s="63" t="n">
        <v>15</v>
      </c>
      <c r="K8" s="63" t="n"/>
    </row>
    <row r="9" ht="16.4" customHeight="1" s="39">
      <c r="A9" s="63" t="inlineStr">
        <is>
          <t>Size Variables</t>
        </is>
      </c>
      <c r="B9" s="63" t="n">
        <v>8</v>
      </c>
      <c r="C9" s="63">
        <f>INDEX(Translations!$D:$ZZ, MATCH(35,Translations!$A:$A,0), MATCH('Project Information'!$C$4,Translations!$D$1:$ZZ$1,0))</f>
        <v/>
      </c>
      <c r="D9" s="69">
        <f>INDEX(Translations!$D:$ZZ, MATCH(36,Translations!$A:$A,0), MATCH('Project Information'!$C$4,Translations!$D$1:$ZZ$1,0))</f>
        <v/>
      </c>
      <c r="E9" s="63">
        <f>INDEX(Translations!$D:$ZZ, MATCH(65,Translations!$A:$A,0), MATCH('Project Information'!$C$4,Translations!$D$1:$ZZ$1,0))</f>
        <v/>
      </c>
      <c r="F9" s="63">
        <f>INDEX(Translations!$D:$ZZ, MATCH(166,Translations!$A:$A,0), MATCH('Project Information'!$C$4,Translations!$D$1:$ZZ$1,0))</f>
        <v/>
      </c>
      <c r="G9" s="63">
        <f>INDEX(Translations!$D:$ZZ, MATCH(63,Translations!$A:$A,0), MATCH('Project Information'!$C$4,Translations!$D$1:$ZZ$1,0))</f>
        <v/>
      </c>
      <c r="H9" s="63">
        <f>INDEX(Translations!$D:$ZZ, MATCH(66,Translations!$A:$A,0), MATCH('Project Information'!$C$4,Translations!$D$1:$ZZ$1,0))</f>
        <v/>
      </c>
      <c r="I9" s="63">
        <f>INDEX(Translations!$D:$ZZ, MATCH(34,Translations!$A:$A,0), MATCH('Project Information'!$C$4,Translations!$D$1:$ZZ$1,0))</f>
        <v/>
      </c>
      <c r="J9" s="63" t="n">
        <v>20</v>
      </c>
      <c r="K9" s="63" t="n"/>
    </row>
    <row r="10" ht="16.4" customHeight="1" s="39">
      <c r="A10" s="63" t="inlineStr">
        <is>
          <t>Size Variables</t>
        </is>
      </c>
      <c r="B10" s="63" t="n">
        <v>9</v>
      </c>
      <c r="C10" s="63">
        <f>INDEX(Translations!$D:$ZZ, MATCH(37,Translations!$A:$A,0), MATCH('Project Information'!$C$4,Translations!$D$1:$ZZ$1,0))</f>
        <v/>
      </c>
      <c r="D10" s="69">
        <f>INDEX(Translations!$D:$ZZ, MATCH(38,Translations!$A:$A,0), MATCH('Project Information'!$C$4,Translations!$D$1:$ZZ$1,0))</f>
        <v/>
      </c>
      <c r="E10" s="63">
        <f>INDEX(Translations!$D:$ZZ, MATCH(65,Translations!$A:$A,0), MATCH('Project Information'!$C$4,Translations!$D$1:$ZZ$1,0))</f>
        <v/>
      </c>
      <c r="F10" s="63">
        <f>INDEX(Translations!$D:$ZZ, MATCH(166,Translations!$A:$A,0), MATCH('Project Information'!$C$4,Translations!$D$1:$ZZ$1,0))</f>
        <v/>
      </c>
      <c r="G10" s="63">
        <f>INDEX(Translations!$D:$ZZ, MATCH(63,Translations!$A:$A,0), MATCH('Project Information'!$C$4,Translations!$D$1:$ZZ$1,0))</f>
        <v/>
      </c>
      <c r="H10" s="63">
        <f>INDEX(Translations!$D:$ZZ, MATCH(66,Translations!$A:$A,0), MATCH('Project Information'!$C$4,Translations!$D$1:$ZZ$1,0))</f>
        <v/>
      </c>
      <c r="I10" s="63">
        <f>INDEX(Translations!$D:$ZZ, MATCH(34,Translations!$A:$A,0), MATCH('Project Information'!$C$4,Translations!$D$1:$ZZ$1,0))</f>
        <v/>
      </c>
      <c r="J10" s="63" t="n">
        <v>30</v>
      </c>
      <c r="K10" s="63" t="n"/>
    </row>
    <row r="11" ht="15" customHeight="1" s="39">
      <c r="A11" s="63" t="inlineStr">
        <is>
          <t>Size Variables</t>
        </is>
      </c>
      <c r="B11" s="63" t="n">
        <v>10</v>
      </c>
      <c r="C11" s="63">
        <f>INDEX(Translations!$D:$ZZ, MATCH(40,Translations!$A:$A,0), MATCH('Project Information'!$C$4,Translations!$D$1:$ZZ$1,0))</f>
        <v/>
      </c>
      <c r="D11" s="63">
        <f>INDEX(Translations!$D:$ZZ, MATCH(41,Translations!$A:$A,0), MATCH('Project Information'!$C$4,Translations!$D$1:$ZZ$1,0))</f>
        <v/>
      </c>
      <c r="E11" s="63">
        <f>INDEX(Translations!$D:$ZZ, MATCH(65,Translations!$A:$A,0), MATCH('Project Information'!$C$4,Translations!$D$1:$ZZ$1,0))</f>
        <v/>
      </c>
      <c r="F11" s="63">
        <f>INDEX(Translations!$D:$ZZ, MATCH(166,Translations!$A:$A,0), MATCH('Project Information'!$C$4,Translations!$D$1:$ZZ$1,0))</f>
        <v/>
      </c>
      <c r="G11" s="63">
        <f>INDEX(Translations!$D:$ZZ, MATCH(63,Translations!$A:$A,0), MATCH('Project Information'!$C$4,Translations!$D$1:$ZZ$1,0))</f>
        <v/>
      </c>
      <c r="H11" s="63">
        <f>INDEX(Translations!$D:$ZZ, MATCH(66,Translations!$A:$A,0), MATCH('Project Information'!$C$4,Translations!$D$1:$ZZ$1,0))</f>
        <v/>
      </c>
      <c r="I11" s="63">
        <f>INDEX(Translations!$D:$ZZ, MATCH(34,Translations!$A:$A,0), MATCH('Project Information'!$C$4,Translations!$D$1:$ZZ$1,0))</f>
        <v/>
      </c>
      <c r="J11" s="63" t="n">
        <v>15</v>
      </c>
      <c r="K11" s="63" t="n"/>
    </row>
    <row r="12" ht="15" customHeight="1" s="39">
      <c r="A12" s="63" t="inlineStr">
        <is>
          <t>Size Variables</t>
        </is>
      </c>
      <c r="B12" s="63" t="n">
        <v>11</v>
      </c>
      <c r="C12" s="63">
        <f>INDEX(Translations!$D:$ZZ, MATCH(46,Translations!$A:$A,0), MATCH('Project Information'!$C$4,Translations!$D$1:$ZZ$1,0))</f>
        <v/>
      </c>
      <c r="D12" s="63">
        <f>INDEX(Translations!$D:$ZZ, MATCH(47,Translations!$A:$A,0), MATCH('Project Information'!$C$4,Translations!$D$1:$ZZ$1,0))</f>
        <v/>
      </c>
      <c r="E12" s="63">
        <f>INDEX(Translations!$D:$ZZ, MATCH(65,Translations!$A:$A,0), MATCH('Project Information'!$C$4,Translations!$D$1:$ZZ$1,0))</f>
        <v/>
      </c>
      <c r="F12" s="63">
        <f>INDEX(Translations!$D:$ZZ, MATCH(166,Translations!$A:$A,0), MATCH('Project Information'!$C$4,Translations!$D$1:$ZZ$1,0))</f>
        <v/>
      </c>
      <c r="G12" s="63">
        <f>INDEX(Translations!$D:$ZZ, MATCH(63,Translations!$A:$A,0), MATCH('Project Information'!$C$4,Translations!$D$1:$ZZ$1,0))</f>
        <v/>
      </c>
      <c r="H12" s="63">
        <f>INDEX(Translations!$D:$ZZ, MATCH(66,Translations!$A:$A,0), MATCH('Project Information'!$C$4,Translations!$D$1:$ZZ$1,0))</f>
        <v/>
      </c>
      <c r="I12" s="63">
        <f>INDEX(Translations!$D:$ZZ, MATCH(34,Translations!$A:$A,0), MATCH('Project Information'!$C$4,Translations!$D$1:$ZZ$1,0))</f>
        <v/>
      </c>
      <c r="J12" s="63" t="n">
        <v>5</v>
      </c>
      <c r="K12" s="63" t="n"/>
    </row>
    <row r="13" ht="31.3" customHeight="1" s="39">
      <c r="A13" s="63" t="inlineStr">
        <is>
          <t>Size Variables</t>
        </is>
      </c>
      <c r="B13" s="63" t="n">
        <v>12</v>
      </c>
      <c r="C13" s="69">
        <f>INDEX(Translations!$D:$ZZ, MATCH(169,Translations!$A:$A,0), MATCH('Project Information'!$C$4,Translations!$D$1:$ZZ$1,0))</f>
        <v/>
      </c>
      <c r="D13" s="69">
        <f>INDEX(Translations!$D:$ZZ, MATCH(170,Translations!$A:$A,0), MATCH('Project Information'!$C$4,Translations!$D$1:$ZZ$1,0))</f>
        <v/>
      </c>
      <c r="E13" s="63">
        <f>INDEX(Translations!$D:$ZZ, MATCH(65,Translations!$A:$A,0), MATCH('Project Information'!$C$4,Translations!$D$1:$ZZ$1,0))</f>
        <v/>
      </c>
      <c r="F13" s="63">
        <f>INDEX(Translations!$D:$ZZ, MATCH(171,Translations!$A:$A,0), MATCH('Project Information'!$C$4,Translations!$D$1:$ZZ$1,0))</f>
        <v/>
      </c>
      <c r="G13" s="63">
        <f>IF('Project Information'!$C$4="EN","No","Hayır")</f>
        <v/>
      </c>
      <c r="H13" s="63">
        <f>INDEX(Translations!$D:$ZZ, MATCH(269,Translations!$A:$A,0), MATCH('Project Information'!$C$4,Translations!$D$1:$ZZ$1,0))</f>
        <v/>
      </c>
      <c r="I13" s="63">
        <f>INDEX(Translations!$D:$ZZ, MATCH(172,Translations!$A:$A,0), MATCH('Project Information'!$C$4,Translations!$D$1:$ZZ$1,0))</f>
        <v/>
      </c>
      <c r="J13" s="63" t="n"/>
      <c r="K13" s="63" t="n"/>
    </row>
    <row r="14" ht="30" customHeight="1" s="39">
      <c r="A14" s="63" t="inlineStr">
        <is>
          <t>Size Variables</t>
        </is>
      </c>
      <c r="B14" s="63" t="n">
        <v>13</v>
      </c>
      <c r="C14" s="63">
        <f>INDEX(Translations!$D:$ZZ, MATCH(173,Translations!$A:$A,0), MATCH('Project Information'!$C$4,Translations!$D$1:$ZZ$1,0))</f>
        <v/>
      </c>
      <c r="D14" s="69">
        <f>INDEX(Translations!$D:$ZZ, MATCH(174,Translations!$A:$A,0), MATCH('Project Information'!$C$4,Translations!$D$1:$ZZ$1,0))</f>
        <v/>
      </c>
      <c r="E14" s="63">
        <f>INDEX(Translations!$D:$ZZ, MATCH(65,Translations!$A:$A,0), MATCH('Project Information'!$C$4,Translations!$D$1:$ZZ$1,0))</f>
        <v/>
      </c>
      <c r="F14" s="63">
        <f>INDEX(Translations!$D:$ZZ, MATCH(171,Translations!$A:$A,0), MATCH('Project Information'!$C$4,Translations!$D$1:$ZZ$1,0))</f>
        <v/>
      </c>
      <c r="G14" s="63">
        <f>IF('Project Information'!$C$4="EN","No","Hayır")</f>
        <v/>
      </c>
      <c r="H14" s="63">
        <f>INDEX(Translations!$D:$ZZ, MATCH(64,Translations!$A:$A,0), MATCH('Project Information'!$C$4,Translations!$D$1:$ZZ$1,0))</f>
        <v/>
      </c>
      <c r="I14" s="63">
        <f>INDEX(Translations!$D:$ZZ, MATCH(172,Translations!$A:$A,0), MATCH('Project Information'!$C$4,Translations!$D$1:$ZZ$1,0))</f>
        <v/>
      </c>
      <c r="J14" s="63" t="n"/>
      <c r="K14" s="63" t="n"/>
    </row>
    <row r="15" ht="30" customHeight="1" s="39">
      <c r="A15" s="63" t="inlineStr">
        <is>
          <t>Size Variables</t>
        </is>
      </c>
      <c r="B15" s="63" t="n">
        <v>14</v>
      </c>
      <c r="C15" s="63">
        <f>INDEX(Translations!$D:$ZZ, MATCH(175,Translations!$A:$A,0), MATCH('Project Information'!$C$4,Translations!$D$1:$ZZ$1,0))</f>
        <v/>
      </c>
      <c r="D15" s="69">
        <f>INDEX(Translations!$D:$ZZ, MATCH(176,Translations!$A:$A,0), MATCH('Project Information'!$C$4,Translations!$D$1:$ZZ$1,0))</f>
        <v/>
      </c>
      <c r="E15" s="63">
        <f>INDEX(Translations!$D:$ZZ, MATCH(65,Translations!$A:$A,0), MATCH('Project Information'!$C$4,Translations!$D$1:$ZZ$1,0))</f>
        <v/>
      </c>
      <c r="F15" s="63">
        <f>INDEX(Translations!$D:$ZZ, MATCH(171,Translations!$A:$A,0), MATCH('Project Information'!$C$4,Translations!$D$1:$ZZ$1,0))</f>
        <v/>
      </c>
      <c r="G15" s="63">
        <f>IF('Project Information'!$C$4="EN","No","Hayır")</f>
        <v/>
      </c>
      <c r="H15" s="63">
        <f>INDEX(Translations!$D:$ZZ, MATCH(64,Translations!$A:$A,0), MATCH('Project Information'!$C$4,Translations!$D$1:$ZZ$1,0))</f>
        <v/>
      </c>
      <c r="I15" s="63">
        <f>INDEX(Translations!$D:$ZZ, MATCH(172,Translations!$A:$A,0), MATCH('Project Information'!$C$4,Translations!$D$1:$ZZ$1,0))</f>
        <v/>
      </c>
      <c r="J15" s="63" t="n"/>
      <c r="K15" s="63" t="n"/>
    </row>
    <row r="16" ht="30" customHeight="1" s="39">
      <c r="A16" s="63" t="inlineStr">
        <is>
          <t>Size Variables</t>
        </is>
      </c>
      <c r="B16" s="63" t="n">
        <v>15</v>
      </c>
      <c r="C16" s="63">
        <f>INDEX(Translations!$D:$ZZ, MATCH(231,Translations!$A:$A,0), MATCH('Project Information'!$C$4,Translations!$D$1:$ZZ$1,0))</f>
        <v/>
      </c>
      <c r="D16" s="63">
        <f>INDEX(Translations!$D:$ZZ, MATCH(208,Translations!$A:$A,0), MATCH('Project Information'!$C$4,Translations!$D$1:$ZZ$1,0))</f>
        <v/>
      </c>
      <c r="E16" s="63">
        <f>INDEX(Translations!$D:$ZZ, MATCH(65,Translations!$A:$A,0), MATCH('Project Information'!$C$4,Translations!$D$1:$ZZ$1,0))</f>
        <v/>
      </c>
      <c r="F16" s="63">
        <f>INDEX(Translations!$D:$ZZ, MATCH(166,Translations!$A:$A,0), MATCH('Project Information'!$C$4,Translations!$D$1:$ZZ$1,0))</f>
        <v/>
      </c>
      <c r="G16" s="63">
        <f>IF('Project Information'!$C$4="EN","No","Hayır")</f>
        <v/>
      </c>
      <c r="H16" s="63">
        <f>INDEX(Translations!$D:$ZZ, MATCH(66,Translations!$A:$A,0), MATCH('Project Information'!$C$4,Translations!$D$1:$ZZ$1,0))</f>
        <v/>
      </c>
      <c r="I16" s="63">
        <f>INDEX(Translations!$D:$ZZ, MATCH(172,Translations!$A:$A,0), MATCH('Project Information'!$C$4,Translations!$D$1:$ZZ$1,0))</f>
        <v/>
      </c>
      <c r="J16" s="63" t="n"/>
      <c r="K16" s="63" t="n"/>
    </row>
    <row r="17" ht="45" customHeight="1" s="39">
      <c r="A17" s="63" t="inlineStr">
        <is>
          <t>Size Variables</t>
        </is>
      </c>
      <c r="B17" s="63" t="n">
        <v>16</v>
      </c>
      <c r="C17" s="63">
        <f>INDEX(Translations!$D:$ZZ, MATCH(232,Translations!$A:$A,0), MATCH('Project Information'!$C$4,Translations!$D$1:$ZZ$1,0))</f>
        <v/>
      </c>
      <c r="D17" s="63">
        <f>INDEX(Translations!$D:$ZZ, MATCH(208,Translations!$A:$A,0), MATCH('Project Information'!$C$4,Translations!$D$1:$ZZ$1,0))</f>
        <v/>
      </c>
      <c r="E17" s="63">
        <f>INDEX(Translations!$D:$ZZ, MATCH(65,Translations!$A:$A,0), MATCH('Project Information'!$C$4,Translations!$D$1:$ZZ$1,0))</f>
        <v/>
      </c>
      <c r="F17" s="63">
        <f>INDEX(Translations!$D:$ZZ, MATCH(166,Translations!$A:$A,0), MATCH('Project Information'!$C$4,Translations!$D$1:$ZZ$1,0))</f>
        <v/>
      </c>
      <c r="G17" s="63">
        <f>IF('Project Information'!$C$4="EN","No","Hayır")</f>
        <v/>
      </c>
      <c r="H17" s="63">
        <f>INDEX(Translations!$D:$ZZ, MATCH(66,Translations!$A:$A,0), MATCH('Project Information'!$C$4,Translations!$D$1:$ZZ$1,0))</f>
        <v/>
      </c>
      <c r="I17" s="63">
        <f>INDEX(Translations!$D:$ZZ, MATCH(172,Translations!$A:$A,0), MATCH('Project Information'!$C$4,Translations!$D$1:$ZZ$1,0))</f>
        <v/>
      </c>
      <c r="J17" s="63" t="n"/>
      <c r="K17" s="63" t="n"/>
    </row>
    <row r="18" ht="30" customHeight="1" s="39">
      <c r="A18" s="63" t="inlineStr">
        <is>
          <t>Size Variables</t>
        </is>
      </c>
      <c r="B18" s="63" t="n">
        <v>17</v>
      </c>
      <c r="C18" s="63">
        <f>INDEX(Translations!$D:$ZZ, MATCH(243,Translations!$A:$A,0), MATCH('Project Information'!$C$4,Translations!$D$1:$ZZ$1,0))</f>
        <v/>
      </c>
      <c r="D18" s="63">
        <f>INDEX(Translations!$D:$ZZ, MATCH(208,Translations!$A:$A,0), MATCH('Project Information'!$C$4,Translations!$D$1:$ZZ$1,0))</f>
        <v/>
      </c>
      <c r="E18" s="63">
        <f>INDEX(Translations!$D:$ZZ, MATCH(65,Translations!$A:$A,0), MATCH('Project Information'!$C$4,Translations!$D$1:$ZZ$1,0))</f>
        <v/>
      </c>
      <c r="F18" s="63">
        <f>INDEX(Translations!$D:$ZZ, MATCH(166,Translations!$A:$A,0), MATCH('Project Information'!$C$4,Translations!$D$1:$ZZ$1,0))</f>
        <v/>
      </c>
      <c r="G18" s="63">
        <f>IF('Project Information'!$C$4="EN","No","Hayır")</f>
        <v/>
      </c>
      <c r="H18" s="63">
        <f>INDEX(Translations!$D:$ZZ, MATCH(66,Translations!$A:$A,0), MATCH('Project Information'!$C$4,Translations!$D$1:$ZZ$1,0))</f>
        <v/>
      </c>
      <c r="I18" s="63">
        <f>INDEX(Translations!$D:$ZZ, MATCH(172,Translations!$A:$A,0), MATCH('Project Information'!$C$4,Translations!$D$1:$ZZ$1,0))</f>
        <v/>
      </c>
      <c r="J18" s="63" t="n"/>
      <c r="K18" s="63" t="n"/>
    </row>
    <row r="19" ht="15" customHeight="1" s="39">
      <c r="A19" s="63" t="inlineStr">
        <is>
          <t>Size Variables</t>
        </is>
      </c>
      <c r="B19" s="63" t="n">
        <v>18</v>
      </c>
      <c r="C19" s="63">
        <f>INDEX(Translations!$D:$ZZ, MATCH(253,Translations!$A:$A,0), MATCH('Project Information'!$C$4,Translations!$D$1:$ZZ$1,0))</f>
        <v/>
      </c>
      <c r="D19" s="63">
        <f>INDEX(Translations!$D:$ZZ, MATCH(254,Translations!$A:$A,0), MATCH('Project Information'!$C$4,Translations!$D$1:$ZZ$1,0))</f>
        <v/>
      </c>
      <c r="E19" s="63">
        <f>INDEX(Translations!$D:$ZZ, MATCH(65,Translations!$A:$A,0), MATCH('Project Information'!$C$4,Translations!$D$1:$ZZ$1,0))</f>
        <v/>
      </c>
      <c r="F19" s="63">
        <f>INDEX(Translations!$D:$ZZ, MATCH(166,Translations!$A:$A,0), MATCH('Project Information'!$C$4,Translations!$D$1:$ZZ$1,0))</f>
        <v/>
      </c>
      <c r="G19" s="63">
        <f>IF('Project Information'!$C$4="EN","No","Hayır")</f>
        <v/>
      </c>
      <c r="H19" s="63">
        <f>INDEX(Translations!$D:$ZZ, MATCH(66,Translations!$A:$A,0), MATCH('Project Information'!$C$4,Translations!$D$1:$ZZ$1,0))</f>
        <v/>
      </c>
      <c r="I19" s="63">
        <f>INDEX(Translations!$D:$ZZ, MATCH(172,Translations!$A:$A,0), MATCH('Project Information'!$C$4,Translations!$D$1:$ZZ$1,0))</f>
        <v/>
      </c>
      <c r="J19" s="63" t="n"/>
      <c r="K19" s="63" t="n"/>
    </row>
    <row r="20" ht="15" customHeight="1" s="39">
      <c r="A20" s="63" t="inlineStr">
        <is>
          <t>Size Variables</t>
        </is>
      </c>
      <c r="B20" s="63" t="n">
        <v>19</v>
      </c>
      <c r="C20" s="63">
        <f>INDEX(Translations!$D:$ZZ, MATCH(257,Translations!$A:$A,0), MATCH('Project Information'!$C$4,Translations!$D$1:$ZZ$1,0))</f>
        <v/>
      </c>
      <c r="D20" s="63">
        <f>INDEX(Translations!$D:$ZZ, MATCH(258,Translations!$A:$A,0), MATCH('Project Information'!$C$4,Translations!$D$1:$ZZ$1,0))</f>
        <v/>
      </c>
      <c r="E20" s="63">
        <f>INDEX(Translations!$D:$ZZ, MATCH(65,Translations!$A:$A,0), MATCH('Project Information'!$C$4,Translations!$D$1:$ZZ$1,0))</f>
        <v/>
      </c>
      <c r="F20" s="63">
        <f>INDEX(Translations!$D:$ZZ, MATCH(166,Translations!$A:$A,0), MATCH('Project Information'!$C$4,Translations!$D$1:$ZZ$1,0))</f>
        <v/>
      </c>
      <c r="G20" s="63">
        <f>IF('Project Information'!$C$4="EN","No","Hayır")</f>
        <v/>
      </c>
      <c r="H20" s="63">
        <f>INDEX(Translations!$D:$ZZ, MATCH(66,Translations!$A:$A,0), MATCH('Project Information'!$C$4,Translations!$D$1:$ZZ$1,0))</f>
        <v/>
      </c>
      <c r="I20" s="63">
        <f>INDEX(Translations!$D:$ZZ, MATCH(172,Translations!$A:$A,0), MATCH('Project Information'!$C$4,Translations!$D$1:$ZZ$1,0))</f>
        <v/>
      </c>
      <c r="J20" s="63" t="n"/>
      <c r="K20" s="63" t="n"/>
    </row>
    <row r="21" ht="15" customHeight="1" s="39">
      <c r="A21" s="63" t="inlineStr">
        <is>
          <t>Size Variables</t>
        </is>
      </c>
      <c r="B21" s="63" t="n">
        <v>20</v>
      </c>
      <c r="C21" s="63">
        <f>INDEX(Translations!$D:$ZZ, MATCH(259,Translations!$A:$A,0), MATCH('Project Information'!$C$4,Translations!$D$1:$ZZ$1,0))</f>
        <v/>
      </c>
      <c r="D21" s="63">
        <f>INDEX(Translations!$D:$ZZ, MATCH(260,Translations!$A:$A,0), MATCH('Project Information'!$C$4,Translations!$D$1:$ZZ$1,0))</f>
        <v/>
      </c>
      <c r="E21" s="63">
        <f>INDEX(Translations!$D:$ZZ, MATCH(65,Translations!$A:$A,0), MATCH('Project Information'!$C$4,Translations!$D$1:$ZZ$1,0))</f>
        <v/>
      </c>
      <c r="F21" s="63">
        <f>INDEX(Translations!$D:$ZZ, MATCH(166,Translations!$A:$A,0), MATCH('Project Information'!$C$4,Translations!$D$1:$ZZ$1,0))</f>
        <v/>
      </c>
      <c r="G21" s="63">
        <f>IF('Project Information'!$C$4="EN","No","Hayır")</f>
        <v/>
      </c>
      <c r="H21" s="63">
        <f>INDEX(Translations!$D:$ZZ, MATCH(66,Translations!$A:$A,0), MATCH('Project Information'!$C$4,Translations!$D$1:$ZZ$1,0))</f>
        <v/>
      </c>
      <c r="I21" s="63">
        <f>INDEX(Translations!$D:$ZZ, MATCH(172,Translations!$A:$A,0), MATCH('Project Information'!$C$4,Translations!$D$1:$ZZ$1,0))</f>
        <v/>
      </c>
      <c r="J21" s="63" t="n"/>
      <c r="K21" s="63" t="n"/>
    </row>
    <row r="22" ht="16.4" customHeight="1" s="39">
      <c r="A22" s="63" t="inlineStr">
        <is>
          <t>Size Variables</t>
        </is>
      </c>
      <c r="B22" s="63" t="n">
        <v>21</v>
      </c>
      <c r="C22" s="63">
        <f>INDEX(Translations!$D:$ZZ, MATCH(261,Translations!$A:$A,0), MATCH('Project Information'!$C$4,Translations!$D$1:$ZZ$1,0))</f>
        <v/>
      </c>
      <c r="D22" s="69">
        <f>INDEX(Translations!$D:$ZZ, MATCH(262,Translations!$A:$A,0), MATCH('Project Information'!$C$4,Translations!$D$1:$ZZ$1,0))</f>
        <v/>
      </c>
      <c r="E22" s="63">
        <f>INDEX(Translations!$D:$ZZ, MATCH(65,Translations!$A:$A,0), MATCH('Project Information'!$C$4,Translations!$D$1:$ZZ$1,0))</f>
        <v/>
      </c>
      <c r="F22" s="63">
        <f>INDEX(Translations!$D:$ZZ, MATCH(166,Translations!$A:$A,0), MATCH('Project Information'!$C$4,Translations!$D$1:$ZZ$1,0))</f>
        <v/>
      </c>
      <c r="G22" s="63">
        <f>IF('Project Information'!$C$4="EN","No","Hayır")</f>
        <v/>
      </c>
      <c r="H22" s="63">
        <f>INDEX(Translations!$D:$ZZ, MATCH(66,Translations!$A:$A,0), MATCH('Project Information'!$C$4,Translations!$D$1:$ZZ$1,0))</f>
        <v/>
      </c>
      <c r="I22" s="63">
        <f>INDEX(Translations!$D:$ZZ, MATCH(172,Translations!$A:$A,0), MATCH('Project Information'!$C$4,Translations!$D$1:$ZZ$1,0))</f>
        <v/>
      </c>
      <c r="J22" s="63" t="n"/>
      <c r="K22" s="63" t="n"/>
    </row>
    <row r="23" ht="15" customHeight="1" s="39">
      <c r="A23" s="63" t="inlineStr">
        <is>
          <t>Size Variables</t>
        </is>
      </c>
      <c r="B23" s="63" t="n">
        <v>22</v>
      </c>
      <c r="C23" s="63">
        <f>INDEX(Translations!$D:$ZZ, MATCH(265,Translations!$A:$A,0), MATCH('Project Information'!$C$4,Translations!$D$1:$ZZ$1,0))</f>
        <v/>
      </c>
      <c r="D23" s="63">
        <f>INDEX(Translations!$D:$ZZ, MATCH(266,Translations!$A:$A,0), MATCH('Project Information'!$C$4,Translations!$D$1:$ZZ$1,0))</f>
        <v/>
      </c>
      <c r="E23" s="63">
        <f>INDEX(Translations!$D:$ZZ, MATCH(65,Translations!$A:$A,0), MATCH('Project Information'!$C$4,Translations!$D$1:$ZZ$1,0))</f>
        <v/>
      </c>
      <c r="F23" s="63">
        <f>INDEX(Translations!$D:$ZZ, MATCH(166,Translations!$A:$A,0), MATCH('Project Information'!$C$4,Translations!$D$1:$ZZ$1,0))</f>
        <v/>
      </c>
      <c r="G23" s="63">
        <f>IF('Project Information'!$C$4="EN","No","Hayır")</f>
        <v/>
      </c>
      <c r="H23" s="63">
        <f>INDEX(Translations!$D:$ZZ, MATCH(66,Translations!$A:$A,0), MATCH('Project Information'!$C$4,Translations!$D$1:$ZZ$1,0))</f>
        <v/>
      </c>
      <c r="I23" s="63">
        <f>INDEX(Translations!$D:$ZZ, MATCH(172,Translations!$A:$A,0), MATCH('Project Information'!$C$4,Translations!$D$1:$ZZ$1,0))</f>
        <v/>
      </c>
      <c r="J23" s="63" t="n"/>
      <c r="K23" s="63" t="n"/>
    </row>
    <row r="24" ht="15" customHeight="1" s="39">
      <c r="A24" s="63" t="inlineStr">
        <is>
          <t>Size Variables</t>
        </is>
      </c>
      <c r="B24" s="63" t="n">
        <v>23</v>
      </c>
      <c r="C24" s="63">
        <f>INDEX(Translations!$D:$ZZ, MATCH(185,Translations!$A:$A,0), MATCH('Project Information'!$C$4,Translations!$D$1:$ZZ$1,0))</f>
        <v/>
      </c>
      <c r="D24" s="63">
        <f>INDEX(Translations!$D:$ZZ, MATCH(186,Translations!$A:$A,0), MATCH('Project Information'!$C$4,Translations!$D$1:$ZZ$1,0))</f>
        <v/>
      </c>
      <c r="E24" s="63">
        <f>INDEX(Translations!$D:$ZZ, MATCH(270,Translations!$A:$A,0), MATCH('Project Information'!$C$4,Translations!$D$1:$ZZ$1,0))</f>
        <v/>
      </c>
      <c r="F24" s="63">
        <f>INDEX(Translations!$D:$ZZ, MATCH(166,Translations!$A:$A,0), MATCH('Project Information'!$C$4,Translations!$D$1:$ZZ$1,0))</f>
        <v/>
      </c>
      <c r="G24" s="63">
        <f>IF('Project Information'!$C$4="EN","No","Hayır")</f>
        <v/>
      </c>
      <c r="H24" s="63">
        <f>INDEX(Translations!$D:$ZZ, MATCH(66,Translations!$A:$A,0), MATCH('Project Information'!$C$4,Translations!$D$1:$ZZ$1,0))</f>
        <v/>
      </c>
      <c r="I24" s="63">
        <f>INDEX(Translations!$D:$ZZ, MATCH(27,Translations!$A:$A,0), MATCH('Project Information'!$C$4,Translations!$D$1:$ZZ$1,0))</f>
        <v/>
      </c>
      <c r="J24" s="63" t="n"/>
      <c r="K24" s="63" t="n"/>
    </row>
    <row r="25" ht="15" customHeight="1" s="39">
      <c r="A25" s="63" t="inlineStr">
        <is>
          <t>Size Variables</t>
        </is>
      </c>
      <c r="B25" s="63" t="n">
        <v>24</v>
      </c>
      <c r="C25" s="63">
        <f>INDEX(Translations!$D:$ZZ, MATCH(187,Translations!$A:$A,0), MATCH('Project Information'!$C$4,Translations!$D$1:$ZZ$1,0))</f>
        <v/>
      </c>
      <c r="D25" s="63">
        <f>INDEX(Translations!$D:$ZZ, MATCH(188,Translations!$A:$A,0), MATCH('Project Information'!$C$4,Translations!$D$1:$ZZ$1,0))</f>
        <v/>
      </c>
      <c r="E25" s="63">
        <f>INDEX(Translations!$D:$ZZ, MATCH(270,Translations!$A:$A,0), MATCH('Project Information'!$C$4,Translations!$D$1:$ZZ$1,0))</f>
        <v/>
      </c>
      <c r="F25" s="63">
        <f>INDEX(Translations!$D:$ZZ, MATCH(166,Translations!$A:$A,0), MATCH('Project Information'!$C$4,Translations!$D$1:$ZZ$1,0))</f>
        <v/>
      </c>
      <c r="G25" s="63">
        <f>IF('Project Information'!$C$4="EN","No","Hayır")</f>
        <v/>
      </c>
      <c r="H25" s="63">
        <f>INDEX(Translations!$D:$ZZ, MATCH(66,Translations!$A:$A,0), MATCH('Project Information'!$C$4,Translations!$D$1:$ZZ$1,0))</f>
        <v/>
      </c>
      <c r="I25" s="63">
        <f>INDEX(Translations!$D:$ZZ, MATCH(27,Translations!$A:$A,0), MATCH('Project Information'!$C$4,Translations!$D$1:$ZZ$1,0))</f>
        <v/>
      </c>
      <c r="J25" s="63" t="n"/>
      <c r="K25" s="63" t="n"/>
    </row>
    <row r="26" ht="15" customHeight="1" s="39">
      <c r="A26" s="63" t="inlineStr">
        <is>
          <t>Size Variables</t>
        </is>
      </c>
      <c r="B26" s="63" t="n">
        <v>25</v>
      </c>
      <c r="C26" s="63">
        <f>INDEX(Translations!$D:$ZZ, MATCH(183,Translations!$A:$A,0), MATCH('Project Information'!$C$4,Translations!$D$1:$ZZ$1,0))</f>
        <v/>
      </c>
      <c r="D26" s="69">
        <f>INDEX(Translations!$D:$ZZ, MATCH(184,Translations!$A:$A,0), MATCH('Project Information'!$C$4,Translations!$D$1:$ZZ$1,0))</f>
        <v/>
      </c>
      <c r="E26" s="63">
        <f>INDEX(Translations!$D:$ZZ, MATCH(270,Translations!$A:$A,0), MATCH('Project Information'!$C$4,Translations!$D$1:$ZZ$1,0))</f>
        <v/>
      </c>
      <c r="F26" s="63">
        <f>INDEX(Translations!$D:$ZZ, MATCH(166,Translations!$A:$A,0), MATCH('Project Information'!$C$4,Translations!$D$1:$ZZ$1,0))</f>
        <v/>
      </c>
      <c r="G26" s="63">
        <f>IF('Project Information'!$C$4="EN","No","Hayır")</f>
        <v/>
      </c>
      <c r="H26" s="63">
        <f>INDEX(Translations!$D:$ZZ, MATCH(66,Translations!$A:$A,0), MATCH('Project Information'!$C$4,Translations!$D$1:$ZZ$1,0))</f>
        <v/>
      </c>
      <c r="I26" s="63">
        <f>INDEX(Translations!$D:$ZZ, MATCH(172,Translations!$A:$A,0), MATCH('Project Information'!$C$4,Translations!$D$1:$ZZ$1,0))</f>
        <v/>
      </c>
      <c r="J26" s="63" t="n"/>
      <c r="K26" s="63" t="n"/>
    </row>
    <row r="27" ht="15" customHeight="1" s="39">
      <c r="A27" s="63" t="inlineStr">
        <is>
          <t>Size Variables</t>
        </is>
      </c>
      <c r="B27" s="63" t="n">
        <v>26</v>
      </c>
      <c r="C27" s="63">
        <f>INDEX(Translations!$D:$ZZ, MATCH(193,Translations!$A:$A,0), MATCH('Project Information'!$C$4,Translations!$D$1:$ZZ$1,0))</f>
        <v/>
      </c>
      <c r="D27" s="63">
        <f>INDEX(Translations!$D:$ZZ, MATCH(194,Translations!$A:$A,0), MATCH('Project Information'!$C$4,Translations!$D$1:$ZZ$1,0))</f>
        <v/>
      </c>
      <c r="E27" s="63">
        <f>INDEX(Translations!$D:$ZZ, MATCH(270,Translations!$A:$A,0), MATCH('Project Information'!$C$4,Translations!$D$1:$ZZ$1,0))</f>
        <v/>
      </c>
      <c r="F27" s="63">
        <f>INDEX(Translations!$D:$ZZ, MATCH(166,Translations!$A:$A,0), MATCH('Project Information'!$C$4,Translations!$D$1:$ZZ$1,0))</f>
        <v/>
      </c>
      <c r="G27" s="63">
        <f>IF('Project Information'!$C$4="EN","No","Hayır")</f>
        <v/>
      </c>
      <c r="H27" s="63">
        <f>INDEX(Translations!$D:$ZZ, MATCH(66,Translations!$A:$A,0), MATCH('Project Information'!$C$4,Translations!$D$1:$ZZ$1,0))</f>
        <v/>
      </c>
      <c r="I27" s="63">
        <f>INDEX(Translations!$D:$ZZ, MATCH(172,Translations!$A:$A,0), MATCH('Project Information'!$C$4,Translations!$D$1:$ZZ$1,0))</f>
        <v/>
      </c>
      <c r="J27" s="63" t="n"/>
      <c r="K27" s="63" t="n"/>
    </row>
    <row r="28" ht="15" customHeight="1" s="39">
      <c r="A28" s="63" t="inlineStr">
        <is>
          <t>Size Variables</t>
        </is>
      </c>
      <c r="B28" s="63" t="n">
        <v>27</v>
      </c>
      <c r="C28" s="63">
        <f>INDEX(Translations!$D:$ZZ, MATCH(181,Translations!$A:$A,0), MATCH('Project Information'!$C$4,Translations!$D$1:$ZZ$1,0))</f>
        <v/>
      </c>
      <c r="D28" s="69">
        <f>INDEX(Translations!$D:$ZZ, MATCH(182,Translations!$A:$A,0), MATCH('Project Information'!$C$4,Translations!$D$1:$ZZ$1,0))</f>
        <v/>
      </c>
      <c r="E28" s="63">
        <f>INDEX(Translations!$D:$ZZ, MATCH(270,Translations!$A:$A,0), MATCH('Project Information'!$C$4,Translations!$D$1:$ZZ$1,0))</f>
        <v/>
      </c>
      <c r="F28" s="63">
        <f>INDEX(Translations!$D:$ZZ, MATCH(166,Translations!$A:$A,0), MATCH('Project Information'!$C$4,Translations!$D$1:$ZZ$1,0))</f>
        <v/>
      </c>
      <c r="G28" s="63">
        <f>IF('Project Information'!$C$4="EN","No","Hayır")</f>
        <v/>
      </c>
      <c r="H28" s="63">
        <f>INDEX(Translations!$D:$ZZ, MATCH(272,Translations!$A:$A,0), MATCH('Project Information'!$C$4,Translations!$D$1:$ZZ$1,0))</f>
        <v/>
      </c>
      <c r="I28" s="63">
        <f>INDEX(Translations!$D:$ZZ, MATCH(27,Translations!$A:$A,0), MATCH('Project Information'!$C$4,Translations!$D$1:$ZZ$1,0))</f>
        <v/>
      </c>
      <c r="J28" s="63" t="n"/>
      <c r="K28" s="63" t="n"/>
    </row>
    <row r="29" ht="30" customHeight="1" s="39">
      <c r="A29" s="63" t="inlineStr">
        <is>
          <t>Size Variables</t>
        </is>
      </c>
      <c r="B29" s="63" t="n">
        <v>28</v>
      </c>
      <c r="C29" s="63">
        <f>INDEX(Translations!$D:$ZZ, MATCH(177,Translations!$A:$A,0), MATCH('Project Information'!$C$4,Translations!$D$1:$ZZ$1,0))</f>
        <v/>
      </c>
      <c r="D29" s="69">
        <f>INDEX(Translations!$D:$ZZ, MATCH(178,Translations!$A:$A,0), MATCH('Project Information'!$C$4,Translations!$D$1:$ZZ$1,0))</f>
        <v/>
      </c>
      <c r="E29" s="63">
        <f>INDEX(Translations!$D:$ZZ, MATCH(270,Translations!$A:$A,0), MATCH('Project Information'!$C$4,Translations!$D$1:$ZZ$1,0))</f>
        <v/>
      </c>
      <c r="F29" s="63">
        <f>INDEX(Translations!$D:$ZZ, MATCH(166,Translations!$A:$A,0), MATCH('Project Information'!$C$4,Translations!$D$1:$ZZ$1,0))</f>
        <v/>
      </c>
      <c r="G29" s="63">
        <f>IF('Project Information'!$C$4="EN","No","Hayır")</f>
        <v/>
      </c>
      <c r="H29" s="63">
        <f>INDEX(Translations!$D:$ZZ, MATCH(64,Translations!$A:$A,0), MATCH('Project Information'!$C$4,Translations!$D$1:$ZZ$1,0))</f>
        <v/>
      </c>
      <c r="I29" s="63">
        <f>INDEX(Translations!$D:$ZZ, MATCH(27,Translations!$A:$A,0), MATCH('Project Information'!$C$4,Translations!$D$1:$ZZ$1,0))</f>
        <v/>
      </c>
      <c r="J29" s="63" t="n"/>
      <c r="K29" s="63" t="n"/>
    </row>
    <row r="30" ht="30" customHeight="1" s="39">
      <c r="A30" s="63" t="inlineStr">
        <is>
          <t>Size Variables</t>
        </is>
      </c>
      <c r="B30" s="63" t="n">
        <v>29</v>
      </c>
      <c r="C30" s="63">
        <f>INDEX(Translations!$D:$ZZ, MATCH(179,Translations!$A:$A,0), MATCH('Project Information'!$C$4,Translations!$D$1:$ZZ$1,0))</f>
        <v/>
      </c>
      <c r="D30" s="69">
        <f>INDEX(Translations!$D:$ZZ, MATCH(180,Translations!$A:$A,0), MATCH('Project Information'!$C$4,Translations!$D$1:$ZZ$1,0))</f>
        <v/>
      </c>
      <c r="E30" s="63">
        <f>INDEX(Translations!$D:$ZZ, MATCH(270,Translations!$A:$A,0), MATCH('Project Information'!$C$4,Translations!$D$1:$ZZ$1,0))</f>
        <v/>
      </c>
      <c r="F30" s="63">
        <f>INDEX(Translations!$D:$ZZ, MATCH(166,Translations!$A:$A,0), MATCH('Project Information'!$C$4,Translations!$D$1:$ZZ$1,0))</f>
        <v/>
      </c>
      <c r="G30" s="63">
        <f>IF('Project Information'!$C$4="EN","No","Hayır")</f>
        <v/>
      </c>
      <c r="H30" s="63">
        <f>INDEX(Translations!$D:$ZZ, MATCH(272,Translations!$A:$A,0), MATCH('Project Information'!$C$4,Translations!$D$1:$ZZ$1,0))</f>
        <v/>
      </c>
      <c r="I30" s="63">
        <f>INDEX(Translations!$D:$ZZ, MATCH(172,Translations!$A:$A,0), MATCH('Project Information'!$C$4,Translations!$D$1:$ZZ$1,0))</f>
        <v/>
      </c>
      <c r="J30" s="63" t="n"/>
      <c r="K30" s="63" t="n"/>
    </row>
    <row r="31" ht="30" customHeight="1" s="39">
      <c r="A31" s="63" t="inlineStr">
        <is>
          <t>Size Variables</t>
        </is>
      </c>
      <c r="B31" s="63" t="n">
        <v>30</v>
      </c>
      <c r="C31" s="63">
        <f>INDEX(Translations!$D:$ZZ, MATCH(189,Translations!$A:$A,0), MATCH('Project Information'!$C$4,Translations!$D$1:$ZZ$1,0))</f>
        <v/>
      </c>
      <c r="D31" s="69">
        <f>INDEX(Translations!$D:$ZZ, MATCH(190,Translations!$A:$A,0), MATCH('Project Information'!$C$4,Translations!$D$1:$ZZ$1,0))</f>
        <v/>
      </c>
      <c r="E31" s="63">
        <f>INDEX(Translations!$D:$ZZ, MATCH(270,Translations!$A:$A,0), MATCH('Project Information'!$C$4,Translations!$D$1:$ZZ$1,0))</f>
        <v/>
      </c>
      <c r="F31" s="63">
        <f>INDEX(Translations!$D:$ZZ, MATCH(166,Translations!$A:$A,0), MATCH('Project Information'!$C$4,Translations!$D$1:$ZZ$1,0))</f>
        <v/>
      </c>
      <c r="G31" s="63">
        <f>IF('Project Information'!$C$4="EN","No","Hayır")</f>
        <v/>
      </c>
      <c r="H31" s="63">
        <f>INDEX(Translations!$D:$ZZ, MATCH(66,Translations!$A:$A,0), MATCH('Project Information'!$C$4,Translations!$D$1:$ZZ$1,0))</f>
        <v/>
      </c>
      <c r="I31" s="63">
        <f>INDEX(Translations!$D:$ZZ, MATCH(172,Translations!$A:$A,0), MATCH('Project Information'!$C$4,Translations!$D$1:$ZZ$1,0))</f>
        <v/>
      </c>
      <c r="J31" s="63" t="n"/>
      <c r="K31" s="63" t="n"/>
    </row>
    <row r="32" ht="30" customHeight="1" s="39">
      <c r="A32" s="63" t="inlineStr">
        <is>
          <t>Size Variables</t>
        </is>
      </c>
      <c r="B32" s="63" t="n">
        <v>31</v>
      </c>
      <c r="C32" s="69">
        <f>INDEX(Translations!$D:$ZZ, MATCH(191,Translations!$A:$A,0), MATCH('Project Information'!$C$4,Translations!$D$1:$ZZ$1,0))</f>
        <v/>
      </c>
      <c r="D32" s="69">
        <f>INDEX(Translations!$D:$ZZ, MATCH(192,Translations!$A:$A,0), MATCH('Project Information'!$C$4,Translations!$D$1:$ZZ$1,0))</f>
        <v/>
      </c>
      <c r="E32" s="63">
        <f>INDEX(Translations!$D:$ZZ, MATCH(270,Translations!$A:$A,0), MATCH('Project Information'!$C$4,Translations!$D$1:$ZZ$1,0))</f>
        <v/>
      </c>
      <c r="F32" s="63">
        <f>INDEX(Translations!$D:$ZZ, MATCH(166,Translations!$A:$A,0), MATCH('Project Information'!$C$4,Translations!$D$1:$ZZ$1,0))</f>
        <v/>
      </c>
      <c r="G32" s="63">
        <f>IF('Project Information'!$C$4="EN","No","Hayır")</f>
        <v/>
      </c>
      <c r="H32" s="63">
        <f>INDEX(Translations!$D:$ZZ, MATCH(66,Translations!$A:$A,0), MATCH('Project Information'!$C$4,Translations!$D$1:$ZZ$1,0))</f>
        <v/>
      </c>
      <c r="I32" s="63">
        <f>INDEX(Translations!$D:$ZZ, MATCH(27,Translations!$A:$A,0), MATCH('Project Information'!$C$4,Translations!$D$1:$ZZ$1,0))</f>
        <v/>
      </c>
      <c r="J32" s="63" t="n"/>
      <c r="K32" s="63" t="n"/>
    </row>
    <row r="33" ht="30" customHeight="1" s="39">
      <c r="A33" s="63" t="inlineStr">
        <is>
          <t>Size Variables</t>
        </is>
      </c>
      <c r="B33" s="63" t="n">
        <v>32</v>
      </c>
      <c r="C33" s="63">
        <f>INDEX(Translations!$D:$ZZ, MATCH(195,Translations!$A:$A,0), MATCH('Project Information'!$C$4,Translations!$D$1:$ZZ$1,0))</f>
        <v/>
      </c>
      <c r="D33" s="63">
        <f>INDEX(Translations!$D:$ZZ, MATCH(196,Translations!$A:$A,0), MATCH('Project Information'!$C$4,Translations!$D$1:$ZZ$1,0))</f>
        <v/>
      </c>
      <c r="E33" s="63">
        <f>INDEX(Translations!$D:$ZZ, MATCH(270,Translations!$A:$A,0), MATCH('Project Information'!$C$4,Translations!$D$1:$ZZ$1,0))</f>
        <v/>
      </c>
      <c r="F33" s="63">
        <f>INDEX(Translations!$D:$ZZ, MATCH(166,Translations!$A:$A,0), MATCH('Project Information'!$C$4,Translations!$D$1:$ZZ$1,0))</f>
        <v/>
      </c>
      <c r="G33" s="63">
        <f>IF('Project Information'!$C$4="EN","No","Hayır")</f>
        <v/>
      </c>
      <c r="H33" s="63">
        <f>INDEX(Translations!$D:$ZZ, MATCH(66,Translations!$A:$A,0), MATCH('Project Information'!$C$4,Translations!$D$1:$ZZ$1,0))</f>
        <v/>
      </c>
      <c r="I33" s="63">
        <f>INDEX(Translations!$D:$ZZ, MATCH(172,Translations!$A:$A,0), MATCH('Project Information'!$C$4,Translations!$D$1:$ZZ$1,0))</f>
        <v/>
      </c>
      <c r="J33" s="63" t="n"/>
      <c r="K33" s="63" t="n"/>
    </row>
    <row r="34" ht="15" customHeight="1" s="39">
      <c r="A34" s="63" t="inlineStr">
        <is>
          <t>Size Variables</t>
        </is>
      </c>
      <c r="B34" s="63" t="n">
        <v>33</v>
      </c>
      <c r="C34" s="63">
        <f>INDEX(Translations!$D:$ZZ, MATCH(197,Translations!$A:$A,0), MATCH('Project Information'!$C$4,Translations!$D$1:$ZZ$1,0))</f>
        <v/>
      </c>
      <c r="D34" s="63">
        <f>INDEX(Translations!$D:$ZZ, MATCH(198,Translations!$A:$A,0), MATCH('Project Information'!$C$4,Translations!$D$1:$ZZ$1,0))</f>
        <v/>
      </c>
      <c r="E34" s="63">
        <f>INDEX(Translations!$D:$ZZ, MATCH(270,Translations!$A:$A,0), MATCH('Project Information'!$C$4,Translations!$D$1:$ZZ$1,0))</f>
        <v/>
      </c>
      <c r="F34" s="63">
        <f>INDEX(Translations!$D:$ZZ, MATCH(166,Translations!$A:$A,0), MATCH('Project Information'!$C$4,Translations!$D$1:$ZZ$1,0))</f>
        <v/>
      </c>
      <c r="G34" s="63">
        <f>IF('Project Information'!$C$4="EN","No","Hayır")</f>
        <v/>
      </c>
      <c r="H34" s="63">
        <f>INDEX(Translations!$D:$ZZ, MATCH(66,Translations!$A:$A,0), MATCH('Project Information'!$C$4,Translations!$D$1:$ZZ$1,0))</f>
        <v/>
      </c>
      <c r="I34" s="63">
        <f>INDEX(Translations!$D:$ZZ, MATCH(172,Translations!$A:$A,0), MATCH('Project Information'!$C$4,Translations!$D$1:$ZZ$1,0))</f>
        <v/>
      </c>
      <c r="J34" s="63" t="n"/>
      <c r="K34" s="63" t="n"/>
    </row>
    <row r="35" ht="30" customHeight="1" s="39">
      <c r="A35" s="63" t="inlineStr">
        <is>
          <t>Size Variables</t>
        </is>
      </c>
      <c r="B35" s="63" t="n">
        <v>34</v>
      </c>
      <c r="C35" s="63">
        <f>INDEX(Translations!$D:$ZZ, MATCH(199,Translations!$A:$A,0), MATCH('Project Information'!$C$4,Translations!$D$1:$ZZ$1,0))</f>
        <v/>
      </c>
      <c r="D35" s="63">
        <f>INDEX(Translations!$D:$ZZ, MATCH(200,Translations!$A:$A,0), MATCH('Project Information'!$C$4,Translations!$D$1:$ZZ$1,0))</f>
        <v/>
      </c>
      <c r="E35" s="63">
        <f>INDEX(Translations!$D:$ZZ, MATCH(270,Translations!$A:$A,0), MATCH('Project Information'!$C$4,Translations!$D$1:$ZZ$1,0))</f>
        <v/>
      </c>
      <c r="F35" s="63">
        <f>INDEX(Translations!$D:$ZZ, MATCH(166,Translations!$A:$A,0), MATCH('Project Information'!$C$4,Translations!$D$1:$ZZ$1,0))</f>
        <v/>
      </c>
      <c r="G35" s="63">
        <f>IF('Project Information'!$C$4="EN","No","Hayır")</f>
        <v/>
      </c>
      <c r="H35" s="63">
        <f>INDEX(Translations!$D:$ZZ, MATCH(66,Translations!$A:$A,0), MATCH('Project Information'!$C$4,Translations!$D$1:$ZZ$1,0))</f>
        <v/>
      </c>
      <c r="I35" s="63">
        <f>INDEX(Translations!$D:$ZZ, MATCH(172,Translations!$A:$A,0), MATCH('Project Information'!$C$4,Translations!$D$1:$ZZ$1,0))</f>
        <v/>
      </c>
      <c r="J35" s="63" t="n"/>
      <c r="K35" s="63" t="n"/>
    </row>
    <row r="36" ht="16.4" customHeight="1" s="39">
      <c r="A36" s="63" t="inlineStr">
        <is>
          <t>Size Variables</t>
        </is>
      </c>
      <c r="B36" s="63" t="n">
        <v>35</v>
      </c>
      <c r="C36" s="63">
        <f>INDEX(Translations!$D:$ZZ, MATCH(201,Translations!$A:$A,0), MATCH('Project Information'!$C$4,Translations!$D$1:$ZZ$1,0))</f>
        <v/>
      </c>
      <c r="D36" s="69">
        <f>INDEX(Translations!$D:$ZZ, MATCH(202,Translations!$A:$A,0), MATCH('Project Information'!$C$4,Translations!$D$1:$ZZ$1,0))</f>
        <v/>
      </c>
      <c r="E36" s="63">
        <f>INDEX(Translations!$D:$ZZ, MATCH(273,Translations!$A:$A,0), MATCH('Project Information'!$C$4,Translations!$D$1:$ZZ$1,0))</f>
        <v/>
      </c>
      <c r="F36" s="63">
        <f>INDEX(Translations!$D:$ZZ, MATCH(171,Translations!$A:$A,0), MATCH('Project Information'!$C$4,Translations!$D$1:$ZZ$1,0))</f>
        <v/>
      </c>
      <c r="G36" s="63">
        <f>IF('Project Information'!$C$4="EN","No","Hayır")</f>
        <v/>
      </c>
      <c r="H36" s="63">
        <f>INDEX(Translations!$D:$ZZ, MATCH(272,Translations!$A:$A,0), MATCH('Project Information'!$C$4,Translations!$D$1:$ZZ$1,0))</f>
        <v/>
      </c>
      <c r="I36" s="63">
        <f>INDEX(Translations!$D:$ZZ, MATCH(27,Translations!$A:$A,0), MATCH('Project Information'!$C$4,Translations!$D$1:$ZZ$1,0))</f>
        <v/>
      </c>
      <c r="J36" s="63" t="n"/>
      <c r="K36" s="63" t="n"/>
    </row>
    <row r="37" ht="15" customHeight="1" s="39">
      <c r="A37" s="63" t="inlineStr">
        <is>
          <t>Size Variables</t>
        </is>
      </c>
      <c r="B37" s="63" t="n">
        <v>36</v>
      </c>
      <c r="C37" s="63">
        <f>INDEX(Translations!$D:$ZZ, MATCH(255,Translations!$A:$A,0), MATCH('Project Information'!$C$4,Translations!$D$1:$ZZ$1,0))</f>
        <v/>
      </c>
      <c r="D37" s="69">
        <f>INDEX(Translations!$D:$ZZ, MATCH(256,Translations!$A:$A,0), MATCH('Project Information'!$C$4,Translations!$D$1:$ZZ$1,0))</f>
        <v/>
      </c>
      <c r="E37" s="63">
        <f>INDEX(Translations!$D:$ZZ, MATCH(270,Translations!$A:$A,0), MATCH('Project Information'!$C$4,Translations!$D$1:$ZZ$1,0))</f>
        <v/>
      </c>
      <c r="F37" s="63">
        <f>INDEX(Translations!$D:$ZZ, MATCH(166,Translations!$A:$A,0), MATCH('Project Information'!$C$4,Translations!$D$1:$ZZ$1,0))</f>
        <v/>
      </c>
      <c r="G37" s="63">
        <f>IF('Project Information'!$C$4="EN","No","Hayır")</f>
        <v/>
      </c>
      <c r="H37" s="63">
        <f>INDEX(Translations!$D:$ZZ, MATCH(66,Translations!$A:$A,0), MATCH('Project Information'!$C$4,Translations!$D$1:$ZZ$1,0))</f>
        <v/>
      </c>
      <c r="I37" s="63">
        <f>INDEX(Translations!$D:$ZZ, MATCH(172,Translations!$A:$A,0), MATCH('Project Information'!$C$4,Translations!$D$1:$ZZ$1,0))</f>
        <v/>
      </c>
      <c r="J37" s="63" t="n"/>
      <c r="K37" s="63" t="n"/>
    </row>
    <row r="38" ht="15" customHeight="1" s="39">
      <c r="A38" s="63" t="inlineStr">
        <is>
          <t>Size Variables</t>
        </is>
      </c>
      <c r="B38" s="63" t="n">
        <v>37</v>
      </c>
      <c r="C38" s="63">
        <f>INDEX(Translations!$D:$ZZ, MATCH(203,Translations!$A:$A,0), MATCH('Project Information'!$C$4,Translations!$D$1:$ZZ$1,0))</f>
        <v/>
      </c>
      <c r="D38" s="69">
        <f>INDEX(Translations!$D:$ZZ, MATCH(204,Translations!$A:$A,0), MATCH('Project Information'!$C$4,Translations!$D$1:$ZZ$1,0))</f>
        <v/>
      </c>
      <c r="E38" s="63">
        <f>INDEX(Translations!$D:$ZZ, MATCH(273,Translations!$A:$A,0), MATCH('Project Information'!$C$4,Translations!$D$1:$ZZ$1,0))</f>
        <v/>
      </c>
      <c r="F38" s="63">
        <f>INDEX(Translations!$D:$ZZ, MATCH(166,Translations!$A:$A,0), MATCH('Project Information'!$C$4,Translations!$D$1:$ZZ$1,0))</f>
        <v/>
      </c>
      <c r="G38" s="63">
        <f>IF('Project Information'!$C$4="EN","No","Hayır")</f>
        <v/>
      </c>
      <c r="H38" s="63">
        <f>INDEX(Translations!$D:$ZZ, MATCH(66,Translations!$A:$A,0), MATCH('Project Information'!$C$4,Translations!$D$1:$ZZ$1,0))</f>
        <v/>
      </c>
      <c r="I38" s="63">
        <f>INDEX(Translations!$D:$ZZ, MATCH(172,Translations!$A:$A,0), MATCH('Project Information'!$C$4,Translations!$D$1:$ZZ$1,0))</f>
        <v/>
      </c>
      <c r="J38" s="63" t="n"/>
      <c r="K38" s="63" t="n"/>
    </row>
    <row r="39" ht="30" customHeight="1" s="39">
      <c r="A39" s="63" t="inlineStr">
        <is>
          <t>Size Variables</t>
        </is>
      </c>
      <c r="B39" s="63" t="n">
        <v>38</v>
      </c>
      <c r="C39" s="63">
        <f>INDEX(Translations!$D:$ZZ, MATCH(205,Translations!$A:$A,0), MATCH('Project Information'!$C$4,Translations!$D$1:$ZZ$1,0))</f>
        <v/>
      </c>
      <c r="D39" s="63">
        <f>INDEX(Translations!$D:$ZZ, MATCH(206,Translations!$A:$A,0), MATCH('Project Information'!$C$4,Translations!$D$1:$ZZ$1,0))</f>
        <v/>
      </c>
      <c r="E39" s="63">
        <f>INDEX(Translations!$D:$ZZ, MATCH(273,Translations!$A:$A,0), MATCH('Project Information'!$C$4,Translations!$D$1:$ZZ$1,0))</f>
        <v/>
      </c>
      <c r="F39" s="63">
        <f>INDEX(Translations!$D:$ZZ, MATCH(171,Translations!$A:$A,0), MATCH('Project Information'!$C$4,Translations!$D$1:$ZZ$1,0))</f>
        <v/>
      </c>
      <c r="G39" s="63">
        <f>IF('Project Information'!$C$4="EN","No","Hayır")</f>
        <v/>
      </c>
      <c r="H39" s="63">
        <f>INDEX(Translations!$D:$ZZ, MATCH(269,Translations!$A:$A,0), MATCH('Project Information'!$C$4,Translations!$D$1:$ZZ$1,0))</f>
        <v/>
      </c>
      <c r="I39" s="63">
        <f>INDEX(Translations!$D:$ZZ, MATCH(27,Translations!$A:$A,0), MATCH('Project Information'!$C$4,Translations!$D$1:$ZZ$1,0))</f>
        <v/>
      </c>
      <c r="J39" s="63" t="n"/>
      <c r="K39" s="63" t="n"/>
    </row>
    <row r="40" ht="30" customHeight="1" s="39">
      <c r="A40" s="63" t="inlineStr">
        <is>
          <t>Size Variables</t>
        </is>
      </c>
      <c r="B40" s="63" t="n">
        <v>39</v>
      </c>
      <c r="C40" s="63">
        <f>INDEX(Translations!$D:$ZZ, MATCH(207,Translations!$A:$A,0), MATCH('Project Information'!$C$4,Translations!$D$1:$ZZ$1,0))</f>
        <v/>
      </c>
      <c r="D40" s="63">
        <f>INDEX(Translations!$D:$ZZ, MATCH(208,Translations!$A:$A,0), MATCH('Project Information'!$C$4,Translations!$D$1:$ZZ$1,0))</f>
        <v/>
      </c>
      <c r="E40" s="63">
        <f>INDEX(Translations!$D:$ZZ, MATCH(273,Translations!$A:$A,0), MATCH('Project Information'!$C$4,Translations!$D$1:$ZZ$1,0))</f>
        <v/>
      </c>
      <c r="F40" s="63">
        <f>INDEX(Translations!$D:$ZZ, MATCH(166,Translations!$A:$A,0), MATCH('Project Information'!$C$4,Translations!$D$1:$ZZ$1,0))</f>
        <v/>
      </c>
      <c r="G40" s="63">
        <f>IF('Project Information'!$C$4="EN","No","Hayır")</f>
        <v/>
      </c>
      <c r="H40" s="63">
        <f>INDEX(Translations!$D:$ZZ, MATCH(66,Translations!$A:$A,0), MATCH('Project Information'!$C$4,Translations!$D$1:$ZZ$1,0))</f>
        <v/>
      </c>
      <c r="I40" s="63">
        <f>INDEX(Translations!$D:$ZZ, MATCH(172,Translations!$A:$A,0), MATCH('Project Information'!$C$4,Translations!$D$1:$ZZ$1,0))</f>
        <v/>
      </c>
      <c r="J40" s="63" t="n"/>
      <c r="K40" s="63" t="n"/>
    </row>
    <row r="41" ht="15" customHeight="1" s="39">
      <c r="A41" s="63" t="inlineStr">
        <is>
          <t>Size Variables</t>
        </is>
      </c>
      <c r="B41" s="63" t="n">
        <v>40</v>
      </c>
      <c r="C41" s="63">
        <f>INDEX(Translations!$D:$ZZ, MATCH(209,Translations!$A:$A,0), MATCH('Project Information'!$C$4,Translations!$D$1:$ZZ$1,0))</f>
        <v/>
      </c>
      <c r="D41" s="63">
        <f>INDEX(Translations!$D:$ZZ, MATCH(210,Translations!$A:$A,0), MATCH('Project Information'!$C$4,Translations!$D$1:$ZZ$1,0))</f>
        <v/>
      </c>
      <c r="E41" s="63">
        <f>INDEX(Translations!$D:$ZZ, MATCH(273,Translations!$A:$A,0), MATCH('Project Information'!$C$4,Translations!$D$1:$ZZ$1,0))</f>
        <v/>
      </c>
      <c r="F41" s="63">
        <f>INDEX(Translations!$D:$ZZ, MATCH(171,Translations!$A:$A,0), MATCH('Project Information'!$C$4,Translations!$D$1:$ZZ$1,0))</f>
        <v/>
      </c>
      <c r="G41" s="63">
        <f>IF('Project Information'!$C$4="EN","No","Hayır")</f>
        <v/>
      </c>
      <c r="H41" s="63">
        <f>INDEX(Translations!$D:$ZZ, MATCH(269,Translations!$A:$A,0), MATCH('Project Information'!$C$4,Translations!$D$1:$ZZ$1,0))</f>
        <v/>
      </c>
      <c r="I41" s="63">
        <f>INDEX(Translations!$D:$ZZ, MATCH(172,Translations!$A:$A,0), MATCH('Project Information'!$C$4,Translations!$D$1:$ZZ$1,0))</f>
        <v/>
      </c>
      <c r="J41" s="63" t="n"/>
      <c r="K41" s="63" t="n"/>
    </row>
    <row r="42" ht="15" customHeight="1" s="39">
      <c r="A42" s="63" t="inlineStr">
        <is>
          <t>Size Variables</t>
        </is>
      </c>
      <c r="B42" s="63" t="n">
        <v>41</v>
      </c>
      <c r="C42" s="63">
        <f>INDEX(Translations!$D:$ZZ, MATCH(211,Translations!$A:$A,0), MATCH('Project Information'!$C$4,Translations!$D$1:$ZZ$1,0))</f>
        <v/>
      </c>
      <c r="D42" s="63">
        <f>INDEX(Translations!$D:$ZZ, MATCH(212,Translations!$A:$A,0), MATCH('Project Information'!$C$4,Translations!$D$1:$ZZ$1,0))</f>
        <v/>
      </c>
      <c r="E42" s="63">
        <f>INDEX(Translations!$D:$ZZ, MATCH(273,Translations!$A:$A,0), MATCH('Project Information'!$C$4,Translations!$D$1:$ZZ$1,0))</f>
        <v/>
      </c>
      <c r="F42" s="63">
        <f>INDEX(Translations!$D:$ZZ, MATCH(171,Translations!$A:$A,0), MATCH('Project Information'!$C$4,Translations!$D$1:$ZZ$1,0))</f>
        <v/>
      </c>
      <c r="G42" s="63">
        <f>IF('Project Information'!$C$4="EN","No","Hayır")</f>
        <v/>
      </c>
      <c r="H42" s="63">
        <f>INDEX(Translations!$D:$ZZ, MATCH(269,Translations!$A:$A,0), MATCH('Project Information'!$C$4,Translations!$D$1:$ZZ$1,0))</f>
        <v/>
      </c>
      <c r="I42" s="63">
        <f>INDEX(Translations!$D:$ZZ, MATCH(172,Translations!$A:$A,0), MATCH('Project Information'!$C$4,Translations!$D$1:$ZZ$1,0))</f>
        <v/>
      </c>
      <c r="J42" s="63" t="n"/>
      <c r="K42" s="63" t="n"/>
    </row>
    <row r="43" ht="15" customHeight="1" s="39">
      <c r="A43" s="63" t="inlineStr">
        <is>
          <t>Size Variables</t>
        </is>
      </c>
      <c r="B43" s="63" t="n">
        <v>42</v>
      </c>
      <c r="C43" s="63">
        <f>INDEX(Translations!$D:$ZZ, MATCH(213,Translations!$A:$A,0), MATCH('Project Information'!$C$4,Translations!$D$1:$ZZ$1,0))</f>
        <v/>
      </c>
      <c r="D43" s="63">
        <f>INDEX(Translations!$D:$ZZ, MATCH(214,Translations!$A:$A,0), MATCH('Project Information'!$C$4,Translations!$D$1:$ZZ$1,0))</f>
        <v/>
      </c>
      <c r="E43" s="63">
        <f>INDEX(Translations!$D:$ZZ, MATCH(273,Translations!$A:$A,0), MATCH('Project Information'!$C$4,Translations!$D$1:$ZZ$1,0))</f>
        <v/>
      </c>
      <c r="F43" s="63">
        <f>INDEX(Translations!$D:$ZZ, MATCH(171,Translations!$A:$A,0), MATCH('Project Information'!$C$4,Translations!$D$1:$ZZ$1,0))</f>
        <v/>
      </c>
      <c r="G43" s="63">
        <f>IF('Project Information'!$C$4="EN","No","Hayır")</f>
        <v/>
      </c>
      <c r="H43" s="63">
        <f>INDEX(Translations!$D:$ZZ, MATCH(269,Translations!$A:$A,0), MATCH('Project Information'!$C$4,Translations!$D$1:$ZZ$1,0))</f>
        <v/>
      </c>
      <c r="I43" s="63">
        <f>INDEX(Translations!$D:$ZZ, MATCH(172,Translations!$A:$A,0), MATCH('Project Information'!$C$4,Translations!$D$1:$ZZ$1,0))</f>
        <v/>
      </c>
      <c r="J43" s="63" t="n"/>
      <c r="K43" s="63" t="n"/>
    </row>
    <row r="44" ht="15" customHeight="1" s="39">
      <c r="A44" s="63" t="inlineStr">
        <is>
          <t>Size Variables</t>
        </is>
      </c>
      <c r="B44" s="63" t="n">
        <v>43</v>
      </c>
      <c r="C44" s="63">
        <f>INDEX(Translations!$D:$ZZ, MATCH(215,Translations!$A:$A,0), MATCH('Project Information'!$C$4,Translations!$D$1:$ZZ$1,0))</f>
        <v/>
      </c>
      <c r="D44" s="63">
        <f>INDEX(Translations!$D:$ZZ, MATCH(216,Translations!$A:$A,0), MATCH('Project Information'!$C$4,Translations!$D$1:$ZZ$1,0))</f>
        <v/>
      </c>
      <c r="E44" s="63">
        <f>INDEX(Translations!$D:$ZZ, MATCH(273,Translations!$A:$A,0), MATCH('Project Information'!$C$4,Translations!$D$1:$ZZ$1,0))</f>
        <v/>
      </c>
      <c r="F44" s="63">
        <f>INDEX(Translations!$D:$ZZ, MATCH(171,Translations!$A:$A,0), MATCH('Project Information'!$C$4,Translations!$D$1:$ZZ$1,0))</f>
        <v/>
      </c>
      <c r="G44" s="63">
        <f>IF('Project Information'!$C$4="EN","No","Hayır")</f>
        <v/>
      </c>
      <c r="H44" s="63">
        <f>INDEX(Translations!$D:$ZZ, MATCH(269,Translations!$A:$A,0), MATCH('Project Information'!$C$4,Translations!$D$1:$ZZ$1,0))</f>
        <v/>
      </c>
      <c r="I44" s="63">
        <f>INDEX(Translations!$D:$ZZ, MATCH(172,Translations!$A:$A,0), MATCH('Project Information'!$C$4,Translations!$D$1:$ZZ$1,0))</f>
        <v/>
      </c>
      <c r="J44" s="63" t="n"/>
      <c r="K44" s="63" t="n"/>
    </row>
    <row r="45" ht="15" customHeight="1" s="39">
      <c r="A45" s="63" t="inlineStr">
        <is>
          <t>Size Variables</t>
        </is>
      </c>
      <c r="B45" s="63" t="n">
        <v>44</v>
      </c>
      <c r="C45" s="63">
        <f>INDEX(Translations!$D:$ZZ, MATCH(217,Translations!$A:$A,0), MATCH('Project Information'!$C$4,Translations!$D$1:$ZZ$1,0))</f>
        <v/>
      </c>
      <c r="D45" s="63">
        <f>INDEX(Translations!$D:$ZZ, MATCH(218,Translations!$A:$A,0), MATCH('Project Information'!$C$4,Translations!$D$1:$ZZ$1,0))</f>
        <v/>
      </c>
      <c r="E45" s="63">
        <f>INDEX(Translations!$D:$ZZ, MATCH(273,Translations!$A:$A,0), MATCH('Project Information'!$C$4,Translations!$D$1:$ZZ$1,0))</f>
        <v/>
      </c>
      <c r="F45" s="63">
        <f>INDEX(Translations!$D:$ZZ, MATCH(166,Translations!$A:$A,0), MATCH('Project Information'!$C$4,Translations!$D$1:$ZZ$1,0))</f>
        <v/>
      </c>
      <c r="G45" s="63">
        <f>IF('Project Information'!$C$4="EN","No","Hayır")</f>
        <v/>
      </c>
      <c r="H45" s="63">
        <f>INDEX(Translations!$D:$ZZ, MATCH(64,Translations!$A:$A,0), MATCH('Project Information'!$C$4,Translations!$D$1:$ZZ$1,0))</f>
        <v/>
      </c>
      <c r="I45" s="63">
        <f>INDEX(Translations!$D:$ZZ, MATCH(172,Translations!$A:$A,0), MATCH('Project Information'!$C$4,Translations!$D$1:$ZZ$1,0))</f>
        <v/>
      </c>
      <c r="J45" s="63" t="n"/>
      <c r="K45" s="63" t="n"/>
    </row>
    <row r="46" ht="15" customHeight="1" s="39">
      <c r="A46" s="63" t="inlineStr">
        <is>
          <t>Size Variables</t>
        </is>
      </c>
      <c r="B46" s="63" t="n">
        <v>45</v>
      </c>
      <c r="C46" s="63">
        <f>INDEX(Translations!$D:$ZZ, MATCH(219,Translations!$A:$A,0), MATCH('Project Information'!$C$4,Translations!$D$1:$ZZ$1,0))</f>
        <v/>
      </c>
      <c r="D46" s="63">
        <f>INDEX(Translations!$D:$ZZ, MATCH(220,Translations!$A:$A,0), MATCH('Project Information'!$C$4,Translations!$D$1:$ZZ$1,0))</f>
        <v/>
      </c>
      <c r="E46" s="63">
        <f>INDEX(Translations!$D:$ZZ, MATCH(273,Translations!$A:$A,0), MATCH('Project Information'!$C$4,Translations!$D$1:$ZZ$1,0))</f>
        <v/>
      </c>
      <c r="F46" s="63">
        <f>INDEX(Translations!$D:$ZZ, MATCH(166,Translations!$A:$A,0), MATCH('Project Information'!$C$4,Translations!$D$1:$ZZ$1,0))</f>
        <v/>
      </c>
      <c r="G46" s="63">
        <f>IF('Project Information'!$C$4="EN","No","Hayır")</f>
        <v/>
      </c>
      <c r="H46" s="63">
        <f>INDEX(Translations!$D:$ZZ, MATCH(66,Translations!$A:$A,0), MATCH('Project Information'!$C$4,Translations!$D$1:$ZZ$1,0))</f>
        <v/>
      </c>
      <c r="I46" s="63">
        <f>INDEX(Translations!$D:$ZZ, MATCH(172,Translations!$A:$A,0), MATCH('Project Information'!$C$4,Translations!$D$1:$ZZ$1,0))</f>
        <v/>
      </c>
      <c r="J46" s="63" t="n"/>
      <c r="K46" s="63" t="n"/>
    </row>
    <row r="47" ht="15" customHeight="1" s="39">
      <c r="A47" s="63" t="inlineStr">
        <is>
          <t>Size Variables</t>
        </is>
      </c>
      <c r="B47" s="63" t="n">
        <v>46</v>
      </c>
      <c r="C47" s="63">
        <f>INDEX(Translations!$D:$ZZ, MATCH(221,Translations!$A:$A,0), MATCH('Project Information'!$C$4,Translations!$D$1:$ZZ$1,0))</f>
        <v/>
      </c>
      <c r="D47" s="63">
        <f>INDEX(Translations!$D:$ZZ, MATCH(220,Translations!$A:$A,0), MATCH('Project Information'!$C$4,Translations!$D$1:$ZZ$1,0))</f>
        <v/>
      </c>
      <c r="E47" s="63">
        <f>INDEX(Translations!$D:$ZZ, MATCH(273,Translations!$A:$A,0), MATCH('Project Information'!$C$4,Translations!$D$1:$ZZ$1,0))</f>
        <v/>
      </c>
      <c r="F47" s="63">
        <f>INDEX(Translations!$D:$ZZ, MATCH(166,Translations!$A:$A,0), MATCH('Project Information'!$C$4,Translations!$D$1:$ZZ$1,0))</f>
        <v/>
      </c>
      <c r="G47" s="63">
        <f>IF('Project Information'!$C$4="EN","No","Hayır")</f>
        <v/>
      </c>
      <c r="H47" s="63">
        <f>INDEX(Translations!$D:$ZZ, MATCH(66,Translations!$A:$A,0), MATCH('Project Information'!$C$4,Translations!$D$1:$ZZ$1,0))</f>
        <v/>
      </c>
      <c r="I47" s="63">
        <f>INDEX(Translations!$D:$ZZ, MATCH(172,Translations!$A:$A,0), MATCH('Project Information'!$C$4,Translations!$D$1:$ZZ$1,0))</f>
        <v/>
      </c>
      <c r="J47" s="63" t="n"/>
      <c r="K47" s="63" t="n"/>
    </row>
    <row r="48" ht="15" customHeight="1" s="39">
      <c r="A48" s="63" t="inlineStr">
        <is>
          <t>Size Variables</t>
        </is>
      </c>
      <c r="B48" s="63" t="n">
        <v>47</v>
      </c>
      <c r="C48" s="63">
        <f>INDEX(Translations!$D:$ZZ, MATCH(222,Translations!$A:$A,0), MATCH('Project Information'!$C$4,Translations!$D$1:$ZZ$1,0))</f>
        <v/>
      </c>
      <c r="D48" s="63">
        <f>INDEX(Translations!$D:$ZZ, MATCH(223,Translations!$A:$A,0), MATCH('Project Information'!$C$4,Translations!$D$1:$ZZ$1,0))</f>
        <v/>
      </c>
      <c r="E48" s="63">
        <f>INDEX(Translations!$D:$ZZ, MATCH(273,Translations!$A:$A,0), MATCH('Project Information'!$C$4,Translations!$D$1:$ZZ$1,0))</f>
        <v/>
      </c>
      <c r="F48" s="63">
        <f>INDEX(Translations!$D:$ZZ, MATCH(166,Translations!$A:$A,0), MATCH('Project Information'!$C$4,Translations!$D$1:$ZZ$1,0))</f>
        <v/>
      </c>
      <c r="G48" s="63">
        <f>IF('Project Information'!$C$4="EN","No","Hayır")</f>
        <v/>
      </c>
      <c r="H48" s="63">
        <f>INDEX(Translations!$D:$ZZ, MATCH(64,Translations!$A:$A,0), MATCH('Project Information'!$C$4,Translations!$D$1:$ZZ$1,0))</f>
        <v/>
      </c>
      <c r="I48" s="63">
        <f>INDEX(Translations!$D:$ZZ, MATCH(27,Translations!$A:$A,0), MATCH('Project Information'!$C$4,Translations!$D$1:$ZZ$1,0))</f>
        <v/>
      </c>
      <c r="J48" s="63" t="n"/>
      <c r="K48" s="63" t="n"/>
    </row>
    <row r="49" ht="15" customHeight="1" s="39">
      <c r="A49" s="63" t="inlineStr">
        <is>
          <t>Size Variables</t>
        </is>
      </c>
      <c r="B49" s="63" t="n">
        <v>48</v>
      </c>
      <c r="C49" s="63">
        <f>INDEX(Translations!$D:$ZZ, MATCH(224,Translations!$A:$A,0), MATCH('Project Information'!$C$4,Translations!$D$1:$ZZ$1,0))</f>
        <v/>
      </c>
      <c r="D49" s="63">
        <f>INDEX(Translations!$D:$ZZ, MATCH(194,Translations!$A:$A,0), MATCH('Project Information'!$C$4,Translations!$D$1:$ZZ$1,0))</f>
        <v/>
      </c>
      <c r="E49" s="63">
        <f>INDEX(Translations!$D:$ZZ, MATCH(273,Translations!$A:$A,0), MATCH('Project Information'!$C$4,Translations!$D$1:$ZZ$1,0))</f>
        <v/>
      </c>
      <c r="F49" s="63">
        <f>INDEX(Translations!$D:$ZZ, MATCH(171,Translations!$A:$A,0), MATCH('Project Information'!$C$4,Translations!$D$1:$ZZ$1,0))</f>
        <v/>
      </c>
      <c r="G49" s="63">
        <f>IF('Project Information'!$C$4="EN","No","Hayır")</f>
        <v/>
      </c>
      <c r="H49" s="63">
        <f>INDEX(Translations!$D:$ZZ, MATCH(64,Translations!$A:$A,0), MATCH('Project Information'!$C$4,Translations!$D$1:$ZZ$1,0))</f>
        <v/>
      </c>
      <c r="I49" s="63">
        <f>INDEX(Translations!$D:$ZZ, MATCH(27,Translations!$A:$A,0), MATCH('Project Information'!$C$4,Translations!$D$1:$ZZ$1,0))</f>
        <v/>
      </c>
      <c r="J49" s="63" t="n"/>
      <c r="K49" s="63" t="n"/>
    </row>
    <row r="50" ht="15" customHeight="1" s="39">
      <c r="A50" s="63" t="inlineStr">
        <is>
          <t>Size Variables</t>
        </is>
      </c>
      <c r="B50" s="63" t="n">
        <v>49</v>
      </c>
      <c r="C50" s="63">
        <f>INDEX(Translations!$D:$ZZ, MATCH(225,Translations!$A:$A,0), MATCH('Project Information'!$C$4,Translations!$D$1:$ZZ$1,0))</f>
        <v/>
      </c>
      <c r="D50" s="63">
        <f>INDEX(Translations!$D:$ZZ, MATCH(226,Translations!$A:$A,0), MATCH('Project Information'!$C$4,Translations!$D$1:$ZZ$1,0))</f>
        <v/>
      </c>
      <c r="E50" s="63">
        <f>INDEX(Translations!$D:$ZZ, MATCH(65,Translations!$A:$A,0), MATCH('Project Information'!$C$4,Translations!$D$1:$ZZ$1,0))</f>
        <v/>
      </c>
      <c r="F50" s="63">
        <f>INDEX(Translations!$D:$ZZ, MATCH(171,Translations!$A:$A,0), MATCH('Project Information'!$C$4,Translations!$D$1:$ZZ$1,0))</f>
        <v/>
      </c>
      <c r="G50" s="63">
        <f>IF('Project Information'!$C$4="EN","No","Hayır")</f>
        <v/>
      </c>
      <c r="H50" s="63">
        <f>INDEX(Translations!$D:$ZZ, MATCH(64,Translations!$A:$A,0), MATCH('Project Information'!$C$4,Translations!$D$1:$ZZ$1,0))</f>
        <v/>
      </c>
      <c r="I50" s="63">
        <f>INDEX(Translations!$D:$ZZ, MATCH(172,Translations!$A:$A,0), MATCH('Project Information'!$C$4,Translations!$D$1:$ZZ$1,0))</f>
        <v/>
      </c>
      <c r="J50" s="63" t="n"/>
      <c r="K50" s="63" t="n"/>
    </row>
    <row r="51" ht="15" customHeight="1" s="39">
      <c r="A51" s="63" t="inlineStr">
        <is>
          <t>Size Variables</t>
        </is>
      </c>
      <c r="B51" s="63" t="n">
        <v>50</v>
      </c>
      <c r="C51" s="63">
        <f>INDEX(Translations!$D:$ZZ, MATCH(227,Translations!$A:$A,0), MATCH('Project Information'!$C$4,Translations!$D$1:$ZZ$1,0))</f>
        <v/>
      </c>
      <c r="D51" s="63">
        <f>INDEX(Translations!$D:$ZZ, MATCH(228,Translations!$A:$A,0), MATCH('Project Information'!$C$4,Translations!$D$1:$ZZ$1,0))</f>
        <v/>
      </c>
      <c r="E51" s="63">
        <f>INDEX(Translations!$D:$ZZ, MATCH(273,Translations!$A:$A,0), MATCH('Project Information'!$C$4,Translations!$D$1:$ZZ$1,0))</f>
        <v/>
      </c>
      <c r="F51" s="63">
        <f>INDEX(Translations!$D:$ZZ, MATCH(171,Translations!$A:$A,0), MATCH('Project Information'!$C$4,Translations!$D$1:$ZZ$1,0))</f>
        <v/>
      </c>
      <c r="G51" s="63">
        <f>IF('Project Information'!$C$4="EN","No","Hayır")</f>
        <v/>
      </c>
      <c r="H51" s="63">
        <f>INDEX(Translations!$D:$ZZ, MATCH(64,Translations!$A:$A,0), MATCH('Project Information'!$C$4,Translations!$D$1:$ZZ$1,0))</f>
        <v/>
      </c>
      <c r="I51" s="63">
        <f>INDEX(Translations!$D:$ZZ, MATCH(27,Translations!$A:$A,0), MATCH('Project Information'!$C$4,Translations!$D$1:$ZZ$1,0))</f>
        <v/>
      </c>
      <c r="J51" s="63" t="n"/>
      <c r="K51" s="63" t="n"/>
    </row>
    <row r="52" ht="15" customHeight="1" s="39">
      <c r="A52" s="63" t="inlineStr">
        <is>
          <t>Size Variables</t>
        </is>
      </c>
      <c r="B52" s="63" t="n">
        <v>51</v>
      </c>
      <c r="C52" s="63">
        <f>INDEX(Translations!$D:$ZZ, MATCH(229,Translations!$A:$A,0), MATCH('Project Information'!$C$4,Translations!$D$1:$ZZ$1,0))</f>
        <v/>
      </c>
      <c r="D52" s="63">
        <f>INDEX(Translations!$D:$ZZ, MATCH(230,Translations!$A:$A,0), MATCH('Project Information'!$C$4,Translations!$D$1:$ZZ$1,0))</f>
        <v/>
      </c>
      <c r="E52" s="63">
        <f>INDEX(Translations!$D:$ZZ, MATCH(65,Translations!$A:$A,0), MATCH('Project Information'!$C$4,Translations!$D$1:$ZZ$1,0))</f>
        <v/>
      </c>
      <c r="F52" s="63">
        <f>INDEX(Translations!$D:$ZZ, MATCH(171,Translations!$A:$A,0), MATCH('Project Information'!$C$4,Translations!$D$1:$ZZ$1,0))</f>
        <v/>
      </c>
      <c r="G52" s="63">
        <f>IF('Project Information'!$C$4="EN","No","Hayır")</f>
        <v/>
      </c>
      <c r="H52" s="63">
        <f>INDEX(Translations!$D:$ZZ, MATCH(269,Translations!$A:$A,0), MATCH('Project Information'!$C$4,Translations!$D$1:$ZZ$1,0))</f>
        <v/>
      </c>
      <c r="I52" s="63">
        <f>INDEX(Translations!$D:$ZZ, MATCH(172,Translations!$A:$A,0), MATCH('Project Information'!$C$4,Translations!$D$1:$ZZ$1,0))</f>
        <v/>
      </c>
      <c r="J52" s="63" t="n"/>
      <c r="K52" s="63" t="n"/>
    </row>
    <row r="53" ht="15" customHeight="1" s="39">
      <c r="A53" s="63" t="inlineStr">
        <is>
          <t>Size Variables</t>
        </is>
      </c>
      <c r="B53" s="63" t="n">
        <v>52</v>
      </c>
      <c r="C53" s="63">
        <f>INDEX(Translations!$D:$ZZ, MATCH(233,Translations!$A:$A,0), MATCH('Project Information'!$C$4,Translations!$D$1:$ZZ$1,0))</f>
        <v/>
      </c>
      <c r="D53" s="63">
        <f>INDEX(Translations!$D:$ZZ, MATCH(194,Translations!$A:$A,0), MATCH('Project Information'!$C$4,Translations!$D$1:$ZZ$1,0))</f>
        <v/>
      </c>
      <c r="E53" s="63">
        <f>INDEX(Translations!$D:$ZZ, MATCH(65,Translations!$A:$A,0), MATCH('Project Information'!$C$4,Translations!$D$1:$ZZ$1,0))</f>
        <v/>
      </c>
      <c r="F53" s="63">
        <f>INDEX(Translations!$D:$ZZ, MATCH(171,Translations!$A:$A,0), MATCH('Project Information'!$C$4,Translations!$D$1:$ZZ$1,0))</f>
        <v/>
      </c>
      <c r="G53" s="63">
        <f>IF('Project Information'!$C$4="EN","No","Hayır")</f>
        <v/>
      </c>
      <c r="H53" s="63">
        <f>INDEX(Translations!$D:$ZZ, MATCH(272,Translations!$A:$A,0), MATCH('Project Information'!$C$4,Translations!$D$1:$ZZ$1,0))</f>
        <v/>
      </c>
      <c r="I53" s="63">
        <f>INDEX(Translations!$D:$ZZ, MATCH(172,Translations!$A:$A,0), MATCH('Project Information'!$C$4,Translations!$D$1:$ZZ$1,0))</f>
        <v/>
      </c>
      <c r="J53" s="63" t="n"/>
      <c r="K53" s="63" t="n"/>
    </row>
    <row r="54" ht="15" customHeight="1" s="39">
      <c r="A54" s="63" t="inlineStr">
        <is>
          <t>Size Variables</t>
        </is>
      </c>
      <c r="B54" s="63" t="n">
        <v>53</v>
      </c>
      <c r="C54" s="63">
        <f>INDEX(Translations!$D:$ZZ, MATCH(234,Translations!$A:$A,0), MATCH('Project Information'!$C$4,Translations!$D$1:$ZZ$1,0))</f>
        <v/>
      </c>
      <c r="D54" s="63">
        <f>INDEX(Translations!$D:$ZZ, MATCH(194,Translations!$A:$A,0), MATCH('Project Information'!$C$4,Translations!$D$1:$ZZ$1,0))</f>
        <v/>
      </c>
      <c r="E54" s="63">
        <f>INDEX(Translations!$D:$ZZ, MATCH(273,Translations!$A:$A,0), MATCH('Project Information'!$C$4,Translations!$D$1:$ZZ$1,0))</f>
        <v/>
      </c>
      <c r="F54" s="63">
        <f>INDEX(Translations!$D:$ZZ, MATCH(166,Translations!$A:$A,0), MATCH('Project Information'!$C$4,Translations!$D$1:$ZZ$1,0))</f>
        <v/>
      </c>
      <c r="G54" s="63">
        <f>IF('Project Information'!$C$4="EN","No","Hayır")</f>
        <v/>
      </c>
      <c r="H54" s="63">
        <f>INDEX(Translations!$D:$ZZ, MATCH(64,Translations!$A:$A,0), MATCH('Project Information'!$C$4,Translations!$D$1:$ZZ$1,0))</f>
        <v/>
      </c>
      <c r="I54" s="63">
        <f>INDEX(Translations!$D:$ZZ, MATCH(172,Translations!$A:$A,0), MATCH('Project Information'!$C$4,Translations!$D$1:$ZZ$1,0))</f>
        <v/>
      </c>
      <c r="J54" s="63" t="n"/>
      <c r="K54" s="63" t="n"/>
    </row>
    <row r="55" ht="15" customHeight="1" s="39">
      <c r="A55" s="63" t="inlineStr">
        <is>
          <t>Size Variables</t>
        </is>
      </c>
      <c r="B55" s="63" t="n">
        <v>54</v>
      </c>
      <c r="C55" s="63">
        <f>INDEX(Translations!$D:$ZZ, MATCH(237,Translations!$A:$A,0), MATCH('Project Information'!$C$4,Translations!$D$1:$ZZ$1,0))</f>
        <v/>
      </c>
      <c r="D55" s="63">
        <f>INDEX(Translations!$D:$ZZ, MATCH(238,Translations!$A:$A,0), MATCH('Project Information'!$C$4,Translations!$D$1:$ZZ$1,0))</f>
        <v/>
      </c>
      <c r="E55" s="63">
        <f>INDEX(Translations!$D:$ZZ, MATCH(65,Translations!$A:$A,0), MATCH('Project Information'!$C$4,Translations!$D$1:$ZZ$1,0))</f>
        <v/>
      </c>
      <c r="F55" s="63">
        <f>INDEX(Translations!$D:$ZZ, MATCH(171,Translations!$A:$A,0), MATCH('Project Information'!$C$4,Translations!$D$1:$ZZ$1,0))</f>
        <v/>
      </c>
      <c r="G55" s="63">
        <f>IF('Project Information'!$C$4="EN","No","Hayır")</f>
        <v/>
      </c>
      <c r="H55" s="63">
        <f>INDEX(Translations!$D:$ZZ, MATCH(66,Translations!$A:$A,0), MATCH('Project Information'!$C$4,Translations!$D$1:$ZZ$1,0))</f>
        <v/>
      </c>
      <c r="I55" s="63">
        <f>INDEX(Translations!$D:$ZZ, MATCH(172,Translations!$A:$A,0), MATCH('Project Information'!$C$4,Translations!$D$1:$ZZ$1,0))</f>
        <v/>
      </c>
      <c r="J55" s="63" t="n"/>
      <c r="K55" s="63" t="n"/>
    </row>
    <row r="56" ht="15" customHeight="1" s="39">
      <c r="A56" s="63" t="inlineStr">
        <is>
          <t>Size Variables</t>
        </is>
      </c>
      <c r="B56" s="63" t="n">
        <v>55</v>
      </c>
      <c r="C56" s="63">
        <f>INDEX(Translations!$D:$ZZ, MATCH(274,Translations!$A:$A,0), MATCH('Project Information'!$C$4,Translations!$D$1:$ZZ$1,0))</f>
        <v/>
      </c>
      <c r="D56" s="63">
        <f>INDEX(Translations!$D:$ZZ, MATCH(194,Translations!$A:$A,0), MATCH('Project Information'!$C$4,Translations!$D$1:$ZZ$1,0))</f>
        <v/>
      </c>
      <c r="E56" s="63">
        <f>INDEX(Translations!$D:$ZZ, MATCH(65,Translations!$A:$A,0), MATCH('Project Information'!$C$4,Translations!$D$1:$ZZ$1,0))</f>
        <v/>
      </c>
      <c r="F56" s="63">
        <f>INDEX(Translations!$D:$ZZ, MATCH(171,Translations!$A:$A,0), MATCH('Project Information'!$C$4,Translations!$D$1:$ZZ$1,0))</f>
        <v/>
      </c>
      <c r="G56" s="63">
        <f>IF('Project Information'!$C$4="EN","No","Hayır")</f>
        <v/>
      </c>
      <c r="H56" s="63">
        <f>INDEX(Translations!$D:$ZZ, MATCH(66,Translations!$A:$A,0), MATCH('Project Information'!$C$4,Translations!$D$1:$ZZ$1,0))</f>
        <v/>
      </c>
      <c r="I56" s="63">
        <f>INDEX(Translations!$D:$ZZ, MATCH(172,Translations!$A:$A,0), MATCH('Project Information'!$C$4,Translations!$D$1:$ZZ$1,0))</f>
        <v/>
      </c>
      <c r="J56" s="63" t="n"/>
      <c r="K56" s="63" t="n"/>
    </row>
    <row r="57" ht="15" customHeight="1" s="39">
      <c r="A57" s="63" t="inlineStr">
        <is>
          <t>Size Variables</t>
        </is>
      </c>
      <c r="B57" s="63" t="n">
        <v>56</v>
      </c>
      <c r="C57" s="63">
        <f>INDEX(Translations!$D:$ZZ, MATCH(275,Translations!$A:$A,0), MATCH('Project Information'!$C$4,Translations!$D$1:$ZZ$1,0))</f>
        <v/>
      </c>
      <c r="D57" s="63">
        <f>INDEX(Translations!$D:$ZZ, MATCH(194,Translations!$A:$A,0), MATCH('Project Information'!$C$4,Translations!$D$1:$ZZ$1,0))</f>
        <v/>
      </c>
      <c r="E57" s="63">
        <f>INDEX(Translations!$D:$ZZ, MATCH(65,Translations!$A:$A,0), MATCH('Project Information'!$C$4,Translations!$D$1:$ZZ$1,0))</f>
        <v/>
      </c>
      <c r="F57" s="63">
        <f>INDEX(Translations!$D:$ZZ, MATCH(171,Translations!$A:$A,0), MATCH('Project Information'!$C$4,Translations!$D$1:$ZZ$1,0))</f>
        <v/>
      </c>
      <c r="G57" s="63">
        <f>IF('Project Information'!$C$4="EN","No","Hayır")</f>
        <v/>
      </c>
      <c r="H57" s="63">
        <f>INDEX(Translations!$D:$ZZ, MATCH(66,Translations!$A:$A,0), MATCH('Project Information'!$C$4,Translations!$D$1:$ZZ$1,0))</f>
        <v/>
      </c>
      <c r="I57" s="63">
        <f>INDEX(Translations!$D:$ZZ, MATCH(172,Translations!$A:$A,0), MATCH('Project Information'!$C$4,Translations!$D$1:$ZZ$1,0))</f>
        <v/>
      </c>
      <c r="J57" s="63" t="n"/>
      <c r="K57" s="63" t="n"/>
    </row>
    <row r="58" ht="16.4" customHeight="1" s="39">
      <c r="A58" s="63" t="inlineStr">
        <is>
          <t>Size Variables</t>
        </is>
      </c>
      <c r="B58" s="63" t="n">
        <v>57</v>
      </c>
      <c r="C58" s="63">
        <f>INDEX(Translations!$D:$ZZ, MATCH(239,Translations!$A:$A,0), MATCH('Project Information'!$C$4,Translations!$D$1:$ZZ$1,0))</f>
        <v/>
      </c>
      <c r="D58" s="69">
        <f>INDEX(Translations!$D:$ZZ, MATCH(194,Translations!$A:$A,0), MATCH('Project Information'!$C$4,Translations!$D$1:$ZZ$1,0))</f>
        <v/>
      </c>
      <c r="E58" s="63">
        <f>INDEX(Translations!$D:$ZZ, MATCH(65,Translations!$A:$A,0), MATCH('Project Information'!$C$4,Translations!$D$1:$ZZ$1,0))</f>
        <v/>
      </c>
      <c r="F58" s="63">
        <f>INDEX(Translations!$D:$ZZ, MATCH(171,Translations!$A:$A,0), MATCH('Project Information'!$C$4,Translations!$D$1:$ZZ$1,0))</f>
        <v/>
      </c>
      <c r="G58" s="63">
        <f>IF('Project Information'!$C$4="EN","No","Hayır")</f>
        <v/>
      </c>
      <c r="H58" s="63">
        <f>INDEX(Translations!$D:$ZZ, MATCH(66,Translations!$A:$A,0), MATCH('Project Information'!$C$4,Translations!$D$1:$ZZ$1,0))</f>
        <v/>
      </c>
      <c r="I58" s="63">
        <f>INDEX(Translations!$D:$ZZ, MATCH(172,Translations!$A:$A,0), MATCH('Project Information'!$C$4,Translations!$D$1:$ZZ$1,0))</f>
        <v/>
      </c>
      <c r="J58" s="63" t="n"/>
      <c r="K58" s="63" t="n"/>
    </row>
    <row r="59" ht="16.4" customHeight="1" s="39">
      <c r="A59" s="63" t="inlineStr">
        <is>
          <t>Size Variables</t>
        </is>
      </c>
      <c r="B59" s="63" t="n">
        <v>58</v>
      </c>
      <c r="C59" s="63">
        <f>INDEX(Translations!$D:$ZZ, MATCH(240,Translations!$A:$A,0), MATCH('Project Information'!$C$4,Translations!$D$1:$ZZ$1,0))</f>
        <v/>
      </c>
      <c r="D59" s="69">
        <f>INDEX(Translations!$D:$ZZ, MATCH(194,Translations!$A:$A,0), MATCH('Project Information'!$C$4,Translations!$D$1:$ZZ$1,0))</f>
        <v/>
      </c>
      <c r="E59" s="63">
        <f>INDEX(Translations!$D:$ZZ, MATCH(65,Translations!$A:$A,0), MATCH('Project Information'!$C$4,Translations!$D$1:$ZZ$1,0))</f>
        <v/>
      </c>
      <c r="F59" s="63">
        <f>INDEX(Translations!$D:$ZZ, MATCH(171,Translations!$A:$A,0), MATCH('Project Information'!$C$4,Translations!$D$1:$ZZ$1,0))</f>
        <v/>
      </c>
      <c r="G59" s="63">
        <f>IF('Project Information'!$C$4="EN","No","Hayır")</f>
        <v/>
      </c>
      <c r="H59" s="63">
        <f>INDEX(Translations!$D:$ZZ, MATCH(66,Translations!$A:$A,0), MATCH('Project Information'!$C$4,Translations!$D$1:$ZZ$1,0))</f>
        <v/>
      </c>
      <c r="I59" s="63">
        <f>INDEX(Translations!$D:$ZZ, MATCH(172,Translations!$A:$A,0), MATCH('Project Information'!$C$4,Translations!$D$1:$ZZ$1,0))</f>
        <v/>
      </c>
      <c r="J59" s="63" t="n"/>
      <c r="K59" s="63" t="n"/>
    </row>
    <row r="60" ht="30" customHeight="1" s="39">
      <c r="A60" s="63" t="inlineStr">
        <is>
          <t>Size Variables</t>
        </is>
      </c>
      <c r="B60" s="63" t="n">
        <v>59</v>
      </c>
      <c r="C60" s="69">
        <f>INDEX(Translations!$D:$ZZ, MATCH(241,Translations!$A:$A,0), MATCH('Project Information'!$C$4,Translations!$D$1:$ZZ$1,0))</f>
        <v/>
      </c>
      <c r="D60" s="63">
        <f>INDEX(Translations!$D:$ZZ, MATCH(208,Translations!$A:$A,0), MATCH('Project Information'!$C$4,Translations!$D$1:$ZZ$1,0))</f>
        <v/>
      </c>
      <c r="E60" s="63">
        <f>INDEX(Translations!$D:$ZZ, MATCH(65,Translations!$A:$A,0), MATCH('Project Information'!$C$4,Translations!$D$1:$ZZ$1,0))</f>
        <v/>
      </c>
      <c r="F60" s="63">
        <f>INDEX(Translations!$D:$ZZ, MATCH(171,Translations!$A:$A,0), MATCH('Project Information'!$C$4,Translations!$D$1:$ZZ$1,0))</f>
        <v/>
      </c>
      <c r="G60" s="63">
        <f>IF('Project Information'!$C$4="EN","No","Hayır")</f>
        <v/>
      </c>
      <c r="H60" s="63">
        <f>INDEX(Translations!$D:$ZZ, MATCH(66,Translations!$A:$A,0), MATCH('Project Information'!$C$4,Translations!$D$1:$ZZ$1,0))</f>
        <v/>
      </c>
      <c r="I60" s="63">
        <f>INDEX(Translations!$D:$ZZ, MATCH(172,Translations!$A:$A,0), MATCH('Project Information'!$C$4,Translations!$D$1:$ZZ$1,0))</f>
        <v/>
      </c>
      <c r="J60" s="63" t="n"/>
      <c r="K60" s="63" t="n"/>
    </row>
    <row r="61" ht="30" customHeight="1" s="39">
      <c r="A61" s="63" t="inlineStr">
        <is>
          <t>Size Variables</t>
        </is>
      </c>
      <c r="B61" s="63" t="n">
        <v>60</v>
      </c>
      <c r="C61" s="63">
        <f>INDEX(Translations!$D:$ZZ, MATCH(242,Translations!$A:$A,0), MATCH('Project Information'!$C$4,Translations!$D$1:$ZZ$1,0))</f>
        <v/>
      </c>
      <c r="D61" s="63">
        <f>INDEX(Translations!$D:$ZZ, MATCH(194,Translations!$A:$A,0), MATCH('Project Information'!$C$4,Translations!$D$1:$ZZ$1,0))</f>
        <v/>
      </c>
      <c r="E61" s="63">
        <f>INDEX(Translations!$D:$ZZ, MATCH(65,Translations!$A:$A,0), MATCH('Project Information'!$C$4,Translations!$D$1:$ZZ$1,0))</f>
        <v/>
      </c>
      <c r="F61" s="63">
        <f>INDEX(Translations!$D:$ZZ, MATCH(171,Translations!$A:$A,0), MATCH('Project Information'!$C$4,Translations!$D$1:$ZZ$1,0))</f>
        <v/>
      </c>
      <c r="G61" s="63">
        <f>IF('Project Information'!$C$4="EN","No","Hayır")</f>
        <v/>
      </c>
      <c r="H61" s="63">
        <f>INDEX(Translations!$D:$ZZ, MATCH(66,Translations!$A:$A,0), MATCH('Project Information'!$C$4,Translations!$D$1:$ZZ$1,0))</f>
        <v/>
      </c>
      <c r="I61" s="63">
        <f>INDEX(Translations!$D:$ZZ, MATCH(172,Translations!$A:$A,0), MATCH('Project Information'!$C$4,Translations!$D$1:$ZZ$1,0))</f>
        <v/>
      </c>
      <c r="J61" s="63" t="n"/>
      <c r="K61" s="63" t="n"/>
    </row>
    <row r="62" ht="45" customHeight="1" s="39">
      <c r="A62" s="63" t="inlineStr">
        <is>
          <t>Size Variables</t>
        </is>
      </c>
      <c r="B62" s="63" t="n">
        <v>61</v>
      </c>
      <c r="C62" s="63">
        <f>INDEX(Translations!$D:$ZZ, MATCH(244,Translations!$A:$A,0), MATCH('Project Information'!$C$4,Translations!$D$1:$ZZ$1,0))</f>
        <v/>
      </c>
      <c r="D62" s="63">
        <f>INDEX(Translations!$D:$ZZ, MATCH(245,Translations!$A:$A,0), MATCH('Project Information'!$C$4,Translations!$D$1:$ZZ$1,0))</f>
        <v/>
      </c>
      <c r="E62" s="63">
        <f>INDEX(Translations!$D:$ZZ, MATCH(273,Translations!$A:$A,0), MATCH('Project Information'!$C$4,Translations!$D$1:$ZZ$1,0))</f>
        <v/>
      </c>
      <c r="F62" s="63">
        <f>INDEX(Translations!$D:$ZZ, MATCH(166,Translations!$A:$A,0), MATCH('Project Information'!$C$4,Translations!$D$1:$ZZ$1,0))</f>
        <v/>
      </c>
      <c r="G62" s="63">
        <f>IF('Project Information'!$C$4="EN","No","Hayır")</f>
        <v/>
      </c>
      <c r="H62" s="63">
        <f>INDEX(Translations!$D:$ZZ, MATCH(66,Translations!$A:$A,0), MATCH('Project Information'!$C$4,Translations!$D$1:$ZZ$1,0))</f>
        <v/>
      </c>
      <c r="I62" s="63">
        <f>INDEX(Translations!$D:$ZZ, MATCH(172,Translations!$A:$A,0), MATCH('Project Information'!$C$4,Translations!$D$1:$ZZ$1,0))</f>
        <v/>
      </c>
      <c r="J62" s="63" t="n"/>
      <c r="K62" s="63" t="n"/>
    </row>
    <row r="63" ht="30" customHeight="1" s="39">
      <c r="A63" s="63" t="inlineStr">
        <is>
          <t>Size Variables</t>
        </is>
      </c>
      <c r="B63" s="63" t="n">
        <v>62</v>
      </c>
      <c r="C63" s="63">
        <f>INDEX(Translations!$D:$ZZ, MATCH(248,Translations!$A:$A,0), MATCH('Project Information'!$C$4,Translations!$D$1:$ZZ$1,0))</f>
        <v/>
      </c>
      <c r="D63" s="63">
        <f>INDEX(Translations!$D:$ZZ, MATCH(1021,Translations!$A:$A,0), MATCH('Project Information'!$C$4,Translations!$D$1:$ZZ$1,0))</f>
        <v/>
      </c>
      <c r="E63" s="63">
        <f>INDEX(Translations!$D:$ZZ, MATCH(273,Translations!$A:$A,0), MATCH('Project Information'!$C$4,Translations!$D$1:$ZZ$1,0))</f>
        <v/>
      </c>
      <c r="F63" s="63">
        <f>INDEX(Translations!$D:$ZZ, MATCH(171,Translations!$A:$A,0), MATCH('Project Information'!$C$4,Translations!$D$1:$ZZ$1,0))</f>
        <v/>
      </c>
      <c r="G63" s="63">
        <f>IF('Project Information'!$C$4="EN","No","Hayır")</f>
        <v/>
      </c>
      <c r="H63" s="63">
        <f>INDEX(Translations!$D:$ZZ, MATCH(269,Translations!$A:$A,0), MATCH('Project Information'!$C$4,Translations!$D$1:$ZZ$1,0))</f>
        <v/>
      </c>
      <c r="I63" s="63">
        <f>INDEX(Translations!$D:$ZZ, MATCH(172,Translations!$A:$A,0), MATCH('Project Information'!$C$4,Translations!$D$1:$ZZ$1,0))</f>
        <v/>
      </c>
      <c r="J63" s="63" t="n"/>
      <c r="K63" s="63" t="n"/>
    </row>
    <row r="64" ht="30" customHeight="1" s="39">
      <c r="A64" s="63" t="inlineStr">
        <is>
          <t>Size Variables</t>
        </is>
      </c>
      <c r="B64" s="63" t="n">
        <v>63</v>
      </c>
      <c r="C64" s="63">
        <f>INDEX(Translations!$D:$ZZ, MATCH(251,Translations!$A:$A,0), MATCH('Project Information'!$C$4,Translations!$D$1:$ZZ$1,0))</f>
        <v/>
      </c>
      <c r="D64" s="63">
        <f>INDEX(Translations!$D:$ZZ, MATCH(252,Translations!$A:$A,0), MATCH('Project Information'!$C$4,Translations!$D$1:$ZZ$1,0))</f>
        <v/>
      </c>
      <c r="E64" s="63">
        <f>INDEX(Translations!$D:$ZZ, MATCH(62,Translations!$A:$A,0), MATCH('Project Information'!$C$4,Translations!$D$1:$ZZ$1,0))</f>
        <v/>
      </c>
      <c r="F64" s="63">
        <f>INDEX(Translations!$D:$ZZ, MATCH(171,Translations!$A:$A,0), MATCH('Project Information'!$C$4,Translations!$D$1:$ZZ$1,0))</f>
        <v/>
      </c>
      <c r="G64" s="63">
        <f>IF('Project Information'!$C$4="EN","No","Hayır")</f>
        <v/>
      </c>
      <c r="H64" s="63">
        <f>INDEX(Translations!$D:$ZZ, MATCH(64,Translations!$A:$A,0), MATCH('Project Information'!$C$4,Translations!$D$1:$ZZ$1,0))</f>
        <v/>
      </c>
      <c r="I64" s="63">
        <f>INDEX(Translations!$D:$ZZ, MATCH(27,Translations!$A:$A,0), MATCH('Project Information'!$C$4,Translations!$D$1:$ZZ$1,0))</f>
        <v/>
      </c>
      <c r="J64" s="63" t="n"/>
      <c r="K64" s="63" t="n"/>
    </row>
    <row r="65" ht="15" customHeight="1" s="39">
      <c r="A65" s="63" t="inlineStr">
        <is>
          <t>Size Variables</t>
        </is>
      </c>
      <c r="B65" s="63" t="n">
        <v>64</v>
      </c>
      <c r="C65" s="63">
        <f>INDEX(Translations!$D:$ZZ, MATCH(263,Translations!$A:$A,0), MATCH('Project Information'!$C$4,Translations!$D$1:$ZZ$1,0))</f>
        <v/>
      </c>
      <c r="D65" s="63">
        <f>INDEX(Translations!$D:$ZZ, MATCH(264,Translations!$A:$A,0), MATCH('Project Information'!$C$4,Translations!$D$1:$ZZ$1,0))</f>
        <v/>
      </c>
      <c r="E65" s="63">
        <f>INDEX(Translations!$D:$ZZ, MATCH(273,Translations!$A:$A,0), MATCH('Project Information'!$C$4,Translations!$D$1:$ZZ$1,0))</f>
        <v/>
      </c>
      <c r="F65" s="63">
        <f>INDEX(Translations!$D:$ZZ, MATCH(166,Translations!$A:$A,0), MATCH('Project Information'!$C$4,Translations!$D$1:$ZZ$1,0))</f>
        <v/>
      </c>
      <c r="G65" s="63">
        <f>IF('Project Information'!$C$4="EN","No","Hayır")</f>
        <v/>
      </c>
      <c r="H65" s="63">
        <f>INDEX(Translations!$D:$ZZ, MATCH(66,Translations!$A:$A,0), MATCH('Project Information'!$C$4,Translations!$D$1:$ZZ$1,0))</f>
        <v/>
      </c>
      <c r="I65" s="63">
        <f>INDEX(Translations!$D:$ZZ, MATCH(172,Translations!$A:$A,0), MATCH('Project Information'!$C$4,Translations!$D$1:$ZZ$1,0))</f>
        <v/>
      </c>
      <c r="J65" s="63" t="n"/>
      <c r="K65" s="63" t="n"/>
    </row>
    <row r="66" ht="31.3" customHeight="1" s="39">
      <c r="A66" s="63" t="inlineStr">
        <is>
          <t>Size Variables</t>
        </is>
      </c>
      <c r="B66" s="63" t="n">
        <v>65</v>
      </c>
      <c r="C66" s="63">
        <f>INDEX(Translations!$D:$ZZ, MATCH(267,Translations!$A:$A,0), MATCH('Project Information'!$C$4,Translations!$D$1:$ZZ$1,0))</f>
        <v/>
      </c>
      <c r="D66" s="69">
        <f>INDEX(Translations!$D:$ZZ, MATCH(268,Translations!$A:$A,0), MATCH('Project Information'!$C$4,Translations!$D$1:$ZZ$1,0))</f>
        <v/>
      </c>
      <c r="E66" s="63">
        <f>INDEX(Translations!$D:$ZZ, MATCH(273,Translations!$A:$A,0), MATCH('Project Information'!$C$4,Translations!$D$1:$ZZ$1,0))</f>
        <v/>
      </c>
      <c r="F66" s="63">
        <f>INDEX(Translations!$D:$ZZ, MATCH(171,Translations!$A:$A,0), MATCH('Project Information'!$C$4,Translations!$D$1:$ZZ$1,0))</f>
        <v/>
      </c>
      <c r="G66" s="63">
        <f>IF('Project Information'!$C$4="EN","No","Hayır")</f>
        <v/>
      </c>
      <c r="H66" s="63">
        <f>INDEX(Translations!$D:$ZZ, MATCH(269,Translations!$A:$A,0), MATCH('Project Information'!$C$4,Translations!$D$1:$ZZ$1,0))</f>
        <v/>
      </c>
      <c r="I66" s="63">
        <f>INDEX(Translations!$D:$ZZ, MATCH(172,Translations!$A:$A,0), MATCH('Project Information'!$C$4,Translations!$D$1:$ZZ$1,0))</f>
        <v/>
      </c>
      <c r="J66" s="63" t="n"/>
      <c r="K66" s="63" t="n"/>
    </row>
    <row r="67" ht="46.25" customHeight="1" s="39">
      <c r="A67" s="63" t="inlineStr">
        <is>
          <t>Size Variables</t>
        </is>
      </c>
      <c r="B67" s="63" t="n">
        <v>66</v>
      </c>
      <c r="C67" s="63">
        <f>INDEX(Translations!$D:$ZZ, MATCH(1025,Translations!$A:$A,0), MATCH('Project Information'!$C$4,Translations!$D$1:$ZZ$1,0))</f>
        <v/>
      </c>
      <c r="D67" s="69">
        <f>INDEX(Translations!$D:$ZZ, MATCH(1026,Translations!$A:$A,0), MATCH('Project Information'!$C$4,Translations!$D$1:$ZZ$1,0))</f>
        <v/>
      </c>
      <c r="E67" s="63">
        <f>INDEX(Translations!$D:$ZZ, MATCH(273,Translations!$A:$A,0), MATCH('Project Information'!$C$4,Translations!$D$1:$ZZ$1,0))</f>
        <v/>
      </c>
      <c r="F67" s="63">
        <f>INDEX(Translations!$D:$ZZ, MATCH(166,Translations!$A:$A,0), MATCH('Project Information'!$C$4,Translations!$D$1:$ZZ$1,0))</f>
        <v/>
      </c>
      <c r="G67" s="63">
        <f>INDEX(Translations!$D:$ZZ, MATCH(63,Translations!$A:$A,0), MATCH('Project Information'!$C$4,Translations!$D$1:$ZZ$1,0))</f>
        <v/>
      </c>
      <c r="H67" s="63">
        <f>INDEX(Translations!$D:$ZZ, MATCH(64,Translations!$A:$A,0), MATCH('Project Information'!$C$4,Translations!$D$1:$ZZ$1,0))</f>
        <v/>
      </c>
      <c r="I67" s="63">
        <f>INDEX(Translations!$D:$ZZ, MATCH(34,Translations!$A:$A,0), MATCH('Project Information'!$C$4,Translations!$D$1:$ZZ$1,0))</f>
        <v/>
      </c>
      <c r="J67" s="63" t="n">
        <v>10</v>
      </c>
      <c r="K67" s="63" t="n"/>
    </row>
    <row r="68" ht="45" customHeight="1" s="39">
      <c r="A68" s="63" t="inlineStr">
        <is>
          <t>Size Variables</t>
        </is>
      </c>
      <c r="B68" s="63" t="n">
        <v>67</v>
      </c>
      <c r="C68" s="63">
        <f>INDEX(Translations!$D:$ZZ, MATCH(1027,Translations!$A:$A,0), MATCH('Project Information'!$C$4,Translations!$D$1:$ZZ$1,0))</f>
        <v/>
      </c>
      <c r="D68" s="69">
        <f>INDEX(Translations!$D:$ZZ, MATCH(1028,Translations!$A:$A,0), MATCH('Project Information'!$C$4,Translations!$D$1:$ZZ$1,0))</f>
        <v/>
      </c>
      <c r="E68" s="63">
        <f>INDEX(Translations!$D:$ZZ, MATCH(273,Translations!$A:$A,0), MATCH('Project Information'!$C$4,Translations!$D$1:$ZZ$1,0))</f>
        <v/>
      </c>
      <c r="F68" s="63">
        <f>INDEX(Translations!$D:$ZZ, MATCH(166,Translations!$A:$A,0), MATCH('Project Information'!$C$4,Translations!$D$1:$ZZ$1,0))</f>
        <v/>
      </c>
      <c r="G68" s="63">
        <f>INDEX(Translations!$D:$ZZ, MATCH(63,Translations!$A:$A,0), MATCH('Project Information'!$C$4,Translations!$D$1:$ZZ$1,0))</f>
        <v/>
      </c>
      <c r="H68" s="63">
        <f>INDEX(Translations!$D:$ZZ, MATCH(64,Translations!$A:$A,0), MATCH('Project Information'!$C$4,Translations!$D$1:$ZZ$1,0))</f>
        <v/>
      </c>
      <c r="I68" s="63">
        <f>INDEX(Translations!$D:$ZZ, MATCH(34,Translations!$A:$A,0), MATCH('Project Information'!$C$4,Translations!$D$1:$ZZ$1,0))</f>
        <v/>
      </c>
      <c r="J68" s="63" t="n">
        <v>5</v>
      </c>
      <c r="K68" s="63" t="n"/>
    </row>
    <row r="69" ht="45" customHeight="1" s="39">
      <c r="A69" s="63" t="inlineStr">
        <is>
          <t>Size Variables</t>
        </is>
      </c>
      <c r="B69" s="63" t="n">
        <v>68</v>
      </c>
      <c r="C69" s="63">
        <f>INDEX(Translations!$D:$ZZ, MATCH(1029,Translations!$A:$A,0), MATCH('Project Information'!$C$4,Translations!$D$1:$ZZ$1,0))</f>
        <v/>
      </c>
      <c r="D69" s="69">
        <f>INDEX(Translations!$D:$ZZ, MATCH(1030,Translations!$A:$A,0), MATCH('Project Information'!$C$4,Translations!$D$1:$ZZ$1,0))</f>
        <v/>
      </c>
      <c r="E69" s="63">
        <f>INDEX(Translations!$D:$ZZ, MATCH(273,Translations!$A:$A,0), MATCH('Project Information'!$C$4,Translations!$D$1:$ZZ$1,0))</f>
        <v/>
      </c>
      <c r="F69" s="63">
        <f>INDEX(Translations!$D:$ZZ, MATCH(166,Translations!$A:$A,0), MATCH('Project Information'!$C$4,Translations!$D$1:$ZZ$1,0))</f>
        <v/>
      </c>
      <c r="G69" s="63">
        <f>INDEX(Translations!$D:$ZZ, MATCH(63,Translations!$A:$A,0), MATCH('Project Information'!$C$4,Translations!$D$1:$ZZ$1,0))</f>
        <v/>
      </c>
      <c r="H69" s="63">
        <f>INDEX(Translations!$D:$ZZ, MATCH(64,Translations!$A:$A,0), MATCH('Project Information'!$C$4,Translations!$D$1:$ZZ$1,0))</f>
        <v/>
      </c>
      <c r="I69" s="63">
        <f>INDEX(Translations!$D:$ZZ, MATCH(27,Translations!$A:$A,0), MATCH('Project Information'!$C$4,Translations!$D$1:$ZZ$1,0))</f>
        <v/>
      </c>
      <c r="J69" s="63" t="n">
        <v>5</v>
      </c>
      <c r="K69" s="63" t="n"/>
    </row>
    <row r="70" ht="45" customHeight="1" s="39">
      <c r="A70" s="63" t="inlineStr">
        <is>
          <t>Size Variables</t>
        </is>
      </c>
      <c r="B70" s="63" t="n">
        <v>69</v>
      </c>
      <c r="C70" s="63">
        <f>INDEX(Translations!$D:$ZZ, MATCH(1031,Translations!$A:$A,0), MATCH('Project Information'!$C$4,Translations!$D$1:$ZZ$1,0))</f>
        <v/>
      </c>
      <c r="D70" s="69">
        <f>INDEX(Translations!$D:$ZZ, MATCH(1032,Translations!$A:$A,0), MATCH('Project Information'!$C$4,Translations!$D$1:$ZZ$1,0))</f>
        <v/>
      </c>
      <c r="E70" s="63">
        <f>INDEX(Translations!$D:$ZZ, MATCH(273,Translations!$A:$A,0), MATCH('Project Information'!$C$4,Translations!$D$1:$ZZ$1,0))</f>
        <v/>
      </c>
      <c r="F70" s="63">
        <f>INDEX(Translations!$D:$ZZ, MATCH(166,Translations!$A:$A,0), MATCH('Project Information'!$C$4,Translations!$D$1:$ZZ$1,0))</f>
        <v/>
      </c>
      <c r="G70" s="63">
        <f>INDEX(Translations!$D:$ZZ, MATCH(63,Translations!$A:$A,0), MATCH('Project Information'!$C$4,Translations!$D$1:$ZZ$1,0))</f>
        <v/>
      </c>
      <c r="H70" s="63">
        <f>INDEX(Translations!$D:$ZZ, MATCH(64,Translations!$A:$A,0), MATCH('Project Information'!$C$4,Translations!$D$1:$ZZ$1,0))</f>
        <v/>
      </c>
      <c r="I70" s="63">
        <f>INDEX(Translations!$D:$ZZ, MATCH(34,Translations!$A:$A,0), MATCH('Project Information'!$C$4,Translations!$D$1:$ZZ$1,0))</f>
        <v/>
      </c>
      <c r="J70" s="63" t="n">
        <v>10</v>
      </c>
      <c r="K70" s="63" t="n"/>
    </row>
    <row r="71" ht="45" customHeight="1" s="39">
      <c r="A71" s="63" t="inlineStr">
        <is>
          <t>Size Variables</t>
        </is>
      </c>
      <c r="B71" s="63" t="n">
        <v>70</v>
      </c>
      <c r="C71" s="63">
        <f>INDEX(Translations!$D:$ZZ, MATCH(1033,Translations!$A:$A,0), MATCH('Project Information'!$C$4,Translations!$D$1:$ZZ$1,0))</f>
        <v/>
      </c>
      <c r="D71" s="69">
        <f>INDEX(Translations!$D:$ZZ, MATCH(1034,Translations!$A:$A,0), MATCH('Project Information'!$C$4,Translations!$D$1:$ZZ$1,0))</f>
        <v/>
      </c>
      <c r="E71" s="63">
        <f>INDEX(Translations!$D:$ZZ, MATCH(273,Translations!$A:$A,0), MATCH('Project Information'!$C$4,Translations!$D$1:$ZZ$1,0))</f>
        <v/>
      </c>
      <c r="F71" s="63">
        <f>INDEX(Translations!$D:$ZZ, MATCH(166,Translations!$A:$A,0), MATCH('Project Information'!$C$4,Translations!$D$1:$ZZ$1,0))</f>
        <v/>
      </c>
      <c r="G71" s="63">
        <f>INDEX(Translations!$D:$ZZ, MATCH(63,Translations!$A:$A,0), MATCH('Project Information'!$C$4,Translations!$D$1:$ZZ$1,0))</f>
        <v/>
      </c>
      <c r="H71" s="63">
        <f>INDEX(Translations!$D:$ZZ, MATCH(64,Translations!$A:$A,0), MATCH('Project Information'!$C$4,Translations!$D$1:$ZZ$1,0))</f>
        <v/>
      </c>
      <c r="I71" s="63">
        <f>INDEX(Translations!$D:$ZZ, MATCH(34,Translations!$A:$A,0), MATCH('Project Information'!$C$4,Translations!$D$1:$ZZ$1,0))</f>
        <v/>
      </c>
      <c r="J71" s="63" t="n">
        <v>20</v>
      </c>
      <c r="K71" s="63" t="n"/>
    </row>
    <row r="72" ht="45" customHeight="1" s="39">
      <c r="A72" s="63" t="inlineStr">
        <is>
          <t>Size Variables</t>
        </is>
      </c>
      <c r="B72" s="63" t="n">
        <v>71</v>
      </c>
      <c r="C72" s="63">
        <f>INDEX(Translations!$D:$ZZ, MATCH(1035,Translations!$A:$A,0), MATCH('Project Information'!$C$4,Translations!$D$1:$ZZ$1,0))</f>
        <v/>
      </c>
      <c r="D72" s="69">
        <f>INDEX(Translations!$D:$ZZ, MATCH(1036,Translations!$A:$A,0), MATCH('Project Information'!$C$4,Translations!$D$1:$ZZ$1,0))</f>
        <v/>
      </c>
      <c r="E72" s="63">
        <f>INDEX(Translations!$D:$ZZ, MATCH(273,Translations!$A:$A,0), MATCH('Project Information'!$C$4,Translations!$D$1:$ZZ$1,0))</f>
        <v/>
      </c>
      <c r="F72" s="63">
        <f>INDEX(Translations!$D:$ZZ, MATCH(166,Translations!$A:$A,0), MATCH('Project Information'!$C$4,Translations!$D$1:$ZZ$1,0))</f>
        <v/>
      </c>
      <c r="G72" s="63">
        <f>INDEX(Translations!$D:$ZZ, MATCH(63,Translations!$A:$A,0), MATCH('Project Information'!$C$4,Translations!$D$1:$ZZ$1,0))</f>
        <v/>
      </c>
      <c r="H72" s="63">
        <f>INDEX(Translations!$D:$ZZ, MATCH(64,Translations!$A:$A,0), MATCH('Project Information'!$C$4,Translations!$D$1:$ZZ$1,0))</f>
        <v/>
      </c>
      <c r="I72" s="63">
        <f>INDEX(Translations!$D:$ZZ, MATCH(34,Translations!$A:$A,0), MATCH('Project Information'!$C$4,Translations!$D$1:$ZZ$1,0))</f>
        <v/>
      </c>
      <c r="J72" s="63" t="n">
        <v>15</v>
      </c>
      <c r="K72" s="63" t="n"/>
    </row>
    <row r="73" ht="45" customHeight="1" s="39">
      <c r="A73" s="63" t="inlineStr">
        <is>
          <t>Size Variables</t>
        </is>
      </c>
      <c r="B73" s="63" t="n">
        <v>72</v>
      </c>
      <c r="C73" s="63">
        <f>INDEX(Translations!$D:$ZZ, MATCH(1037,Translations!$A:$A,0), MATCH('Project Information'!$C$4,Translations!$D$1:$ZZ$1,0))</f>
        <v/>
      </c>
      <c r="D73" s="69">
        <f>INDEX(Translations!$D:$ZZ, MATCH(1038,Translations!$A:$A,0), MATCH('Project Information'!$C$4,Translations!$D$1:$ZZ$1,0))</f>
        <v/>
      </c>
      <c r="E73" s="63">
        <f>INDEX(Translations!$D:$ZZ, MATCH(273,Translations!$A:$A,0), MATCH('Project Information'!$C$4,Translations!$D$1:$ZZ$1,0))</f>
        <v/>
      </c>
      <c r="F73" s="63">
        <f>INDEX(Translations!$D:$ZZ, MATCH(166,Translations!$A:$A,0), MATCH('Project Information'!$C$4,Translations!$D$1:$ZZ$1,0))</f>
        <v/>
      </c>
      <c r="G73" s="63">
        <f>INDEX(Translations!$D:$ZZ, MATCH(63,Translations!$A:$A,0), MATCH('Project Information'!$C$4,Translations!$D$1:$ZZ$1,0))</f>
        <v/>
      </c>
      <c r="H73" s="63">
        <f>INDEX(Translations!$D:$ZZ, MATCH(64,Translations!$A:$A,0), MATCH('Project Information'!$C$4,Translations!$D$1:$ZZ$1,0))</f>
        <v/>
      </c>
      <c r="I73" s="63">
        <f>INDEX(Translations!$D:$ZZ, MATCH(34,Translations!$A:$A,0), MATCH('Project Information'!$C$4,Translations!$D$1:$ZZ$1,0))</f>
        <v/>
      </c>
      <c r="J73" s="63" t="n">
        <v>10</v>
      </c>
      <c r="K73" s="63" t="n"/>
    </row>
    <row r="74" ht="45" customHeight="1" s="39">
      <c r="A74" s="63" t="inlineStr">
        <is>
          <t>Size Variables</t>
        </is>
      </c>
      <c r="B74" s="63" t="n">
        <v>73</v>
      </c>
      <c r="C74" s="63">
        <f>INDEX(Translations!$D:$ZZ, MATCH(1039,Translations!$A:$A,0), MATCH('Project Information'!$C$4,Translations!$D$1:$ZZ$1,0))</f>
        <v/>
      </c>
      <c r="D74" s="69">
        <f>INDEX(Translations!$D:$ZZ, MATCH(1040,Translations!$A:$A,0), MATCH('Project Information'!$C$4,Translations!$D$1:$ZZ$1,0))</f>
        <v/>
      </c>
      <c r="E74" s="63">
        <f>INDEX(Translations!$D:$ZZ, MATCH(273,Translations!$A:$A,0), MATCH('Project Information'!$C$4,Translations!$D$1:$ZZ$1,0))</f>
        <v/>
      </c>
      <c r="F74" s="63">
        <f>INDEX(Translations!$D:$ZZ, MATCH(166,Translations!$A:$A,0), MATCH('Project Information'!$C$4,Translations!$D$1:$ZZ$1,0))</f>
        <v/>
      </c>
      <c r="G74" s="63">
        <f>INDEX(Translations!$D:$ZZ, MATCH(63,Translations!$A:$A,0), MATCH('Project Information'!$C$4,Translations!$D$1:$ZZ$1,0))</f>
        <v/>
      </c>
      <c r="H74" s="63">
        <f>INDEX(Translations!$D:$ZZ, MATCH(64,Translations!$A:$A,0), MATCH('Project Information'!$C$4,Translations!$D$1:$ZZ$1,0))</f>
        <v/>
      </c>
      <c r="I74" s="63">
        <f>INDEX(Translations!$D:$ZZ, MATCH(27,Translations!$A:$A,0), MATCH('Project Information'!$C$4,Translations!$D$1:$ZZ$1,0))</f>
        <v/>
      </c>
      <c r="J74" s="63" t="n">
        <v>5</v>
      </c>
      <c r="K74" s="63" t="n"/>
    </row>
    <row r="75" ht="45" customHeight="1" s="39">
      <c r="A75" s="63" t="inlineStr">
        <is>
          <t>Size Variables</t>
        </is>
      </c>
      <c r="B75" s="63" t="n">
        <v>74</v>
      </c>
      <c r="C75" s="63">
        <f>INDEX(Translations!$D:$ZZ, MATCH(1041,Translations!$A:$A,0), MATCH('Project Information'!$C$4,Translations!$D$1:$ZZ$1,0))</f>
        <v/>
      </c>
      <c r="D75" s="69">
        <f>INDEX(Translations!$D:$ZZ, MATCH(1042,Translations!$A:$A,0), MATCH('Project Information'!$C$4,Translations!$D$1:$ZZ$1,0))</f>
        <v/>
      </c>
      <c r="E75" s="63">
        <f>INDEX(Translations!$D:$ZZ, MATCH(273,Translations!$A:$A,0), MATCH('Project Information'!$C$4,Translations!$D$1:$ZZ$1,0))</f>
        <v/>
      </c>
      <c r="F75" s="63">
        <f>INDEX(Translations!$D:$ZZ, MATCH(166,Translations!$A:$A,0), MATCH('Project Information'!$C$4,Translations!$D$1:$ZZ$1,0))</f>
        <v/>
      </c>
      <c r="G75" s="63">
        <f>INDEX(Translations!$D:$ZZ, MATCH(63,Translations!$A:$A,0), MATCH('Project Information'!$C$4,Translations!$D$1:$ZZ$1,0))</f>
        <v/>
      </c>
      <c r="H75" s="63">
        <f>INDEX(Translations!$D:$ZZ, MATCH(64,Translations!$A:$A,0), MATCH('Project Information'!$C$4,Translations!$D$1:$ZZ$1,0))</f>
        <v/>
      </c>
      <c r="I75" s="63">
        <f>INDEX(Translations!$D:$ZZ, MATCH(34,Translations!$A:$A,0), MATCH('Project Information'!$C$4,Translations!$D$1:$ZZ$1,0))</f>
        <v/>
      </c>
      <c r="J75" s="63" t="n">
        <v>10</v>
      </c>
      <c r="K75" s="63" t="n"/>
    </row>
    <row r="76" ht="45" customHeight="1" s="39">
      <c r="A76" s="63" t="inlineStr">
        <is>
          <t>Size Variables</t>
        </is>
      </c>
      <c r="B76" s="63" t="n">
        <v>75</v>
      </c>
      <c r="C76" s="63">
        <f>INDEX(Translations!$D:$ZZ, MATCH(1043,Translations!$A:$A,0), MATCH('Project Information'!$C$4,Translations!$D$1:$ZZ$1,0))</f>
        <v/>
      </c>
      <c r="D76" s="69">
        <f>INDEX(Translations!$D:$ZZ, MATCH(1044,Translations!$A:$A,0), MATCH('Project Information'!$C$4,Translations!$D$1:$ZZ$1,0))</f>
        <v/>
      </c>
      <c r="E76" s="63">
        <f>INDEX(Translations!$D:$ZZ, MATCH(273,Translations!$A:$A,0), MATCH('Project Information'!$C$4,Translations!$D$1:$ZZ$1,0))</f>
        <v/>
      </c>
      <c r="F76" s="63">
        <f>INDEX(Translations!$D:$ZZ, MATCH(166,Translations!$A:$A,0), MATCH('Project Information'!$C$4,Translations!$D$1:$ZZ$1,0))</f>
        <v/>
      </c>
      <c r="G76" s="63">
        <f>INDEX(Translations!$D:$ZZ, MATCH(63,Translations!$A:$A,0), MATCH('Project Information'!$C$4,Translations!$D$1:$ZZ$1,0))</f>
        <v/>
      </c>
      <c r="H76" s="63">
        <f>INDEX(Translations!$D:$ZZ, MATCH(64,Translations!$A:$A,0), MATCH('Project Information'!$C$4,Translations!$D$1:$ZZ$1,0))</f>
        <v/>
      </c>
      <c r="I76" s="63">
        <f>INDEX(Translations!$D:$ZZ, MATCH(34,Translations!$A:$A,0), MATCH('Project Information'!$C$4,Translations!$D$1:$ZZ$1,0))</f>
        <v/>
      </c>
      <c r="J76" s="63" t="n">
        <v>5</v>
      </c>
      <c r="K76" s="63" t="n"/>
    </row>
    <row r="77" ht="45" customHeight="1" s="39"/>
    <row r="78" ht="45" customHeight="1" s="39"/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B1:U149"/>
  <sheetViews>
    <sheetView showFormulas="0" showGridLines="1" showRowColHeaders="1" showZeros="1" rightToLeft="0" tabSelected="0" showOutlineSymbols="1" defaultGridColor="1" view="normal" topLeftCell="A61" colorId="64" zoomScale="100" zoomScaleNormal="100" zoomScalePageLayoutView="100" workbookViewId="0">
      <selection pane="topLeft" activeCell="B77" activeCellId="0" sqref="B77"/>
    </sheetView>
  </sheetViews>
  <sheetFormatPr baseColWidth="8" defaultColWidth="8.57421875" defaultRowHeight="15" customHeight="1" zeroHeight="0" outlineLevelRow="0"/>
  <cols>
    <col width="3.86" customWidth="1" style="38" min="1" max="1"/>
    <col width="16" customWidth="1" style="38" min="2" max="2"/>
    <col width="30" customWidth="1" style="38" min="3" max="3"/>
    <col width="20" customWidth="1" style="38" min="4" max="4"/>
    <col width="16" customWidth="1" style="38" min="5" max="19"/>
    <col width="12" customWidth="1" style="38" min="21" max="21"/>
  </cols>
  <sheetData>
    <row r="1" ht="15" customHeight="1" s="39">
      <c r="B1" s="38" t="inlineStr">
        <is>
          <t>Source Type = Variable/Module. Module source rows are triggered by Module Selection.</t>
        </is>
      </c>
    </row>
    <row r="2" ht="15" customHeight="1" s="39">
      <c r="B2" s="70">
        <f>INDEX(Translations!$D:$ZZ, MATCH(388,Translations!$A:$A,0), MATCH('Project Information'!$C$4,Translations!$D$1:$ZZ$1,0))</f>
        <v/>
      </c>
      <c r="C2" s="70">
        <f>INDEX(Translations!$D:$ZZ, MATCH(389,Translations!$A:$A,0), MATCH('Project Information'!$C$4,Translations!$D$1:$ZZ$1,0))</f>
        <v/>
      </c>
      <c r="D2" s="70">
        <f>INDEX(Translations!$D:$ZZ, MATCH(390,Translations!$A:$A,0), MATCH('Project Information'!$C$4,Translations!$D$1:$ZZ$1,0))</f>
        <v/>
      </c>
      <c r="E2" s="70">
        <f>INDEX(Translations!$D:$ZZ, MATCH(277,Translations!$A:$A,0), MATCH('Project Information'!$C$4,Translations!$D$1:$ZZ$1,0))</f>
        <v/>
      </c>
      <c r="F2" s="71">
        <f>INDEX(Translations!$D:$ZZ, MATCH(75,Translations!$A:$A,0), MATCH('Project Information'!$C$4,Translations!$D$1:$ZZ$1,0))</f>
        <v/>
      </c>
      <c r="G2" s="71">
        <f>INDEX(Translations!$D:$ZZ, MATCH(76,Translations!$A:$A,0), MATCH('Project Information'!$C$4,Translations!$D$1:$ZZ$1,0))</f>
        <v/>
      </c>
      <c r="H2" s="71">
        <f>INDEX(Translations!$D:$ZZ, MATCH(77,Translations!$A:$A,0), MATCH('Project Information'!$C$4,Translations!$D$1:$ZZ$1,0))</f>
        <v/>
      </c>
      <c r="I2" s="71">
        <f>INDEX(Translations!$D:$ZZ, MATCH(78,Translations!$A:$A,0), MATCH('Project Information'!$C$4,Translations!$D$1:$ZZ$1,0))</f>
        <v/>
      </c>
      <c r="J2" s="71">
        <f>INDEX(Translations!$D:$ZZ, MATCH(79,Translations!$A:$A,0), MATCH('Project Information'!$C$4,Translations!$D$1:$ZZ$1,0))</f>
        <v/>
      </c>
      <c r="K2" s="71">
        <f>INDEX(Translations!$D:$ZZ, MATCH(80,Translations!$A:$A,0), MATCH('Project Information'!$C$4,Translations!$D$1:$ZZ$1,0))</f>
        <v/>
      </c>
      <c r="L2" s="71">
        <f>INDEX(Translations!$D:$ZZ, MATCH(81,Translations!$A:$A,0), MATCH('Project Information'!$C$4,Translations!$D$1:$ZZ$1,0))</f>
        <v/>
      </c>
      <c r="M2" s="71">
        <f>INDEX(Translations!$D:$ZZ, MATCH(82,Translations!$A:$A,0), MATCH('Project Information'!$C$4,Translations!$D$1:$ZZ$1,0))</f>
        <v/>
      </c>
      <c r="N2" s="71">
        <f>INDEX(Translations!$D:$ZZ, MATCH(83,Translations!$A:$A,0), MATCH('Project Information'!$C$4,Translations!$D$1:$ZZ$1,0))</f>
        <v/>
      </c>
      <c r="O2" s="71">
        <f>INDEX(Translations!$D:$ZZ, MATCH(84,Translations!$A:$A,0), MATCH('Project Information'!$C$4,Translations!$D$1:$ZZ$1,0))</f>
        <v/>
      </c>
      <c r="P2" s="71">
        <f>INDEX(Translations!$D:$ZZ, MATCH(85,Translations!$A:$A,0), MATCH('Project Information'!$C$4,Translations!$D$1:$ZZ$1,0))</f>
        <v/>
      </c>
      <c r="Q2" s="71">
        <f>INDEX(Translations!$D:$ZZ, MATCH(86,Translations!$A:$A,0), MATCH('Project Information'!$C$4,Translations!$D$1:$ZZ$1,0))</f>
        <v/>
      </c>
      <c r="R2" s="71">
        <f>INDEX(Translations!$D:$ZZ, MATCH(87,Translations!$A:$A,0), MATCH('Project Information'!$C$4,Translations!$D$1:$ZZ$1,0))</f>
        <v/>
      </c>
      <c r="S2" s="71">
        <f>INDEX(Translations!$D:$ZZ, MATCH(88,Translations!$A:$A,0), MATCH('Project Information'!$C$4,Translations!$D$1:$ZZ$1,0))</f>
        <v/>
      </c>
      <c r="T2" s="71">
        <f>INDEX(Translations!$D:$ZZ, MATCH(89,Translations!$A:$A,0), MATCH('Project Information'!$C$4,Translations!$D$1:$ZZ$1,0))</f>
        <v/>
      </c>
    </row>
    <row r="3" ht="15" customHeight="1" s="39">
      <c r="B3" s="70">
        <f>IF('Project Information'!$C$4="EN","Variable","Değişken")</f>
        <v/>
      </c>
      <c r="C3" s="70">
        <f>INDEX(Translations!$D:$ZZ, MATCH(251,Translations!$A:$A,0), MATCH('Project Information'!$C$4,Translations!$D$1:$ZZ$1,0))</f>
        <v/>
      </c>
      <c r="D3" s="70">
        <f>INDEX(Translations!$D:$ZZ, MATCH(346,Translations!$A:$A,0), MATCH('Project Information'!$C$4,Translations!$D$1:$ZZ$1,0))</f>
        <v/>
      </c>
      <c r="E3" s="70">
        <f>INDEX(Translations!$D:$ZZ, MATCH(64,Translations!$A:$A,0), MATCH('Project Information'!$C$4,Translations!$D$1:$ZZ$1,0))</f>
        <v/>
      </c>
      <c r="F3" s="72" t="n"/>
      <c r="G3" s="72" t="n"/>
      <c r="H3" s="72" t="n"/>
      <c r="I3" s="72" t="n">
        <v>12</v>
      </c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>
        <v>0</v>
      </c>
      <c r="T3" s="72" t="n">
        <v>0</v>
      </c>
      <c r="U3" s="38">
        <f>SUM(F3:T3)</f>
        <v/>
      </c>
    </row>
    <row r="4" ht="15" customHeight="1" s="39">
      <c r="B4" s="70">
        <f>IF('Project Information'!$C$4="EN","Variable","Değişken")</f>
        <v/>
      </c>
      <c r="C4" s="70">
        <f>INDEX(Translations!$D:$ZZ, MATCH(251,Translations!$A:$A,0), MATCH('Project Information'!$C$4,Translations!$D$1:$ZZ$1,0))</f>
        <v/>
      </c>
      <c r="D4" s="70">
        <f>INDEX(Translations!$D:$ZZ, MATCH(343,Translations!$A:$A,0), MATCH('Project Information'!$C$4,Translations!$D$1:$ZZ$1,0))</f>
        <v/>
      </c>
      <c r="E4" s="70">
        <f>INDEX(Translations!$D:$ZZ, MATCH(64,Translations!$A:$A,0), MATCH('Project Information'!$C$4,Translations!$D$1:$ZZ$1,0))</f>
        <v/>
      </c>
      <c r="F4" s="73" t="n">
        <v>3</v>
      </c>
      <c r="G4" s="73" t="n">
        <v>1</v>
      </c>
      <c r="H4" s="73" t="n"/>
      <c r="I4" s="73" t="n"/>
      <c r="J4" s="73" t="n">
        <v>5</v>
      </c>
      <c r="K4" s="73" t="n"/>
      <c r="L4" s="73" t="n"/>
      <c r="M4" s="73" t="n"/>
      <c r="N4" s="73" t="n"/>
      <c r="O4" s="73" t="n"/>
      <c r="P4" s="73" t="n"/>
      <c r="Q4" s="73" t="n"/>
      <c r="R4" s="73" t="n"/>
      <c r="S4" s="73" t="n">
        <v>0</v>
      </c>
      <c r="T4" s="73" t="n">
        <v>0</v>
      </c>
      <c r="U4" s="38">
        <f>SUM(F4:T4)</f>
        <v/>
      </c>
    </row>
    <row r="5" ht="15" customHeight="1" s="39">
      <c r="B5" s="70">
        <f>IF('Project Information'!$C$4="EN","Variable","Değişken")</f>
        <v/>
      </c>
      <c r="C5" s="70">
        <f>INDEX(Translations!$D:$ZZ, MATCH(251,Translations!$A:$A,0), MATCH('Project Information'!$C$4,Translations!$D$1:$ZZ$1,0))</f>
        <v/>
      </c>
      <c r="D5" s="70">
        <f>INDEX(Translations!$D:$ZZ, MATCH(337,Translations!$A:$A,0), MATCH('Project Information'!$C$4,Translations!$D$1:$ZZ$1,0))</f>
        <v/>
      </c>
      <c r="E5" s="70">
        <f>INDEX(Translations!$D:$ZZ, MATCH(64,Translations!$A:$A,0), MATCH('Project Information'!$C$4,Translations!$D$1:$ZZ$1,0))</f>
        <v/>
      </c>
      <c r="F5" s="73" t="n">
        <v>2</v>
      </c>
      <c r="G5" s="73" t="n">
        <v>1</v>
      </c>
      <c r="H5" s="73" t="n"/>
      <c r="I5" s="73" t="n"/>
      <c r="J5" s="73" t="n">
        <v>5</v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>
        <v>0</v>
      </c>
      <c r="T5" s="73" t="n">
        <v>0</v>
      </c>
      <c r="U5" s="38">
        <f>SUM(F5:T5)</f>
        <v/>
      </c>
    </row>
    <row r="6" ht="15" customHeight="1" s="39">
      <c r="B6" s="70">
        <f>IF('Project Information'!$C$4="EN","Variable","Değişken")</f>
        <v/>
      </c>
      <c r="C6" s="70">
        <f>INDEX(Translations!$D:$ZZ, MATCH(32,Translations!$A:$A,0), MATCH('Project Information'!$C$4,Translations!$D$1:$ZZ$1,0))</f>
        <v/>
      </c>
      <c r="D6" s="70">
        <f>INDEX(Translations!$D:$ZZ, MATCH(343,Translations!$A:$A,0), MATCH('Project Information'!$C$4,Translations!$D$1:$ZZ$1,0))</f>
        <v/>
      </c>
      <c r="E6" s="70">
        <f>INDEX(Translations!$D:$ZZ, MATCH(278,Translations!$A:$A,0), MATCH('Project Information'!$C$4,Translations!$D$1:$ZZ$1,0))</f>
        <v/>
      </c>
      <c r="F6" s="73" t="n">
        <v>3</v>
      </c>
      <c r="G6" s="73" t="n">
        <v>1</v>
      </c>
      <c r="H6" s="73" t="n"/>
      <c r="I6" s="73" t="n"/>
      <c r="J6" s="73" t="n">
        <v>1</v>
      </c>
      <c r="K6" s="73" t="n"/>
      <c r="L6" s="73" t="n"/>
      <c r="M6" s="73" t="n">
        <v>0.5</v>
      </c>
      <c r="N6" s="73" t="n">
        <v>1</v>
      </c>
      <c r="O6" s="73" t="n"/>
      <c r="P6" s="73" t="n"/>
      <c r="Q6" s="73" t="n"/>
      <c r="R6" s="73" t="n"/>
      <c r="S6" s="73" t="n"/>
      <c r="T6" s="73" t="n"/>
      <c r="U6" s="38">
        <f>SUM(F6:T6)</f>
        <v/>
      </c>
    </row>
    <row r="7" ht="15" customHeight="1" s="39">
      <c r="B7" s="70">
        <f>IF('Project Information'!$C$4="EN","Variable","Değişken")</f>
        <v/>
      </c>
      <c r="C7" s="70">
        <f>INDEX(Translations!$D:$ZZ, MATCH(32,Translations!$A:$A,0), MATCH('Project Information'!$C$4,Translations!$D$1:$ZZ$1,0))</f>
        <v/>
      </c>
      <c r="D7" s="70">
        <f>INDEX(Translations!$D:$ZZ, MATCH(341,Translations!$A:$A,0), MATCH('Project Information'!$C$4,Translations!$D$1:$ZZ$1,0))</f>
        <v/>
      </c>
      <c r="E7" s="70">
        <f>INDEX(Translations!$D:$ZZ, MATCH(278,Translations!$A:$A,0), MATCH('Project Information'!$C$4,Translations!$D$1:$ZZ$1,0))</f>
        <v/>
      </c>
      <c r="F7" s="73" t="n">
        <v>3</v>
      </c>
      <c r="G7" s="73" t="n">
        <v>1</v>
      </c>
      <c r="H7" s="73" t="n"/>
      <c r="I7" s="73" t="n"/>
      <c r="J7" s="73" t="n">
        <v>1</v>
      </c>
      <c r="K7" s="73" t="n"/>
      <c r="L7" s="73" t="n"/>
      <c r="M7" s="73" t="n">
        <v>0.5</v>
      </c>
      <c r="N7" s="73" t="n">
        <v>1</v>
      </c>
      <c r="O7" s="73" t="n"/>
      <c r="P7" s="73" t="n"/>
      <c r="Q7" s="73" t="n"/>
      <c r="R7" s="73" t="n"/>
      <c r="S7" s="73" t="n"/>
      <c r="T7" s="73" t="n"/>
      <c r="U7" s="38">
        <f>SUM(F7:T7)</f>
        <v/>
      </c>
    </row>
    <row r="8" ht="15" customHeight="1" s="39">
      <c r="B8" s="70">
        <f>IF('Project Information'!$C$4="EN","Variable","Değişken")</f>
        <v/>
      </c>
      <c r="C8" s="70">
        <f>INDEX(Translations!$D:$ZZ, MATCH(32,Translations!$A:$A,0), MATCH('Project Information'!$C$4,Translations!$D$1:$ZZ$1,0))</f>
        <v/>
      </c>
      <c r="D8" s="70">
        <f>INDEX(Translations!$D:$ZZ, MATCH(338,Translations!$A:$A,0), MATCH('Project Information'!$C$4,Translations!$D$1:$ZZ$1,0))</f>
        <v/>
      </c>
      <c r="E8" s="70">
        <f>INDEX(Translations!$D:$ZZ, MATCH(278,Translations!$A:$A,0), MATCH('Project Information'!$C$4,Translations!$D$1:$ZZ$1,0))</f>
        <v/>
      </c>
      <c r="F8" s="73" t="n">
        <v>6</v>
      </c>
      <c r="G8" s="73" t="n">
        <v>2</v>
      </c>
      <c r="H8" s="73" t="n"/>
      <c r="I8" s="73" t="n"/>
      <c r="J8" s="73" t="n">
        <v>1</v>
      </c>
      <c r="K8" s="73" t="n"/>
      <c r="L8" s="73" t="n"/>
      <c r="M8" s="73" t="n">
        <v>1</v>
      </c>
      <c r="N8" s="73" t="n">
        <v>2</v>
      </c>
      <c r="O8" s="73" t="n"/>
      <c r="P8" s="73" t="n"/>
      <c r="Q8" s="73" t="n"/>
      <c r="R8" s="73" t="n"/>
      <c r="S8" s="73" t="n"/>
      <c r="T8" s="73" t="n"/>
      <c r="U8" s="38">
        <f>SUM(F8:T8)</f>
        <v/>
      </c>
    </row>
    <row r="9" ht="15" customHeight="1" s="39">
      <c r="B9" s="70">
        <f>IF('Project Information'!$C$4="EN","Variable","Değişken")</f>
        <v/>
      </c>
      <c r="C9" s="70">
        <f>INDEX(Translations!$D:$ZZ, MATCH(32,Translations!$A:$A,0), MATCH('Project Information'!$C$4,Translations!$D$1:$ZZ$1,0))</f>
        <v/>
      </c>
      <c r="D9" s="70">
        <f>INDEX(Translations!$D:$ZZ, MATCH(340,Translations!$A:$A,0), MATCH('Project Information'!$C$4,Translations!$D$1:$ZZ$1,0))</f>
        <v/>
      </c>
      <c r="E9" s="70">
        <f>INDEX(Translations!$D:$ZZ, MATCH(278,Translations!$A:$A,0), MATCH('Project Information'!$C$4,Translations!$D$1:$ZZ$1,0))</f>
        <v/>
      </c>
      <c r="F9" s="73" t="n">
        <v>3</v>
      </c>
      <c r="G9" s="73" t="n">
        <v>1</v>
      </c>
      <c r="H9" s="73" t="n"/>
      <c r="I9" s="73" t="n"/>
      <c r="J9" s="73" t="n">
        <v>1</v>
      </c>
      <c r="K9" s="73" t="n"/>
      <c r="L9" s="73" t="n"/>
      <c r="M9" s="73" t="n">
        <v>0.5</v>
      </c>
      <c r="N9" s="73" t="n">
        <v>1</v>
      </c>
      <c r="O9" s="73" t="n"/>
      <c r="P9" s="73" t="n"/>
      <c r="Q9" s="73" t="n"/>
      <c r="R9" s="73" t="n"/>
      <c r="S9" s="73" t="n"/>
      <c r="T9" s="73" t="n"/>
      <c r="U9" s="38">
        <f>SUM(F9:T9)</f>
        <v/>
      </c>
    </row>
    <row r="10" ht="15" customHeight="1" s="39">
      <c r="B10" s="70">
        <f>IF('Project Information'!$C$4="EN","Variable","Değişken")</f>
        <v/>
      </c>
      <c r="C10" s="70">
        <f>INDEX(Translations!$D:$ZZ, MATCH(46,Translations!$A:$A,0), MATCH('Project Information'!$C$4,Translations!$D$1:$ZZ$1,0))</f>
        <v/>
      </c>
      <c r="D10" s="70">
        <f>INDEX(Translations!$D:$ZZ, MATCH(344,Translations!$A:$A,0), MATCH('Project Information'!$C$4,Translations!$D$1:$ZZ$1,0))</f>
        <v/>
      </c>
      <c r="E10" s="70">
        <f>INDEX(Translations!$D:$ZZ, MATCH(278,Translations!$A:$A,0), MATCH('Project Information'!$C$4,Translations!$D$1:$ZZ$1,0))</f>
        <v/>
      </c>
      <c r="F10" s="73" t="n">
        <v>5</v>
      </c>
      <c r="G10" s="73" t="n">
        <v>1</v>
      </c>
      <c r="H10" s="73" t="n"/>
      <c r="I10" s="73" t="n">
        <v>2</v>
      </c>
      <c r="J10" s="73" t="n">
        <v>1</v>
      </c>
      <c r="K10" s="73" t="n"/>
      <c r="L10" s="73" t="n"/>
      <c r="M10" s="73" t="n">
        <v>1</v>
      </c>
      <c r="N10" s="73" t="n">
        <v>2</v>
      </c>
      <c r="O10" s="73" t="n"/>
      <c r="P10" s="73" t="n"/>
      <c r="Q10" s="73" t="n"/>
      <c r="R10" s="73" t="n"/>
      <c r="S10" s="73" t="n"/>
      <c r="T10" s="73" t="n"/>
      <c r="U10" s="38">
        <f>SUM(F10:T10)</f>
        <v/>
      </c>
    </row>
    <row r="11" ht="15" customHeight="1" s="39">
      <c r="B11" s="70">
        <f>IF('Project Information'!$C$4="EN","Variable","Değişken")</f>
        <v/>
      </c>
      <c r="C11" s="70">
        <f>INDEX(Translations!$D:$ZZ, MATCH(203,Translations!$A:$A,0), MATCH('Project Information'!$C$4,Translations!$D$1:$ZZ$1,0))</f>
        <v/>
      </c>
      <c r="D11" s="70">
        <f>INDEX(Translations!$D:$ZZ, MATCH(340,Translations!$A:$A,0), MATCH('Project Information'!$C$4,Translations!$D$1:$ZZ$1,0))</f>
        <v/>
      </c>
      <c r="E11" s="70">
        <f>INDEX(Translations!$D:$ZZ, MATCH(278,Translations!$A:$A,0), MATCH('Project Information'!$C$4,Translations!$D$1:$ZZ$1,0))</f>
        <v/>
      </c>
      <c r="F11" s="73" t="n"/>
      <c r="G11" s="73" t="n"/>
      <c r="H11" s="73" t="n"/>
      <c r="I11" s="73" t="n">
        <v>1</v>
      </c>
      <c r="J11" s="73" t="n"/>
      <c r="K11" s="73" t="n"/>
      <c r="L11" s="73" t="n"/>
      <c r="M11" s="73" t="n"/>
      <c r="N11" s="73" t="n"/>
      <c r="O11" s="73" t="n"/>
      <c r="P11" s="73" t="n"/>
      <c r="Q11" s="73" t="n">
        <v>0.5</v>
      </c>
      <c r="R11" s="73" t="n">
        <v>1</v>
      </c>
      <c r="S11" s="73" t="n"/>
      <c r="T11" s="73" t="n"/>
      <c r="U11" s="38">
        <f>SUM(F11:T11)</f>
        <v/>
      </c>
    </row>
    <row r="12" ht="15" customHeight="1" s="39">
      <c r="B12" s="70">
        <f>IF('Project Information'!$C$4="EN","Variable","Değişken")</f>
        <v/>
      </c>
      <c r="C12" s="70">
        <f>INDEX(Translations!$D:$ZZ, MATCH(189,Translations!$A:$A,0), MATCH('Project Information'!$C$4,Translations!$D$1:$ZZ$1,0))</f>
        <v/>
      </c>
      <c r="D12" s="70">
        <f>INDEX(Translations!$D:$ZZ, MATCH(271,Translations!$A:$A,0), MATCH('Project Information'!$C$4,Translations!$D$1:$ZZ$1,0))</f>
        <v/>
      </c>
      <c r="E12" s="70">
        <f>INDEX(Translations!$D:$ZZ, MATCH(278,Translations!$A:$A,0), MATCH('Project Information'!$C$4,Translations!$D$1:$ZZ$1,0))</f>
        <v/>
      </c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>
        <v>5</v>
      </c>
      <c r="Q12" s="67" t="n"/>
      <c r="R12" s="67" t="n"/>
      <c r="S12" s="67" t="n"/>
      <c r="T12" s="67" t="n"/>
      <c r="U12" s="38">
        <f>SUM(F12:T12)</f>
        <v/>
      </c>
    </row>
    <row r="13" ht="15" customHeight="1" s="39">
      <c r="B13" s="70">
        <f>IF('Project Information'!$C$4="EN","Variable","Değişken")</f>
        <v/>
      </c>
      <c r="C13" s="70">
        <f>INDEX(Translations!$D:$ZZ, MATCH(279,Translations!$A:$A,0), MATCH('Project Information'!$C$4,Translations!$D$1:$ZZ$1,0))</f>
        <v/>
      </c>
      <c r="D13" s="70">
        <f>INDEX(Translations!$D:$ZZ, MATCH(343,Translations!$A:$A,0), MATCH('Project Information'!$C$4,Translations!$D$1:$ZZ$1,0))</f>
        <v/>
      </c>
      <c r="E13" s="70">
        <f>INDEX(Translations!$D:$ZZ, MATCH(278,Translations!$A:$A,0), MATCH('Project Information'!$C$4,Translations!$D$1:$ZZ$1,0))</f>
        <v/>
      </c>
      <c r="F13" s="73" t="n"/>
      <c r="G13" s="73" t="n"/>
      <c r="H13" s="73" t="n"/>
      <c r="I13" s="73" t="n">
        <v>1</v>
      </c>
      <c r="J13" s="73" t="n">
        <v>1</v>
      </c>
      <c r="K13" s="73" t="n"/>
      <c r="L13" s="73" t="n"/>
      <c r="M13" s="73" t="n">
        <v>0.5</v>
      </c>
      <c r="N13" s="73" t="n">
        <v>1</v>
      </c>
      <c r="O13" s="73" t="n"/>
      <c r="P13" s="73" t="n"/>
      <c r="Q13" s="73" t="n"/>
      <c r="R13" s="73" t="n"/>
      <c r="S13" s="73" t="n"/>
      <c r="T13" s="73" t="n"/>
      <c r="U13" s="38">
        <f>SUM(F13:T13)</f>
        <v/>
      </c>
    </row>
    <row r="14" ht="15" customHeight="1" s="39">
      <c r="B14" s="70">
        <f>IF('Project Information'!$C$4="EN","Variable","Değişken")</f>
        <v/>
      </c>
      <c r="C14" s="70">
        <f>INDEX(Translations!$D:$ZZ, MATCH(205,Translations!$A:$A,0), MATCH('Project Information'!$C$4,Translations!$D$1:$ZZ$1,0))</f>
        <v/>
      </c>
      <c r="D14" s="70">
        <f>INDEX(Translations!$D:$ZZ, MATCH(346,Translations!$A:$A,0), MATCH('Project Information'!$C$4,Translations!$D$1:$ZZ$1,0))</f>
        <v/>
      </c>
      <c r="E14" s="70">
        <f>INDEX(Translations!$D:$ZZ, MATCH(278,Translations!$A:$A,0), MATCH('Project Information'!$C$4,Translations!$D$1:$ZZ$1,0))</f>
        <v/>
      </c>
      <c r="F14" s="73" t="n"/>
      <c r="G14" s="73" t="n"/>
      <c r="H14" s="73" t="n"/>
      <c r="I14" s="73" t="n">
        <v>5</v>
      </c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>
        <v>0</v>
      </c>
      <c r="T14" s="73" t="n">
        <v>0</v>
      </c>
      <c r="U14" s="38">
        <f>SUM(F14:T14)</f>
        <v/>
      </c>
    </row>
    <row r="15" ht="15" customHeight="1" s="39">
      <c r="B15" s="70">
        <f>IF('Project Information'!$C$4="EN","Variable","Değişken")</f>
        <v/>
      </c>
      <c r="C15" s="70">
        <f>INDEX(Translations!$D:$ZZ, MATCH(205,Translations!$A:$A,0), MATCH('Project Information'!$C$4,Translations!$D$1:$ZZ$1,0))</f>
        <v/>
      </c>
      <c r="D15" s="70">
        <f>INDEX(Translations!$D:$ZZ, MATCH(332,Translations!$A:$A,0), MATCH('Project Information'!$C$4,Translations!$D$1:$ZZ$1,0))</f>
        <v/>
      </c>
      <c r="E15" s="70">
        <f>INDEX(Translations!$D:$ZZ, MATCH(278,Translations!$A:$A,0), MATCH('Project Information'!$C$4,Translations!$D$1:$ZZ$1,0))</f>
        <v/>
      </c>
      <c r="F15" s="73" t="n">
        <v>0.5</v>
      </c>
      <c r="G15" s="73" t="n">
        <v>0.25</v>
      </c>
      <c r="H15" s="73" t="n"/>
      <c r="I15" s="73" t="n"/>
      <c r="J15" s="73" t="n">
        <v>3</v>
      </c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>
        <v>0</v>
      </c>
      <c r="T15" s="73" t="n">
        <v>0</v>
      </c>
      <c r="U15" s="38">
        <f>SUM(F15:T15)</f>
        <v/>
      </c>
    </row>
    <row r="16" ht="15" customHeight="1" s="39">
      <c r="B16" s="70">
        <f>IF('Project Information'!$C$4="EN","Variable","Değişken")</f>
        <v/>
      </c>
      <c r="C16" s="70">
        <f>INDEX(Translations!$D:$ZZ, MATCH(280,Translations!$A:$A,0), MATCH('Project Information'!$C$4,Translations!$D$1:$ZZ$1,0))</f>
        <v/>
      </c>
      <c r="D16" s="70">
        <f>INDEX(Translations!$D:$ZZ, MATCH(333,Translations!$A:$A,0), MATCH('Project Information'!$C$4,Translations!$D$1:$ZZ$1,0))</f>
        <v/>
      </c>
      <c r="E16" s="70">
        <f>INDEX(Translations!$D:$ZZ, MATCH(278,Translations!$A:$A,0), MATCH('Project Information'!$C$4,Translations!$D$1:$ZZ$1,0))</f>
        <v/>
      </c>
      <c r="F16" s="73" t="n">
        <v>1</v>
      </c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38">
        <f>SUM(F16:T16)</f>
        <v/>
      </c>
    </row>
    <row r="17" ht="15" customHeight="1" s="39">
      <c r="B17" s="70">
        <f>IF('Project Information'!$C$4="EN","Variable","Değişken")</f>
        <v/>
      </c>
      <c r="C17" s="70">
        <f>INDEX(Translations!$D:$ZZ, MATCH(280,Translations!$A:$A,0), MATCH('Project Information'!$C$4,Translations!$D$1:$ZZ$1,0))</f>
        <v/>
      </c>
      <c r="D17" s="70">
        <f>INDEX(Translations!$D:$ZZ, MATCH(332,Translations!$A:$A,0), MATCH('Project Information'!$C$4,Translations!$D$1:$ZZ$1,0))</f>
        <v/>
      </c>
      <c r="E17" s="70">
        <f>INDEX(Translations!$D:$ZZ, MATCH(278,Translations!$A:$A,0), MATCH('Project Information'!$C$4,Translations!$D$1:$ZZ$1,0))</f>
        <v/>
      </c>
      <c r="F17" s="73" t="n">
        <v>2</v>
      </c>
      <c r="G17" s="73" t="n"/>
      <c r="H17" s="73" t="n"/>
      <c r="I17" s="73" t="n">
        <v>2</v>
      </c>
      <c r="J17" s="73" t="n">
        <v>2</v>
      </c>
      <c r="K17" s="73" t="n"/>
      <c r="L17" s="73" t="n"/>
      <c r="M17" s="73" t="n">
        <v>2</v>
      </c>
      <c r="N17" s="73" t="n">
        <v>2</v>
      </c>
      <c r="O17" s="73" t="n"/>
      <c r="P17" s="73" t="n"/>
      <c r="Q17" s="73" t="n"/>
      <c r="R17" s="73" t="n"/>
      <c r="S17" s="73" t="n"/>
      <c r="T17" s="73" t="n"/>
      <c r="U17" s="38">
        <f>SUM(F17:T17)</f>
        <v/>
      </c>
    </row>
    <row r="18" ht="15" customHeight="1" s="39">
      <c r="B18" s="70">
        <f>IF('Project Information'!$C$4="EN","Variable","Değişken")</f>
        <v/>
      </c>
      <c r="C18" s="70">
        <f>INDEX(Translations!$D:$ZZ, MATCH(215,Translations!$A:$A,0), MATCH('Project Information'!$C$4,Translations!$D$1:$ZZ$1,0))</f>
        <v/>
      </c>
      <c r="D18" s="70">
        <f>INDEX(Translations!$D:$ZZ, MATCH(346,Translations!$A:$A,0), MATCH('Project Information'!$C$4,Translations!$D$1:$ZZ$1,0))</f>
        <v/>
      </c>
      <c r="E18" s="70">
        <f>INDEX(Translations!$D:$ZZ, MATCH(278,Translations!$A:$A,0), MATCH('Project Information'!$C$4,Translations!$D$1:$ZZ$1,0))</f>
        <v/>
      </c>
      <c r="F18" s="74" t="n"/>
      <c r="G18" s="74" t="n"/>
      <c r="H18" s="74" t="n"/>
      <c r="I18" s="74" t="n">
        <v>12</v>
      </c>
      <c r="J18" s="74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>
        <v>0</v>
      </c>
      <c r="T18" s="72" t="n">
        <v>0</v>
      </c>
      <c r="U18" s="38">
        <f>SUM(F18:T18)</f>
        <v/>
      </c>
    </row>
    <row r="19" ht="15" customHeight="1" s="39">
      <c r="B19" s="70">
        <f>IF('Project Information'!$C$4="EN","Variable","Değişken")</f>
        <v/>
      </c>
      <c r="C19" s="70">
        <f>INDEX(Translations!$D:$ZZ, MATCH(215,Translations!$A:$A,0), MATCH('Project Information'!$C$4,Translations!$D$1:$ZZ$1,0))</f>
        <v/>
      </c>
      <c r="D19" s="70">
        <f>INDEX(Translations!$D:$ZZ, MATCH(343,Translations!$A:$A,0), MATCH('Project Information'!$C$4,Translations!$D$1:$ZZ$1,0))</f>
        <v/>
      </c>
      <c r="E19" s="70">
        <f>INDEX(Translations!$D:$ZZ, MATCH(278,Translations!$A:$A,0), MATCH('Project Information'!$C$4,Translations!$D$1:$ZZ$1,0))</f>
        <v/>
      </c>
      <c r="F19" s="73" t="n">
        <v>4</v>
      </c>
      <c r="G19" s="67" t="n">
        <v>1</v>
      </c>
      <c r="H19" s="73" t="n"/>
      <c r="I19" s="67" t="n"/>
      <c r="J19" s="73" t="n">
        <v>3</v>
      </c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>
        <v>0</v>
      </c>
      <c r="T19" s="67" t="n">
        <v>0</v>
      </c>
      <c r="U19" s="38">
        <f>SUM(F19:T19)</f>
        <v/>
      </c>
    </row>
    <row r="20" ht="15" customHeight="1" s="39">
      <c r="B20" s="70">
        <f>IF('Project Information'!$C$4="EN","Variable","Değişken")</f>
        <v/>
      </c>
      <c r="C20" s="70">
        <f>INDEX(Translations!$D:$ZZ, MATCH(215,Translations!$A:$A,0), MATCH('Project Information'!$C$4,Translations!$D$1:$ZZ$1,0))</f>
        <v/>
      </c>
      <c r="D20" s="70">
        <f>INDEX(Translations!$D:$ZZ, MATCH(339,Translations!$A:$A,0), MATCH('Project Information'!$C$4,Translations!$D$1:$ZZ$1,0))</f>
        <v/>
      </c>
      <c r="E20" s="70">
        <f>INDEX(Translations!$D:$ZZ, MATCH(278,Translations!$A:$A,0), MATCH('Project Information'!$C$4,Translations!$D$1:$ZZ$1,0))</f>
        <v/>
      </c>
      <c r="F20" s="72" t="n">
        <v>3</v>
      </c>
      <c r="G20" s="73" t="n">
        <v>1</v>
      </c>
      <c r="H20" s="72" t="n"/>
      <c r="I20" s="72" t="n"/>
      <c r="J20" s="72" t="n">
        <v>3</v>
      </c>
      <c r="K20" s="67" t="n"/>
      <c r="L20" s="67" t="n"/>
      <c r="M20" s="67" t="n"/>
      <c r="N20" s="67" t="n"/>
      <c r="O20" s="73" t="n"/>
      <c r="P20" s="67" t="n"/>
      <c r="Q20" s="67" t="n"/>
      <c r="R20" s="67" t="n"/>
      <c r="S20" s="67" t="n">
        <v>0</v>
      </c>
      <c r="T20" s="67" t="n">
        <v>0</v>
      </c>
      <c r="U20" s="38">
        <f>SUM(F20:T20)</f>
        <v/>
      </c>
    </row>
    <row r="21" ht="15" customHeight="1" s="39">
      <c r="B21" s="70">
        <f>IF('Project Information'!$C$4="EN","Module","Modül")</f>
        <v/>
      </c>
      <c r="C21" s="70">
        <f>INDEX(Translations!$D:$ZZ, MATCH(356,Translations!$A:$A,0), MATCH('Project Information'!$C$4,Translations!$D$1:$ZZ$1,0))</f>
        <v/>
      </c>
      <c r="D21" s="70">
        <f>INDEX(Translations!$D:$ZZ, MATCH(339,Translations!$A:$A,0), MATCH('Project Information'!$C$4,Translations!$D$1:$ZZ$1,0))</f>
        <v/>
      </c>
      <c r="E21" s="70">
        <f>INDEX(Translations!$D:$ZZ, MATCH(278,Translations!$A:$A,0), MATCH('Project Information'!$C$4,Translations!$D$1:$ZZ$1,0))</f>
        <v/>
      </c>
      <c r="F21" s="73" t="n">
        <v>8</v>
      </c>
      <c r="G21" s="73" t="n">
        <v>2</v>
      </c>
      <c r="H21" s="73" t="n">
        <v>1</v>
      </c>
      <c r="I21" s="73" t="n">
        <v>8</v>
      </c>
      <c r="J21" s="73" t="n">
        <v>3</v>
      </c>
      <c r="K21" s="73" t="n"/>
      <c r="L21" s="73" t="n"/>
      <c r="M21" s="73" t="n">
        <v>2</v>
      </c>
      <c r="N21" s="73" t="n">
        <v>2</v>
      </c>
      <c r="O21" s="73" t="n"/>
      <c r="P21" s="73" t="n"/>
      <c r="Q21" s="73" t="n"/>
      <c r="R21" s="73" t="n"/>
      <c r="S21" s="73" t="n"/>
      <c r="T21" s="73" t="n"/>
      <c r="U21" s="38">
        <f>SUM(F21:T21)</f>
        <v/>
      </c>
    </row>
    <row r="22" ht="15" customHeight="1" s="39">
      <c r="B22" s="70">
        <f>IF('Project Information'!$C$4="EN","Variable","Değişken")</f>
        <v/>
      </c>
      <c r="C22" s="70">
        <f>INDEX(Translations!$D:$ZZ, MATCH(225,Translations!$A:$A,0), MATCH('Project Information'!$C$4,Translations!$D$1:$ZZ$1,0))</f>
        <v/>
      </c>
      <c r="D22" s="70">
        <f>INDEX(Translations!$D:$ZZ, MATCH(346,Translations!$A:$A,0), MATCH('Project Information'!$C$4,Translations!$D$1:$ZZ$1,0))</f>
        <v/>
      </c>
      <c r="E22" s="70">
        <f>INDEX(Translations!$D:$ZZ, MATCH(64,Translations!$A:$A,0), MATCH('Project Information'!$C$4,Translations!$D$1:$ZZ$1,0))</f>
        <v/>
      </c>
      <c r="F22" s="73" t="n"/>
      <c r="G22" s="73" t="n"/>
      <c r="H22" s="73" t="n"/>
      <c r="I22" s="73" t="n">
        <v>8</v>
      </c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>
        <v>0</v>
      </c>
      <c r="T22" s="73" t="n">
        <v>0</v>
      </c>
      <c r="U22" s="38">
        <f>SUM(F22:T22)</f>
        <v/>
      </c>
    </row>
    <row r="23" ht="15" customHeight="1" s="39">
      <c r="B23" s="70">
        <f>IF('Project Information'!$C$4="EN","Variable","Değişken")</f>
        <v/>
      </c>
      <c r="C23" s="70">
        <f>INDEX(Translations!$D:$ZZ, MATCH(225,Translations!$A:$A,0), MATCH('Project Information'!$C$4,Translations!$D$1:$ZZ$1,0))</f>
        <v/>
      </c>
      <c r="D23" s="70">
        <f>INDEX(Translations!$D:$ZZ, MATCH(339,Translations!$A:$A,0), MATCH('Project Information'!$C$4,Translations!$D$1:$ZZ$1,0))</f>
        <v/>
      </c>
      <c r="E23" s="70">
        <f>INDEX(Translations!$D:$ZZ, MATCH(64,Translations!$A:$A,0), MATCH('Project Information'!$C$4,Translations!$D$1:$ZZ$1,0))</f>
        <v/>
      </c>
      <c r="F23" s="73" t="n">
        <v>3</v>
      </c>
      <c r="G23" s="73" t="n">
        <v>1</v>
      </c>
      <c r="H23" s="73" t="n"/>
      <c r="I23" s="73" t="n"/>
      <c r="J23" s="73" t="n">
        <v>3</v>
      </c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>
        <v>0</v>
      </c>
      <c r="T23" s="73" t="n">
        <v>0</v>
      </c>
      <c r="U23" s="38">
        <f>SUM(F23:T23)</f>
        <v/>
      </c>
    </row>
    <row r="24" ht="15" customHeight="1" s="39">
      <c r="B24" s="70">
        <f>IF('Project Information'!$C$4="EN","Variable","Değişken")</f>
        <v/>
      </c>
      <c r="C24" s="70">
        <f>INDEX(Translations!$D:$ZZ, MATCH(249,Translations!$A:$A,0), MATCH('Project Information'!$C$4,Translations!$D$1:$ZZ$1,0))</f>
        <v/>
      </c>
      <c r="D24" s="70">
        <f>INDEX(Translations!$D:$ZZ, MATCH(346,Translations!$A:$A,0), MATCH('Project Information'!$C$4,Translations!$D$1:$ZZ$1,0))</f>
        <v/>
      </c>
      <c r="E24" s="70">
        <f>INDEX(Translations!$D:$ZZ, MATCH(278,Translations!$A:$A,0), MATCH('Project Information'!$C$4,Translations!$D$1:$ZZ$1,0))</f>
        <v/>
      </c>
      <c r="F24" s="73" t="n"/>
      <c r="G24" s="73" t="n"/>
      <c r="H24" s="73" t="n"/>
      <c r="I24" s="73" t="n">
        <v>12</v>
      </c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>
        <v>0</v>
      </c>
      <c r="T24" s="73" t="n">
        <v>0</v>
      </c>
      <c r="U24" s="38">
        <f>SUM(F24:T24)</f>
        <v/>
      </c>
    </row>
    <row r="25" ht="15" customHeight="1" s="39">
      <c r="B25" s="70">
        <f>IF('Project Information'!$C$4="EN","Variable","Değişken")</f>
        <v/>
      </c>
      <c r="C25" s="70">
        <f>INDEX(Translations!$D:$ZZ, MATCH(249,Translations!$A:$A,0), MATCH('Project Information'!$C$4,Translations!$D$1:$ZZ$1,0))</f>
        <v/>
      </c>
      <c r="D25" s="70">
        <f>INDEX(Translations!$D:$ZZ, MATCH(337,Translations!$A:$A,0), MATCH('Project Information'!$C$4,Translations!$D$1:$ZZ$1,0))</f>
        <v/>
      </c>
      <c r="E25" s="70">
        <f>INDEX(Translations!$D:$ZZ, MATCH(278,Translations!$A:$A,0), MATCH('Project Information'!$C$4,Translations!$D$1:$ZZ$1,0))</f>
        <v/>
      </c>
      <c r="F25" s="74" t="n">
        <v>3</v>
      </c>
      <c r="G25" s="74" t="n">
        <v>1</v>
      </c>
      <c r="H25" s="74" t="n"/>
      <c r="I25" s="74" t="n"/>
      <c r="J25" s="74" t="n">
        <v>3</v>
      </c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>
        <v>0</v>
      </c>
      <c r="T25" s="74" t="n">
        <v>0</v>
      </c>
      <c r="U25" s="38">
        <f>SUM(F25:T25)</f>
        <v/>
      </c>
    </row>
    <row r="26" ht="15" customHeight="1" s="39">
      <c r="B26" s="70">
        <f>IF('Project Information'!$C$4="EN","Variable","Değişken")</f>
        <v/>
      </c>
      <c r="C26" s="70">
        <f>INDEX(Translations!$D:$ZZ, MATCH(249,Translations!$A:$A,0), MATCH('Project Information'!$C$4,Translations!$D$1:$ZZ$1,0))</f>
        <v/>
      </c>
      <c r="D26" s="70">
        <f>INDEX(Translations!$D:$ZZ, MATCH(338,Translations!$A:$A,0), MATCH('Project Information'!$C$4,Translations!$D$1:$ZZ$1,0))</f>
        <v/>
      </c>
      <c r="E26" s="70">
        <f>INDEX(Translations!$D:$ZZ, MATCH(278,Translations!$A:$A,0), MATCH('Project Information'!$C$4,Translations!$D$1:$ZZ$1,0))</f>
        <v/>
      </c>
      <c r="F26" s="74" t="n">
        <v>3</v>
      </c>
      <c r="G26" s="74" t="n">
        <v>1</v>
      </c>
      <c r="H26" s="74" t="n"/>
      <c r="I26" s="74" t="n"/>
      <c r="J26" s="74" t="n">
        <v>3</v>
      </c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>
        <v>0</v>
      </c>
      <c r="T26" s="73" t="n">
        <v>0</v>
      </c>
      <c r="U26" s="38">
        <f>SUM(F26:T26)</f>
        <v/>
      </c>
    </row>
    <row r="27" ht="15" customHeight="1" s="39">
      <c r="B27" s="70">
        <f>IF('Project Information'!$C$4="EN","Variable","Değişken")</f>
        <v/>
      </c>
      <c r="C27" s="70">
        <f>INDEX(Translations!$D:$ZZ, MATCH(221,Translations!$A:$A,0), MATCH('Project Information'!$C$4,Translations!$D$1:$ZZ$1,0))</f>
        <v/>
      </c>
      <c r="D27" s="70">
        <f>INDEX(Translations!$D:$ZZ, MATCH(333,Translations!$A:$A,0), MATCH('Project Information'!$C$4,Translations!$D$1:$ZZ$1,0))</f>
        <v/>
      </c>
      <c r="E27" s="70">
        <f>INDEX(Translations!$D:$ZZ, MATCH(64,Translations!$A:$A,0), MATCH('Project Information'!$C$4,Translations!$D$1:$ZZ$1,0))</f>
        <v/>
      </c>
      <c r="F27" s="73" t="n">
        <v>1</v>
      </c>
      <c r="G27" s="73" t="n">
        <v>0.5</v>
      </c>
      <c r="H27" s="73" t="n"/>
      <c r="I27" s="73" t="n">
        <v>0.5</v>
      </c>
      <c r="J27" s="73" t="n">
        <v>1</v>
      </c>
      <c r="K27" s="73" t="n"/>
      <c r="L27" s="73" t="n"/>
      <c r="M27" s="73" t="n">
        <v>1</v>
      </c>
      <c r="N27" s="73" t="n">
        <v>1</v>
      </c>
      <c r="O27" s="72" t="n"/>
      <c r="P27" s="72" t="n"/>
      <c r="Q27" s="72" t="n"/>
      <c r="R27" s="72" t="n"/>
      <c r="S27" s="72" t="n"/>
      <c r="T27" s="72" t="n"/>
      <c r="U27" s="38">
        <f>SUM(F27:T27)</f>
        <v/>
      </c>
    </row>
    <row r="28" ht="15" customHeight="1" s="39">
      <c r="B28" s="70">
        <f>IF('Project Information'!$C$4="EN","Variable","Değişken")</f>
        <v/>
      </c>
      <c r="C28" s="70">
        <f>INDEX(Translations!$D:$ZZ, MATCH(221,Translations!$A:$A,0), MATCH('Project Information'!$C$4,Translations!$D$1:$ZZ$1,0))</f>
        <v/>
      </c>
      <c r="D28" s="70">
        <f>INDEX(Translations!$D:$ZZ, MATCH(343,Translations!$A:$A,0), MATCH('Project Information'!$C$4,Translations!$D$1:$ZZ$1,0))</f>
        <v/>
      </c>
      <c r="E28" s="70">
        <f>INDEX(Translations!$D:$ZZ, MATCH(64,Translations!$A:$A,0), MATCH('Project Information'!$C$4,Translations!$D$1:$ZZ$1,0))</f>
        <v/>
      </c>
      <c r="F28" s="73" t="n">
        <v>1</v>
      </c>
      <c r="G28" s="73" t="n">
        <v>0.5</v>
      </c>
      <c r="H28" s="73" t="n"/>
      <c r="I28" s="73" t="n">
        <v>0.5</v>
      </c>
      <c r="J28" s="73" t="n">
        <v>1</v>
      </c>
      <c r="K28" s="73" t="n"/>
      <c r="L28" s="73" t="n"/>
      <c r="M28" s="73" t="n">
        <v>1</v>
      </c>
      <c r="N28" s="73" t="n">
        <v>1</v>
      </c>
      <c r="O28" s="73" t="n"/>
      <c r="P28" s="73" t="n"/>
      <c r="Q28" s="73" t="n"/>
      <c r="R28" s="73" t="n"/>
      <c r="S28" s="73" t="n"/>
      <c r="T28" s="73" t="n"/>
      <c r="U28" s="38">
        <f>SUM(F28:T28)</f>
        <v/>
      </c>
    </row>
    <row r="29" ht="15" customHeight="1" s="39">
      <c r="B29" s="70">
        <f>IF('Project Information'!$C$4="EN","Variable","Değişken")</f>
        <v/>
      </c>
      <c r="C29" s="70">
        <f>INDEX(Translations!$D:$ZZ, MATCH(221,Translations!$A:$A,0), MATCH('Project Information'!$C$4,Translations!$D$1:$ZZ$1,0))</f>
        <v/>
      </c>
      <c r="D29" s="70">
        <f>INDEX(Translations!$D:$ZZ, MATCH(339,Translations!$A:$A,0), MATCH('Project Information'!$C$4,Translations!$D$1:$ZZ$1,0))</f>
        <v/>
      </c>
      <c r="E29" s="70">
        <f>INDEX(Translations!$D:$ZZ, MATCH(64,Translations!$A:$A,0), MATCH('Project Information'!$C$4,Translations!$D$1:$ZZ$1,0))</f>
        <v/>
      </c>
      <c r="F29" s="73" t="n">
        <v>1</v>
      </c>
      <c r="G29" s="73" t="n">
        <v>0.5</v>
      </c>
      <c r="H29" s="73" t="n"/>
      <c r="I29" s="73" t="n">
        <v>0.5</v>
      </c>
      <c r="J29" s="73" t="n">
        <v>1</v>
      </c>
      <c r="K29" s="73" t="n"/>
      <c r="L29" s="73" t="n"/>
      <c r="M29" s="73" t="n">
        <v>1</v>
      </c>
      <c r="N29" s="73" t="n">
        <v>1</v>
      </c>
      <c r="O29" s="73" t="n"/>
      <c r="P29" s="73" t="n"/>
      <c r="Q29" s="73" t="n"/>
      <c r="R29" s="73" t="n"/>
      <c r="S29" s="73" t="n"/>
      <c r="T29" s="73" t="n"/>
      <c r="U29" s="38">
        <f>SUM(F29:T29)</f>
        <v/>
      </c>
    </row>
    <row r="30" ht="15" customHeight="1" s="39">
      <c r="B30" s="70">
        <f>IF('Project Information'!$C$4="EN","Variable","Değişken")</f>
        <v/>
      </c>
      <c r="C30" s="70">
        <f>INDEX(Translations!$D:$ZZ, MATCH(263,Translations!$A:$A,0), MATCH('Project Information'!$C$4,Translations!$D$1:$ZZ$1,0))</f>
        <v/>
      </c>
      <c r="D30" s="70">
        <f>INDEX(Translations!$D:$ZZ, MATCH(343,Translations!$A:$A,0), MATCH('Project Information'!$C$4,Translations!$D$1:$ZZ$1,0))</f>
        <v/>
      </c>
      <c r="E30" s="70">
        <f>INDEX(Translations!$D:$ZZ, MATCH(278,Translations!$A:$A,0), MATCH('Project Information'!$C$4,Translations!$D$1:$ZZ$1,0))</f>
        <v/>
      </c>
      <c r="F30" s="73" t="n">
        <v>3</v>
      </c>
      <c r="G30" s="73" t="n">
        <v>1</v>
      </c>
      <c r="H30" s="73" t="n"/>
      <c r="I30" s="73" t="n">
        <v>3</v>
      </c>
      <c r="J30" s="73" t="n">
        <v>2</v>
      </c>
      <c r="K30" s="73" t="n"/>
      <c r="L30" s="73" t="n"/>
      <c r="M30" s="73" t="n"/>
      <c r="N30" s="73" t="n"/>
      <c r="O30" s="73" t="n">
        <v>1</v>
      </c>
      <c r="P30" s="73" t="n"/>
      <c r="Q30" s="73" t="n"/>
      <c r="R30" s="73" t="n">
        <v>0.5</v>
      </c>
      <c r="S30" s="73" t="n"/>
      <c r="T30" s="73" t="n"/>
      <c r="U30" s="38">
        <f>SUM(F30:T30)</f>
        <v/>
      </c>
    </row>
    <row r="31" ht="15" customHeight="1" s="39">
      <c r="B31" s="70">
        <f>IF('Project Information'!$C$4="EN","Variable","Değişken")</f>
        <v/>
      </c>
      <c r="C31" s="70">
        <f>INDEX(Translations!$D:$ZZ, MATCH(237,Translations!$A:$A,0), MATCH('Project Information'!$C$4,Translations!$D$1:$ZZ$1,0))</f>
        <v/>
      </c>
      <c r="D31" s="70">
        <f>INDEX(Translations!$D:$ZZ, MATCH(346,Translations!$A:$A,0), MATCH('Project Information'!$C$4,Translations!$D$1:$ZZ$1,0))</f>
        <v/>
      </c>
      <c r="E31" s="70">
        <f>INDEX(Translations!$D:$ZZ, MATCH(278,Translations!$A:$A,0), MATCH('Project Information'!$C$4,Translations!$D$1:$ZZ$1,0))</f>
        <v/>
      </c>
      <c r="F31" s="73" t="n"/>
      <c r="G31" s="73" t="n"/>
      <c r="H31" s="73" t="n"/>
      <c r="I31" s="73" t="n">
        <v>8</v>
      </c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>
        <v>0</v>
      </c>
      <c r="T31" s="73" t="n">
        <v>0</v>
      </c>
      <c r="U31" s="38">
        <f>SUM(F31:T31)</f>
        <v/>
      </c>
    </row>
    <row r="32" ht="15" customHeight="1" s="39">
      <c r="B32" s="70">
        <f>IF('Project Information'!$C$4="EN","Variable","Değişken")</f>
        <v/>
      </c>
      <c r="C32" s="70">
        <f>INDEX(Translations!$D:$ZZ, MATCH(237,Translations!$A:$A,0), MATCH('Project Information'!$C$4,Translations!$D$1:$ZZ$1,0))</f>
        <v/>
      </c>
      <c r="D32" s="70">
        <f>INDEX(Translations!$D:$ZZ, MATCH(338,Translations!$A:$A,0), MATCH('Project Information'!$C$4,Translations!$D$1:$ZZ$1,0))</f>
        <v/>
      </c>
      <c r="E32" s="70">
        <f>INDEX(Translations!$D:$ZZ, MATCH(278,Translations!$A:$A,0), MATCH('Project Information'!$C$4,Translations!$D$1:$ZZ$1,0))</f>
        <v/>
      </c>
      <c r="F32" s="73" t="n">
        <v>3</v>
      </c>
      <c r="G32" s="73" t="n">
        <v>1</v>
      </c>
      <c r="H32" s="73" t="n"/>
      <c r="I32" s="73" t="n"/>
      <c r="J32" s="73" t="n">
        <v>2</v>
      </c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>
        <v>0</v>
      </c>
      <c r="T32" s="73" t="n">
        <v>0</v>
      </c>
      <c r="U32" s="38">
        <f>SUM(F32:T32)</f>
        <v/>
      </c>
    </row>
    <row r="33" ht="15" customHeight="1" s="39">
      <c r="B33" s="70">
        <f>IF('Project Information'!$C$4="EN","Variable","Değişken")</f>
        <v/>
      </c>
      <c r="C33" s="70">
        <f>INDEX(Translations!$D:$ZZ, MATCH(235,Translations!$A:$A,0), MATCH('Project Information'!$C$4,Translations!$D$1:$ZZ$1,0))</f>
        <v/>
      </c>
      <c r="D33" s="70">
        <f>INDEX(Translations!$D:$ZZ, MATCH(346,Translations!$A:$A,0), MATCH('Project Information'!$C$4,Translations!$D$1:$ZZ$1,0))</f>
        <v/>
      </c>
      <c r="E33" s="70">
        <f>INDEX(Translations!$D:$ZZ, MATCH(278,Translations!$A:$A,0), MATCH('Project Information'!$C$4,Translations!$D$1:$ZZ$1,0))</f>
        <v/>
      </c>
      <c r="F33" s="73" t="n"/>
      <c r="G33" s="73" t="n"/>
      <c r="H33" s="73" t="n"/>
      <c r="I33" s="73" t="n">
        <v>8</v>
      </c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>
        <v>0</v>
      </c>
      <c r="T33" s="73" t="n">
        <v>0</v>
      </c>
      <c r="U33" s="38">
        <f>SUM(F33:T33)</f>
        <v/>
      </c>
    </row>
    <row r="34" ht="15" customHeight="1" s="39">
      <c r="B34" s="70">
        <f>IF('Project Information'!$C$4="EN","Variable","Değişken")</f>
        <v/>
      </c>
      <c r="C34" s="70">
        <f>INDEX(Translations!$D:$ZZ, MATCH(235,Translations!$A:$A,0), MATCH('Project Information'!$C$4,Translations!$D$1:$ZZ$1,0))</f>
        <v/>
      </c>
      <c r="D34" s="70">
        <f>INDEX(Translations!$D:$ZZ, MATCH(338,Translations!$A:$A,0), MATCH('Project Information'!$C$4,Translations!$D$1:$ZZ$1,0))</f>
        <v/>
      </c>
      <c r="E34" s="70">
        <f>INDEX(Translations!$D:$ZZ, MATCH(278,Translations!$A:$A,0), MATCH('Project Information'!$C$4,Translations!$D$1:$ZZ$1,0))</f>
        <v/>
      </c>
      <c r="F34" s="73" t="n">
        <v>2</v>
      </c>
      <c r="G34" s="73" t="n">
        <v>1</v>
      </c>
      <c r="H34" s="73" t="n"/>
      <c r="I34" s="73" t="n"/>
      <c r="J34" s="73" t="n">
        <v>3</v>
      </c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>
        <v>0</v>
      </c>
      <c r="T34" s="73" t="n">
        <v>0</v>
      </c>
      <c r="U34" s="38">
        <f>SUM(F34:T34)</f>
        <v/>
      </c>
    </row>
    <row r="35" ht="15" customHeight="1" s="39">
      <c r="B35" s="70">
        <f>IF('Project Information'!$C$4="EN","Variable","Değişken")</f>
        <v/>
      </c>
      <c r="C35" s="70">
        <f>INDEX(Translations!$D:$ZZ, MATCH(227,Translations!$A:$A,0), MATCH('Project Information'!$C$4,Translations!$D$1:$ZZ$1,0))</f>
        <v/>
      </c>
      <c r="D35" s="70">
        <f>INDEX(Translations!$D:$ZZ, MATCH(346,Translations!$A:$A,0), MATCH('Project Information'!$C$4,Translations!$D$1:$ZZ$1,0))</f>
        <v/>
      </c>
      <c r="E35" s="70">
        <f>INDEX(Translations!$D:$ZZ, MATCH(64,Translations!$A:$A,0), MATCH('Project Information'!$C$4,Translations!$D$1:$ZZ$1,0))</f>
        <v/>
      </c>
      <c r="F35" s="73" t="n"/>
      <c r="G35" s="73" t="n"/>
      <c r="H35" s="73" t="n"/>
      <c r="I35" s="73" t="n">
        <v>10</v>
      </c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>
        <v>0</v>
      </c>
      <c r="T35" s="73" t="n">
        <v>0</v>
      </c>
      <c r="U35" s="38">
        <f>SUM(F35:T35)</f>
        <v/>
      </c>
    </row>
    <row r="36" ht="15" customHeight="1" s="39">
      <c r="B36" s="70">
        <f>IF('Project Information'!$C$4="EN","Variable","Değişken")</f>
        <v/>
      </c>
      <c r="C36" s="70">
        <f>INDEX(Translations!$D:$ZZ, MATCH(227,Translations!$A:$A,0), MATCH('Project Information'!$C$4,Translations!$D$1:$ZZ$1,0))</f>
        <v/>
      </c>
      <c r="D36" s="70">
        <f>INDEX(Translations!$D:$ZZ, MATCH(339,Translations!$A:$A,0), MATCH('Project Information'!$C$4,Translations!$D$1:$ZZ$1,0))</f>
        <v/>
      </c>
      <c r="E36" s="70">
        <f>INDEX(Translations!$D:$ZZ, MATCH(64,Translations!$A:$A,0), MATCH('Project Information'!$C$4,Translations!$D$1:$ZZ$1,0))</f>
        <v/>
      </c>
      <c r="F36" s="73" t="n">
        <v>3</v>
      </c>
      <c r="G36" s="73" t="n">
        <v>1</v>
      </c>
      <c r="H36" s="73" t="n"/>
      <c r="I36" s="73" t="n"/>
      <c r="J36" s="73" t="n">
        <v>3</v>
      </c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>
        <v>0</v>
      </c>
      <c r="T36" s="73" t="n">
        <v>0</v>
      </c>
      <c r="U36" s="38">
        <f>SUM(F36:T36)</f>
        <v/>
      </c>
    </row>
    <row r="37" ht="15" customHeight="1" s="39">
      <c r="B37" s="70">
        <f>IF('Project Information'!$C$4="EN","Variable","Değişken")</f>
        <v/>
      </c>
      <c r="C37" s="70">
        <f>INDEX(Translations!$D:$ZZ, MATCH(185,Translations!$A:$A,0), MATCH('Project Information'!$C$4,Translations!$D$1:$ZZ$1,0))</f>
        <v/>
      </c>
      <c r="D37" s="70">
        <f>INDEX(Translations!$D:$ZZ, MATCH(271,Translations!$A:$A,0), MATCH('Project Information'!$C$4,Translations!$D$1:$ZZ$1,0))</f>
        <v/>
      </c>
      <c r="E37" s="70">
        <f>INDEX(Translations!$D:$ZZ, MATCH(278,Translations!$A:$A,0), MATCH('Project Information'!$C$4,Translations!$D$1:$ZZ$1,0))</f>
        <v/>
      </c>
      <c r="F37" s="73" t="n"/>
      <c r="G37" s="73" t="n">
        <v>2</v>
      </c>
      <c r="H37" s="73" t="n">
        <v>1</v>
      </c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38">
        <f>SUM(F37:T37)</f>
        <v/>
      </c>
    </row>
    <row r="38" ht="15" customHeight="1" s="39">
      <c r="B38" s="70">
        <f>IF('Project Information'!$C$4="EN","Variable","Değişken")</f>
        <v/>
      </c>
      <c r="C38" s="70">
        <f>INDEX(Translations!$D:$ZZ, MATCH(201,Translations!$A:$A,0), MATCH('Project Information'!$C$4,Translations!$D$1:$ZZ$1,0))</f>
        <v/>
      </c>
      <c r="D38" s="70">
        <f>INDEX(Translations!$D:$ZZ, MATCH(346,Translations!$A:$A,0), MATCH('Project Information'!$C$4,Translations!$D$1:$ZZ$1,0))</f>
        <v/>
      </c>
      <c r="E38" s="70">
        <f>INDEX(Translations!$D:$ZZ, MATCH(64,Translations!$A:$A,0), MATCH('Project Information'!$C$4,Translations!$D$1:$ZZ$1,0))</f>
        <v/>
      </c>
      <c r="F38" s="73" t="n"/>
      <c r="G38" s="73" t="n"/>
      <c r="H38" s="73" t="n"/>
      <c r="I38" s="73" t="n">
        <v>10</v>
      </c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>
        <v>0</v>
      </c>
      <c r="T38" s="73" t="n">
        <v>0</v>
      </c>
      <c r="U38" s="38">
        <f>SUM(F38:T38)</f>
        <v/>
      </c>
    </row>
    <row r="39" ht="15" customHeight="1" s="39">
      <c r="B39" s="70">
        <f>IF('Project Information'!$C$4="EN","Variable","Değişken")</f>
        <v/>
      </c>
      <c r="C39" s="70">
        <f>INDEX(Translations!$D:$ZZ, MATCH(201,Translations!$A:$A,0), MATCH('Project Information'!$C$4,Translations!$D$1:$ZZ$1,0))</f>
        <v/>
      </c>
      <c r="D39" s="70">
        <f>INDEX(Translations!$D:$ZZ, MATCH(339,Translations!$A:$A,0), MATCH('Project Information'!$C$4,Translations!$D$1:$ZZ$1,0))</f>
        <v/>
      </c>
      <c r="E39" s="70">
        <f>INDEX(Translations!$D:$ZZ, MATCH(64,Translations!$A:$A,0), MATCH('Project Information'!$C$4,Translations!$D$1:$ZZ$1,0))</f>
        <v/>
      </c>
      <c r="F39" s="74" t="n">
        <v>2</v>
      </c>
      <c r="G39" s="74" t="n">
        <v>1</v>
      </c>
      <c r="H39" s="74" t="n"/>
      <c r="I39" s="74" t="n"/>
      <c r="J39" s="74" t="n">
        <v>4</v>
      </c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>
        <v>0</v>
      </c>
      <c r="T39" s="74" t="n">
        <v>0</v>
      </c>
      <c r="U39" s="38">
        <f>SUM(F39:T39)</f>
        <v/>
      </c>
    </row>
    <row r="40" ht="15" customHeight="1" s="39">
      <c r="B40" s="70">
        <f>IF('Project Information'!$C$4="EN","Variable","Değişken")</f>
        <v/>
      </c>
      <c r="C40" s="70">
        <f>INDEX(Translations!$D:$ZZ, MATCH(224,Translations!$A:$A,0), MATCH('Project Information'!$C$4,Translations!$D$1:$ZZ$1,0))</f>
        <v/>
      </c>
      <c r="D40" s="70">
        <f>INDEX(Translations!$D:$ZZ, MATCH(346,Translations!$A:$A,0), MATCH('Project Information'!$C$4,Translations!$D$1:$ZZ$1,0))</f>
        <v/>
      </c>
      <c r="E40" s="70">
        <f>INDEX(Translations!$D:$ZZ, MATCH(278,Translations!$A:$A,0), MATCH('Project Information'!$C$4,Translations!$D$1:$ZZ$1,0))</f>
        <v/>
      </c>
      <c r="F40" s="73" t="n"/>
      <c r="G40" s="73" t="n"/>
      <c r="H40" s="73" t="n"/>
      <c r="I40" s="73" t="n">
        <v>12</v>
      </c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>
        <v>0</v>
      </c>
      <c r="T40" s="73" t="n">
        <v>0</v>
      </c>
      <c r="U40" s="38">
        <f>SUM(F40:T40)</f>
        <v/>
      </c>
    </row>
    <row r="41" ht="15" customHeight="1" s="39">
      <c r="B41" s="70">
        <f>IF('Project Information'!$C$4="EN","Variable","Değişken")</f>
        <v/>
      </c>
      <c r="C41" s="70">
        <f>INDEX(Translations!$D:$ZZ, MATCH(224,Translations!$A:$A,0), MATCH('Project Information'!$C$4,Translations!$D$1:$ZZ$1,0))</f>
        <v/>
      </c>
      <c r="D41" s="70">
        <f>INDEX(Translations!$D:$ZZ, MATCH(343,Translations!$A:$A,0), MATCH('Project Information'!$C$4,Translations!$D$1:$ZZ$1,0))</f>
        <v/>
      </c>
      <c r="E41" s="70">
        <f>INDEX(Translations!$D:$ZZ, MATCH(278,Translations!$A:$A,0), MATCH('Project Information'!$C$4,Translations!$D$1:$ZZ$1,0))</f>
        <v/>
      </c>
      <c r="F41" s="75" t="n">
        <v>2</v>
      </c>
      <c r="G41" s="75" t="n">
        <v>1</v>
      </c>
      <c r="H41" s="75" t="n"/>
      <c r="I41" s="75" t="n"/>
      <c r="J41" s="75" t="n">
        <v>1</v>
      </c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>
        <v>0</v>
      </c>
      <c r="T41" s="75" t="n">
        <v>0</v>
      </c>
      <c r="U41" s="38">
        <f>SUM(F41:T41)</f>
        <v/>
      </c>
    </row>
    <row r="42" ht="15" customHeight="1" s="39">
      <c r="B42" s="70">
        <f>IF('Project Information'!$C$4="EN","Variable","Değişken")</f>
        <v/>
      </c>
      <c r="C42" s="70">
        <f>INDEX(Translations!$D:$ZZ, MATCH(224,Translations!$A:$A,0), MATCH('Project Information'!$C$4,Translations!$D$1:$ZZ$1,0))</f>
        <v/>
      </c>
      <c r="D42" s="70">
        <f>INDEX(Translations!$D:$ZZ, MATCH(337,Translations!$A:$A,0), MATCH('Project Information'!$C$4,Translations!$D$1:$ZZ$1,0))</f>
        <v/>
      </c>
      <c r="E42" s="70">
        <f>INDEX(Translations!$D:$ZZ, MATCH(278,Translations!$A:$A,0), MATCH('Project Information'!$C$4,Translations!$D$1:$ZZ$1,0))</f>
        <v/>
      </c>
      <c r="F42" s="73" t="n">
        <v>2</v>
      </c>
      <c r="G42" s="73" t="n">
        <v>1</v>
      </c>
      <c r="H42" s="73" t="n"/>
      <c r="I42" s="73" t="n"/>
      <c r="J42" s="73" t="n">
        <v>1</v>
      </c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>
        <v>0</v>
      </c>
      <c r="T42" s="73" t="n">
        <v>0</v>
      </c>
      <c r="U42" s="38">
        <f>SUM(F42:T42)</f>
        <v/>
      </c>
    </row>
    <row r="43" ht="15" customHeight="1" s="39">
      <c r="B43" s="70">
        <f>IF('Project Information'!$C$4="EN","Variable","Değişken")</f>
        <v/>
      </c>
      <c r="C43" s="70">
        <f>INDEX(Translations!$D:$ZZ, MATCH(224,Translations!$A:$A,0), MATCH('Project Information'!$C$4,Translations!$D$1:$ZZ$1,0))</f>
        <v/>
      </c>
      <c r="D43" s="70">
        <f>INDEX(Translations!$D:$ZZ, MATCH(339,Translations!$A:$A,0), MATCH('Project Information'!$C$4,Translations!$D$1:$ZZ$1,0))</f>
        <v/>
      </c>
      <c r="E43" s="70">
        <f>INDEX(Translations!$D:$ZZ, MATCH(278,Translations!$A:$A,0), MATCH('Project Information'!$C$4,Translations!$D$1:$ZZ$1,0))</f>
        <v/>
      </c>
      <c r="F43" s="73" t="n">
        <v>2</v>
      </c>
      <c r="G43" s="73" t="n">
        <v>1</v>
      </c>
      <c r="H43" s="73" t="n"/>
      <c r="I43" s="73" t="n"/>
      <c r="J43" s="73" t="n">
        <v>1</v>
      </c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>
        <v>0</v>
      </c>
      <c r="T43" s="73" t="n">
        <v>0</v>
      </c>
      <c r="U43" s="38">
        <f>SUM(F43:T43)</f>
        <v/>
      </c>
    </row>
    <row r="44" ht="15" customHeight="1" s="39">
      <c r="B44" s="70">
        <f>IF('Project Information'!$C$4="EN","Variable","Değişken")</f>
        <v/>
      </c>
      <c r="C44" s="70">
        <f>INDEX(Translations!$D:$ZZ, MATCH(265,Translations!$A:$A,0), MATCH('Project Information'!$C$4,Translations!$D$1:$ZZ$1,0))</f>
        <v/>
      </c>
      <c r="D44" s="70">
        <f>INDEX(Translations!$D:$ZZ, MATCH(344,Translations!$A:$A,0), MATCH('Project Information'!$C$4,Translations!$D$1:$ZZ$1,0))</f>
        <v/>
      </c>
      <c r="E44" s="70">
        <f>INDEX(Translations!$D:$ZZ, MATCH(278,Translations!$A:$A,0), MATCH('Project Information'!$C$4,Translations!$D$1:$ZZ$1,0))</f>
        <v/>
      </c>
      <c r="F44" s="73" t="n">
        <v>2</v>
      </c>
      <c r="G44" s="73" t="n">
        <v>1</v>
      </c>
      <c r="H44" s="73" t="n">
        <v>1</v>
      </c>
      <c r="I44" s="73" t="n">
        <v>2</v>
      </c>
      <c r="J44" s="73" t="n">
        <v>2</v>
      </c>
      <c r="K44" s="73" t="n">
        <v>1</v>
      </c>
      <c r="L44" s="73" t="n">
        <v>1</v>
      </c>
      <c r="M44" s="73" t="n">
        <v>1</v>
      </c>
      <c r="N44" s="73" t="n">
        <v>1</v>
      </c>
      <c r="O44" s="73" t="n"/>
      <c r="P44" s="73" t="n">
        <v>1</v>
      </c>
      <c r="Q44" s="73" t="n">
        <v>0.5</v>
      </c>
      <c r="R44" s="73" t="n"/>
      <c r="S44" s="73" t="n"/>
      <c r="T44" s="73" t="n"/>
      <c r="U44" s="38">
        <f>SUM(F44:T44)</f>
        <v/>
      </c>
    </row>
    <row r="45" ht="15" customHeight="1" s="39">
      <c r="B45" s="70">
        <f>IF('Project Information'!$C$4="EN","Variable","Değişken")</f>
        <v/>
      </c>
      <c r="C45" s="70">
        <f>INDEX(Translations!$D:$ZZ, MATCH(25,Translations!$A:$A,0), MATCH('Project Information'!$C$4,Translations!$D$1:$ZZ$1,0))</f>
        <v/>
      </c>
      <c r="D45" s="70">
        <f>INDEX(Translations!$D:$ZZ, MATCH(333,Translations!$A:$A,0), MATCH('Project Information'!$C$4,Translations!$D$1:$ZZ$1,0))</f>
        <v/>
      </c>
      <c r="E45" s="70">
        <f>INDEX(Translations!$D:$ZZ, MATCH(281,Translations!$A:$A,0), MATCH('Project Information'!$C$4,Translations!$D$1:$ZZ$1,0))</f>
        <v/>
      </c>
      <c r="F45" s="73" t="n">
        <v>2</v>
      </c>
      <c r="G45" s="73" t="n">
        <v>1</v>
      </c>
      <c r="H45" s="73" t="n"/>
      <c r="I45" s="73" t="n">
        <v>0.5</v>
      </c>
      <c r="J45" s="73" t="n">
        <v>0.25</v>
      </c>
      <c r="K45" s="73" t="n">
        <v>0.25</v>
      </c>
      <c r="L45" s="73" t="n"/>
      <c r="M45" s="73" t="n">
        <v>0.5</v>
      </c>
      <c r="N45" s="73" t="n">
        <v>1</v>
      </c>
      <c r="O45" s="73" t="n"/>
      <c r="P45" s="73" t="n"/>
      <c r="Q45" s="73" t="n"/>
      <c r="R45" s="73" t="n"/>
      <c r="S45" s="73" t="n"/>
      <c r="T45" s="73" t="n"/>
      <c r="U45" s="38">
        <f>SUM(F46:T46)</f>
        <v/>
      </c>
    </row>
    <row r="46" ht="15" customHeight="1" s="39">
      <c r="B46" s="70">
        <f>IF('Project Information'!$C$4="EN","Variable","Değişken")</f>
        <v/>
      </c>
      <c r="C46" s="70">
        <f>INDEX(Translations!$D:$ZZ, MATCH(25,Translations!$A:$A,0), MATCH('Project Information'!$C$4,Translations!$D$1:$ZZ$1,0))</f>
        <v/>
      </c>
      <c r="D46" s="70">
        <f>INDEX(Translations!$D:$ZZ, MATCH(332,Translations!$A:$A,0), MATCH('Project Information'!$C$4,Translations!$D$1:$ZZ$1,0))</f>
        <v/>
      </c>
      <c r="E46" s="70">
        <f>INDEX(Translations!$D:$ZZ, MATCH(281,Translations!$A:$A,0), MATCH('Project Information'!$C$4,Translations!$D$1:$ZZ$1,0))</f>
        <v/>
      </c>
      <c r="F46" s="73" t="n">
        <v>2</v>
      </c>
      <c r="G46" s="73" t="n">
        <v>1</v>
      </c>
      <c r="H46" s="73" t="n"/>
      <c r="I46" s="73" t="n">
        <v>0.5</v>
      </c>
      <c r="J46" s="73" t="n">
        <v>0.25</v>
      </c>
      <c r="K46" s="73" t="n">
        <v>0.25</v>
      </c>
      <c r="L46" s="73" t="n"/>
      <c r="M46" s="73" t="n">
        <v>0.5</v>
      </c>
      <c r="N46" s="73" t="n">
        <v>1</v>
      </c>
      <c r="O46" s="73" t="n"/>
      <c r="P46" s="73" t="n"/>
      <c r="Q46" s="73" t="n"/>
      <c r="R46" s="73" t="n"/>
      <c r="S46" s="73" t="n"/>
      <c r="T46" s="73" t="n"/>
      <c r="U46" s="38">
        <f>SUM(F47:T47)</f>
        <v/>
      </c>
    </row>
    <row r="47" ht="15" customHeight="1" s="39">
      <c r="B47" s="70">
        <f>IF('Project Information'!$C$4="EN","Variable","Değişken")</f>
        <v/>
      </c>
      <c r="C47" s="70">
        <f>INDEX(Translations!$D:$ZZ, MATCH(25,Translations!$A:$A,0), MATCH('Project Information'!$C$4,Translations!$D$1:$ZZ$1,0))</f>
        <v/>
      </c>
      <c r="D47" s="70">
        <f>INDEX(Translations!$D:$ZZ, MATCH(339,Translations!$A:$A,0), MATCH('Project Information'!$C$4,Translations!$D$1:$ZZ$1,0))</f>
        <v/>
      </c>
      <c r="E47" s="70">
        <f>INDEX(Translations!$D:$ZZ, MATCH(281,Translations!$A:$A,0), MATCH('Project Information'!$C$4,Translations!$D$1:$ZZ$1,0))</f>
        <v/>
      </c>
      <c r="F47" s="73" t="n">
        <v>2</v>
      </c>
      <c r="G47" s="73" t="n">
        <v>1</v>
      </c>
      <c r="H47" s="73" t="n"/>
      <c r="I47" s="73" t="n">
        <v>0.5</v>
      </c>
      <c r="J47" s="73" t="n">
        <v>0.25</v>
      </c>
      <c r="K47" s="73" t="n">
        <v>0.25</v>
      </c>
      <c r="L47" s="73" t="n"/>
      <c r="M47" s="73" t="n">
        <v>0.5</v>
      </c>
      <c r="N47" s="73" t="n">
        <v>1</v>
      </c>
      <c r="O47" s="73" t="n"/>
      <c r="P47" s="73" t="n"/>
      <c r="Q47" s="73" t="n"/>
      <c r="R47" s="73" t="n"/>
      <c r="S47" s="73" t="n"/>
      <c r="T47" s="73" t="n"/>
      <c r="U47" s="38">
        <f>SUM(F48:T48)</f>
        <v/>
      </c>
    </row>
    <row r="48" ht="15" customHeight="1" s="39">
      <c r="B48" s="70">
        <f>IF('Project Information'!$C$4="EN","Variable","Değişken")</f>
        <v/>
      </c>
      <c r="C48" s="70">
        <f>INDEX(Translations!$D:$ZZ, MATCH(25,Translations!$A:$A,0), MATCH('Project Information'!$C$4,Translations!$D$1:$ZZ$1,0))</f>
        <v/>
      </c>
      <c r="D48" s="70">
        <f>INDEX(Translations!$D:$ZZ, MATCH(334,Translations!$A:$A,0), MATCH('Project Information'!$C$4,Translations!$D$1:$ZZ$1,0))</f>
        <v/>
      </c>
      <c r="E48" s="70">
        <f>INDEX(Translations!$D:$ZZ, MATCH(281,Translations!$A:$A,0), MATCH('Project Information'!$C$4,Translations!$D$1:$ZZ$1,0))</f>
        <v/>
      </c>
      <c r="F48" s="73" t="n">
        <v>2</v>
      </c>
      <c r="G48" s="73" t="n">
        <v>1</v>
      </c>
      <c r="H48" s="73" t="n"/>
      <c r="I48" s="73" t="n">
        <v>0.5</v>
      </c>
      <c r="J48" s="73" t="n">
        <v>0.25</v>
      </c>
      <c r="K48" s="73" t="n">
        <v>0.25</v>
      </c>
      <c r="L48" s="73" t="n"/>
      <c r="M48" s="73" t="n">
        <v>0.5</v>
      </c>
      <c r="N48" s="73" t="n">
        <v>1</v>
      </c>
      <c r="O48" s="73" t="n"/>
      <c r="P48" s="73" t="n"/>
      <c r="Q48" s="73" t="n"/>
      <c r="R48" s="73" t="n"/>
      <c r="S48" s="73" t="n"/>
      <c r="T48" s="73" t="n"/>
      <c r="U48" s="38">
        <f>SUM(F49:T49)</f>
        <v/>
      </c>
    </row>
    <row r="49" ht="15" customHeight="1" s="39">
      <c r="B49" s="76">
        <f>IF('Project Information'!$C$4="EN","Variable","Değişken")</f>
        <v/>
      </c>
      <c r="C49" s="76">
        <f>INDEX(Translations!$D:$ZZ, MATCH(44,Translations!$A:$A,0), MATCH('Project Information'!$C$4,Translations!$D$1:$ZZ$1,0))</f>
        <v/>
      </c>
      <c r="D49" s="70">
        <f>INDEX(Translations!$D:$ZZ, MATCH(343,Translations!$A:$A,0), MATCH('Project Information'!$C$4,Translations!$D$1:$ZZ$1,0))</f>
        <v/>
      </c>
      <c r="E49" s="76">
        <f>INDEX(Translations!$D:$ZZ, MATCH(64,Translations!$A:$A,0), MATCH('Project Information'!$C$4,Translations!$D$1:$ZZ$1,0))</f>
        <v/>
      </c>
      <c r="F49" s="73" t="n">
        <v>2</v>
      </c>
      <c r="G49" s="73" t="n">
        <v>1</v>
      </c>
      <c r="H49" s="73" t="n"/>
      <c r="I49" s="73" t="n">
        <v>0.5</v>
      </c>
      <c r="J49" s="73" t="n">
        <v>1</v>
      </c>
      <c r="K49" s="73" t="n"/>
      <c r="L49" s="73" t="n"/>
      <c r="M49" s="73" t="n">
        <v>0.5</v>
      </c>
      <c r="N49" s="73" t="n">
        <v>1</v>
      </c>
      <c r="O49" s="73" t="n"/>
      <c r="P49" s="73" t="n"/>
      <c r="Q49" s="73" t="n"/>
      <c r="R49" s="73" t="n"/>
      <c r="S49" s="73" t="n"/>
      <c r="T49" s="73" t="n"/>
      <c r="U49" s="38">
        <f>SUM(F50:T50)</f>
        <v/>
      </c>
    </row>
    <row r="50" ht="15" customHeight="1" s="39">
      <c r="B50" s="70">
        <f>IF('Project Information'!$C$4="EN","Variable","Değişken")</f>
        <v/>
      </c>
      <c r="C50" s="70">
        <f>INDEX(Translations!$D:$ZZ, MATCH(37,Translations!$A:$A,0), MATCH('Project Information'!$C$4,Translations!$D$1:$ZZ$1,0))</f>
        <v/>
      </c>
      <c r="D50" s="70">
        <f>INDEX(Translations!$D:$ZZ, MATCH(333,Translations!$A:$A,0), MATCH('Project Information'!$C$4,Translations!$D$1:$ZZ$1,0))</f>
        <v/>
      </c>
      <c r="E50" s="70">
        <f>INDEX(Translations!$D:$ZZ, MATCH(278,Translations!$A:$A,0), MATCH('Project Information'!$C$4,Translations!$D$1:$ZZ$1,0))</f>
        <v/>
      </c>
      <c r="F50" s="73" t="n">
        <v>3</v>
      </c>
      <c r="G50" s="73" t="n">
        <v>1</v>
      </c>
      <c r="H50" s="73" t="n"/>
      <c r="I50" s="73" t="n">
        <v>0.5</v>
      </c>
      <c r="J50" s="73" t="n">
        <v>0.5</v>
      </c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38">
        <f>SUM(F51:T51)</f>
        <v/>
      </c>
    </row>
    <row r="51" ht="15" customHeight="1" s="39">
      <c r="B51" s="70">
        <f>IF('Project Information'!$C$4="EN","Variable","Değişken")</f>
        <v/>
      </c>
      <c r="C51" s="70">
        <f>INDEX(Translations!$D:$ZZ, MATCH(37,Translations!$A:$A,0), MATCH('Project Information'!$C$4,Translations!$D$1:$ZZ$1,0))</f>
        <v/>
      </c>
      <c r="D51" s="70">
        <f>INDEX(Translations!$D:$ZZ, MATCH(343,Translations!$A:$A,0), MATCH('Project Information'!$C$4,Translations!$D$1:$ZZ$1,0))</f>
        <v/>
      </c>
      <c r="E51" s="70">
        <f>INDEX(Translations!$D:$ZZ, MATCH(278,Translations!$A:$A,0), MATCH('Project Information'!$C$4,Translations!$D$1:$ZZ$1,0))</f>
        <v/>
      </c>
      <c r="F51" s="73" t="n">
        <v>3</v>
      </c>
      <c r="G51" s="73" t="n">
        <v>1</v>
      </c>
      <c r="H51" s="73" t="n"/>
      <c r="I51" s="73" t="n">
        <v>0.5</v>
      </c>
      <c r="J51" s="73" t="n">
        <v>0.5</v>
      </c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38">
        <f>SUM(F52:T52)</f>
        <v/>
      </c>
    </row>
    <row r="52" ht="15" customHeight="1" s="39">
      <c r="B52" s="70">
        <f>IF('Project Information'!$C$4="EN","Variable","Değişken")</f>
        <v/>
      </c>
      <c r="C52" s="70">
        <f>INDEX(Translations!$D:$ZZ, MATCH(37,Translations!$A:$A,0), MATCH('Project Information'!$C$4,Translations!$D$1:$ZZ$1,0))</f>
        <v/>
      </c>
      <c r="D52" s="70">
        <f>INDEX(Translations!$D:$ZZ, MATCH(337,Translations!$A:$A,0), MATCH('Project Information'!$C$4,Translations!$D$1:$ZZ$1,0))</f>
        <v/>
      </c>
      <c r="E52" s="70">
        <f>INDEX(Translations!$D:$ZZ, MATCH(278,Translations!$A:$A,0), MATCH('Project Information'!$C$4,Translations!$D$1:$ZZ$1,0))</f>
        <v/>
      </c>
      <c r="F52" s="73" t="n">
        <v>5</v>
      </c>
      <c r="G52" s="73" t="n">
        <v>2</v>
      </c>
      <c r="H52" s="73" t="n"/>
      <c r="I52" s="73" t="n">
        <v>1</v>
      </c>
      <c r="J52" s="73" t="n">
        <v>0.5</v>
      </c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38">
        <f>SUM(F53:T53)</f>
        <v/>
      </c>
    </row>
    <row r="53" ht="15" customHeight="1" s="39">
      <c r="B53" s="70">
        <f>IF('Project Information'!$C$4="EN","Variable","Değişken")</f>
        <v/>
      </c>
      <c r="C53" s="70">
        <f>INDEX(Translations!$D:$ZZ, MATCH(37,Translations!$A:$A,0), MATCH('Project Information'!$C$4,Translations!$D$1:$ZZ$1,0))</f>
        <v/>
      </c>
      <c r="D53" s="70">
        <f>INDEX(Translations!$D:$ZZ, MATCH(338,Translations!$A:$A,0), MATCH('Project Information'!$C$4,Translations!$D$1:$ZZ$1,0))</f>
        <v/>
      </c>
      <c r="E53" s="70">
        <f>INDEX(Translations!$D:$ZZ, MATCH(278,Translations!$A:$A,0), MATCH('Project Information'!$C$4,Translations!$D$1:$ZZ$1,0))</f>
        <v/>
      </c>
      <c r="F53" s="73" t="n">
        <v>5</v>
      </c>
      <c r="G53" s="73" t="n">
        <v>2</v>
      </c>
      <c r="H53" s="73" t="n"/>
      <c r="I53" s="73" t="n">
        <v>1</v>
      </c>
      <c r="J53" s="73" t="n">
        <v>0.5</v>
      </c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38">
        <f>SUM(F54:T54)</f>
        <v/>
      </c>
    </row>
    <row r="54" ht="15" customHeight="1" s="39">
      <c r="B54" s="70">
        <f>IF('Project Information'!$C$4="EN","Variable","Değişken")</f>
        <v/>
      </c>
      <c r="C54" s="70">
        <f>INDEX(Translations!$D:$ZZ, MATCH(37,Translations!$A:$A,0), MATCH('Project Information'!$C$4,Translations!$D$1:$ZZ$1,0))</f>
        <v/>
      </c>
      <c r="D54" s="70">
        <f>INDEX(Translations!$D:$ZZ, MATCH(340,Translations!$A:$A,0), MATCH('Project Information'!$C$4,Translations!$D$1:$ZZ$1,0))</f>
        <v/>
      </c>
      <c r="E54" s="70">
        <f>INDEX(Translations!$D:$ZZ, MATCH(278,Translations!$A:$A,0), MATCH('Project Information'!$C$4,Translations!$D$1:$ZZ$1,0))</f>
        <v/>
      </c>
      <c r="F54" s="73" t="n">
        <v>3</v>
      </c>
      <c r="G54" s="73" t="n">
        <v>1</v>
      </c>
      <c r="H54" s="73" t="n"/>
      <c r="I54" s="73" t="n">
        <v>1</v>
      </c>
      <c r="J54" s="73" t="n">
        <v>0.5</v>
      </c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38">
        <f>SUM(F55:T55)</f>
        <v/>
      </c>
    </row>
    <row r="55" ht="15" customHeight="1" s="39">
      <c r="B55" s="70">
        <f>IF('Project Information'!$C$4="EN","Variable","Değişken")</f>
        <v/>
      </c>
      <c r="C55" s="70">
        <f>INDEX(Translations!$D:$ZZ, MATCH(37,Translations!$A:$A,0), MATCH('Project Information'!$C$4,Translations!$D$1:$ZZ$1,0))</f>
        <v/>
      </c>
      <c r="D55" s="70">
        <f>INDEX(Translations!$D:$ZZ, MATCH(339,Translations!$A:$A,0), MATCH('Project Information'!$C$4,Translations!$D$1:$ZZ$1,0))</f>
        <v/>
      </c>
      <c r="E55" s="70">
        <f>INDEX(Translations!$D:$ZZ, MATCH(278,Translations!$A:$A,0), MATCH('Project Information'!$C$4,Translations!$D$1:$ZZ$1,0))</f>
        <v/>
      </c>
      <c r="F55" s="73" t="n">
        <v>3</v>
      </c>
      <c r="G55" s="73" t="n">
        <v>1</v>
      </c>
      <c r="H55" s="73" t="n"/>
      <c r="I55" s="73" t="n">
        <v>0.5</v>
      </c>
      <c r="J55" s="73" t="n">
        <v>0.5</v>
      </c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38">
        <f>SUM(F56:T56)</f>
        <v/>
      </c>
    </row>
    <row r="56" ht="15" customHeight="1" s="39">
      <c r="B56" s="70">
        <f>IF('Project Information'!$C$4="EN","Variable","Değişken")</f>
        <v/>
      </c>
      <c r="C56" s="70">
        <f>INDEX(Translations!$D:$ZZ, MATCH(213,Translations!$A:$A,0), MATCH('Project Information'!$C$4,Translations!$D$1:$ZZ$1,0))</f>
        <v/>
      </c>
      <c r="D56" s="70">
        <f>INDEX(Translations!$D:$ZZ, MATCH(346,Translations!$A:$A,0), MATCH('Project Information'!$C$4,Translations!$D$1:$ZZ$1,0))</f>
        <v/>
      </c>
      <c r="E56" s="70">
        <f>INDEX(Translations!$D:$ZZ, MATCH(278,Translations!$A:$A,0), MATCH('Project Information'!$C$4,Translations!$D$1:$ZZ$1,0))</f>
        <v/>
      </c>
      <c r="F56" s="74" t="n"/>
      <c r="G56" s="74" t="n"/>
      <c r="H56" s="74" t="n"/>
      <c r="I56" s="74" t="n">
        <v>12</v>
      </c>
      <c r="J56" s="74" t="n"/>
      <c r="K56" s="74" t="n"/>
      <c r="L56" s="74" t="n"/>
      <c r="M56" s="73" t="n"/>
      <c r="N56" s="73" t="n"/>
      <c r="O56" s="74" t="n"/>
      <c r="P56" s="74" t="n"/>
      <c r="Q56" s="74" t="n"/>
      <c r="R56" s="74" t="n"/>
      <c r="S56" s="74" t="n">
        <v>0</v>
      </c>
      <c r="T56" s="74" t="n">
        <v>0</v>
      </c>
      <c r="U56" s="38">
        <f>SUM(F57:T57)</f>
        <v/>
      </c>
    </row>
    <row r="57" ht="15" customHeight="1" s="39">
      <c r="B57" s="70">
        <f>IF('Project Information'!$C$4="EN","Variable","Değişken")</f>
        <v/>
      </c>
      <c r="C57" s="70">
        <f>INDEX(Translations!$D:$ZZ, MATCH(213,Translations!$A:$A,0), MATCH('Project Information'!$C$4,Translations!$D$1:$ZZ$1,0))</f>
        <v/>
      </c>
      <c r="D57" s="70">
        <f>INDEX(Translations!$D:$ZZ, MATCH(343,Translations!$A:$A,0), MATCH('Project Information'!$C$4,Translations!$D$1:$ZZ$1,0))</f>
        <v/>
      </c>
      <c r="E57" s="70">
        <f>INDEX(Translations!$D:$ZZ, MATCH(278,Translations!$A:$A,0), MATCH('Project Information'!$C$4,Translations!$D$1:$ZZ$1,0))</f>
        <v/>
      </c>
      <c r="F57" s="73" t="n">
        <v>4</v>
      </c>
      <c r="G57" s="67" t="n">
        <v>1</v>
      </c>
      <c r="H57" s="73" t="n"/>
      <c r="I57" s="67" t="n"/>
      <c r="J57" s="73" t="n">
        <v>3</v>
      </c>
      <c r="K57" s="74" t="n"/>
      <c r="L57" s="73" t="n"/>
      <c r="M57" s="73" t="n"/>
      <c r="N57" s="73" t="n"/>
      <c r="O57" s="67" t="n"/>
      <c r="P57" s="74" t="n"/>
      <c r="Q57" s="73" t="n"/>
      <c r="R57" s="73" t="n"/>
      <c r="S57" s="73" t="n">
        <v>0</v>
      </c>
      <c r="T57" s="73" t="n">
        <v>0</v>
      </c>
      <c r="U57" s="38">
        <f>SUM(F58:T58)</f>
        <v/>
      </c>
    </row>
    <row r="58" ht="15" customHeight="1" s="39">
      <c r="B58" s="70">
        <f>IF('Project Information'!$C$4="EN","Variable","Değişken")</f>
        <v/>
      </c>
      <c r="C58" s="70">
        <f>INDEX(Translations!$D:$ZZ, MATCH(213,Translations!$A:$A,0), MATCH('Project Information'!$C$4,Translations!$D$1:$ZZ$1,0))</f>
        <v/>
      </c>
      <c r="D58" s="70">
        <f>INDEX(Translations!$D:$ZZ, MATCH(337,Translations!$A:$A,0), MATCH('Project Information'!$C$4,Translations!$D$1:$ZZ$1,0))</f>
        <v/>
      </c>
      <c r="E58" s="70">
        <f>INDEX(Translations!$D:$ZZ, MATCH(278,Translations!$A:$A,0), MATCH('Project Information'!$C$4,Translations!$D$1:$ZZ$1,0))</f>
        <v/>
      </c>
      <c r="F58" s="72" t="n">
        <v>3</v>
      </c>
      <c r="G58" s="73" t="n">
        <v>1</v>
      </c>
      <c r="H58" s="72" t="n"/>
      <c r="I58" s="72" t="n"/>
      <c r="J58" s="72" t="n">
        <v>3</v>
      </c>
      <c r="K58" s="73" t="n"/>
      <c r="L58" s="72" t="n"/>
      <c r="M58" s="73" t="n"/>
      <c r="N58" s="73" t="n"/>
      <c r="O58" s="72" t="n"/>
      <c r="P58" s="73" t="n"/>
      <c r="Q58" s="72" t="n"/>
      <c r="R58" s="72" t="n"/>
      <c r="S58" s="72" t="n">
        <v>0</v>
      </c>
      <c r="T58" s="72" t="n">
        <v>0</v>
      </c>
      <c r="U58" s="38">
        <f>SUM(F59:T59)</f>
        <v/>
      </c>
    </row>
    <row r="59" ht="15" customHeight="1" s="39">
      <c r="B59" s="70">
        <f>IF('Project Information'!$C$4="EN","Variable","Değişken")</f>
        <v/>
      </c>
      <c r="C59" s="70">
        <f>INDEX(Translations!$D:$ZZ, MATCH(211,Translations!$A:$A,0), MATCH('Project Information'!$C$4,Translations!$D$1:$ZZ$1,0))</f>
        <v/>
      </c>
      <c r="D59" s="70">
        <f>INDEX(Translations!$D:$ZZ, MATCH(346,Translations!$A:$A,0), MATCH('Project Information'!$C$4,Translations!$D$1:$ZZ$1,0))</f>
        <v/>
      </c>
      <c r="E59" s="70">
        <f>INDEX(Translations!$D:$ZZ, MATCH(278,Translations!$A:$A,0), MATCH('Project Information'!$C$4,Translations!$D$1:$ZZ$1,0))</f>
        <v/>
      </c>
      <c r="F59" s="74" t="n"/>
      <c r="G59" s="74" t="n"/>
      <c r="H59" s="74" t="n"/>
      <c r="I59" s="74" t="n">
        <v>12</v>
      </c>
      <c r="J59" s="74" t="n"/>
      <c r="K59" s="74" t="n"/>
      <c r="L59" s="74" t="n"/>
      <c r="M59" s="73" t="n"/>
      <c r="N59" s="73" t="n"/>
      <c r="O59" s="74" t="n"/>
      <c r="P59" s="74" t="n"/>
      <c r="Q59" s="74" t="n"/>
      <c r="R59" s="74" t="n"/>
      <c r="S59" s="74" t="n">
        <v>0</v>
      </c>
      <c r="T59" s="74" t="n">
        <v>0</v>
      </c>
      <c r="U59" s="38">
        <f>SUM(F60:T60)</f>
        <v/>
      </c>
    </row>
    <row r="60" ht="15" customHeight="1" s="39">
      <c r="B60" s="70">
        <f>IF('Project Information'!$C$4="EN","Variable","Değişken")</f>
        <v/>
      </c>
      <c r="C60" s="70">
        <f>INDEX(Translations!$D:$ZZ, MATCH(211,Translations!$A:$A,0), MATCH('Project Information'!$C$4,Translations!$D$1:$ZZ$1,0))</f>
        <v/>
      </c>
      <c r="D60" s="70">
        <f>INDEX(Translations!$D:$ZZ, MATCH(337,Translations!$A:$A,0), MATCH('Project Information'!$C$4,Translations!$D$1:$ZZ$1,0))</f>
        <v/>
      </c>
      <c r="E60" s="70">
        <f>INDEX(Translations!$D:$ZZ, MATCH(278,Translations!$A:$A,0), MATCH('Project Information'!$C$4,Translations!$D$1:$ZZ$1,0))</f>
        <v/>
      </c>
      <c r="F60" s="73" t="n">
        <v>4</v>
      </c>
      <c r="G60" s="73" t="n">
        <v>2</v>
      </c>
      <c r="H60" s="73" t="n"/>
      <c r="I60" s="73" t="n"/>
      <c r="J60" s="73" t="n">
        <v>5</v>
      </c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>
        <v>0</v>
      </c>
      <c r="T60" s="73" t="n">
        <v>0</v>
      </c>
      <c r="U60" s="38">
        <f>SUM(F61:T61)</f>
        <v/>
      </c>
    </row>
    <row r="61" ht="15" customHeight="1" s="39">
      <c r="B61" s="70">
        <f>IF('Project Information'!$C$4="EN","Variable","Değişken")</f>
        <v/>
      </c>
      <c r="C61" s="70">
        <f>INDEX(Translations!$D:$ZZ, MATCH(211,Translations!$A:$A,0), MATCH('Project Information'!$C$4,Translations!$D$1:$ZZ$1,0))</f>
        <v/>
      </c>
      <c r="D61" s="70">
        <f>INDEX(Translations!$D:$ZZ, MATCH(342,Translations!$A:$A,0), MATCH('Project Information'!$C$4,Translations!$D$1:$ZZ$1,0))</f>
        <v/>
      </c>
      <c r="E61" s="70">
        <f>INDEX(Translations!$D:$ZZ, MATCH(278,Translations!$A:$A,0), MATCH('Project Information'!$C$4,Translations!$D$1:$ZZ$1,0))</f>
        <v/>
      </c>
      <c r="F61" s="72" t="n">
        <v>2</v>
      </c>
      <c r="G61" s="72" t="n">
        <v>1</v>
      </c>
      <c r="H61" s="72" t="n"/>
      <c r="I61" s="72" t="n"/>
      <c r="J61" s="72" t="n">
        <v>3</v>
      </c>
      <c r="K61" s="72" t="n"/>
      <c r="L61" s="72" t="n"/>
      <c r="M61" s="72" t="n"/>
      <c r="N61" s="72" t="n"/>
      <c r="O61" s="72" t="n"/>
      <c r="P61" s="72" t="n"/>
      <c r="Q61" s="72" t="n"/>
      <c r="R61" s="72" t="n"/>
      <c r="S61" s="72" t="n">
        <v>0</v>
      </c>
      <c r="T61" s="72" t="n">
        <v>0</v>
      </c>
      <c r="U61" s="38">
        <f>SUM(F62:T62)</f>
        <v/>
      </c>
    </row>
    <row r="62" ht="15" customHeight="1" s="39">
      <c r="B62" s="70">
        <f>IF('Project Information'!$C$4="EN","Variable","Değişken")</f>
        <v/>
      </c>
      <c r="C62" s="70">
        <f>INDEX(Translations!$D:$ZZ, MATCH(259,Translations!$A:$A,0), MATCH('Project Information'!$C$4,Translations!$D$1:$ZZ$1,0))</f>
        <v/>
      </c>
      <c r="D62" s="70">
        <f>INDEX(Translations!$D:$ZZ, MATCH(344,Translations!$A:$A,0), MATCH('Project Information'!$C$4,Translations!$D$1:$ZZ$1,0))</f>
        <v/>
      </c>
      <c r="E62" s="70">
        <f>INDEX(Translations!$D:$ZZ, MATCH(278,Translations!$A:$A,0), MATCH('Project Information'!$C$4,Translations!$D$1:$ZZ$1,0))</f>
        <v/>
      </c>
      <c r="F62" s="73" t="n">
        <v>1</v>
      </c>
      <c r="G62" s="67" t="n">
        <v>0.5</v>
      </c>
      <c r="H62" s="67" t="n">
        <v>0.5</v>
      </c>
      <c r="I62" s="73" t="n">
        <v>1</v>
      </c>
      <c r="J62" s="73" t="n">
        <v>2</v>
      </c>
      <c r="K62" s="73" t="n">
        <v>1</v>
      </c>
      <c r="L62" s="73" t="n"/>
      <c r="M62" s="73" t="n">
        <v>1</v>
      </c>
      <c r="N62" s="73" t="n">
        <v>1</v>
      </c>
      <c r="O62" s="73" t="n"/>
      <c r="P62" s="73" t="n">
        <v>1</v>
      </c>
      <c r="Q62" s="67" t="n">
        <v>0.5</v>
      </c>
      <c r="R62" s="73" t="n"/>
      <c r="S62" s="73" t="n"/>
      <c r="T62" s="73" t="n"/>
      <c r="U62" s="38">
        <f>SUM(F63:T63)</f>
        <v/>
      </c>
    </row>
    <row r="63" ht="15" customHeight="1" s="39">
      <c r="B63" s="70">
        <f>IF('Project Information'!$C$4="EN","Variable","Değişken")</f>
        <v/>
      </c>
      <c r="C63" s="70">
        <f>INDEX(Translations!$D:$ZZ, MATCH(219,Translations!$A:$A,0), MATCH('Project Information'!$C$4,Translations!$D$1:$ZZ$1,0))</f>
        <v/>
      </c>
      <c r="D63" s="70">
        <f>INDEX(Translations!$D:$ZZ, MATCH(333,Translations!$A:$A,0), MATCH('Project Information'!$C$4,Translations!$D$1:$ZZ$1,0))</f>
        <v/>
      </c>
      <c r="E63" s="70">
        <f>INDEX(Translations!$D:$ZZ, MATCH(64,Translations!$A:$A,0), MATCH('Project Information'!$C$4,Translations!$D$1:$ZZ$1,0))</f>
        <v/>
      </c>
      <c r="F63" s="73" t="n">
        <v>1</v>
      </c>
      <c r="G63" s="73" t="n">
        <v>0.5</v>
      </c>
      <c r="H63" s="73" t="n"/>
      <c r="I63" s="73" t="n">
        <v>0.5</v>
      </c>
      <c r="J63" s="73" t="n">
        <v>0.5</v>
      </c>
      <c r="K63" s="73" t="n"/>
      <c r="L63" s="73" t="n"/>
      <c r="M63" s="73" t="n">
        <v>0.25</v>
      </c>
      <c r="N63" s="73" t="n">
        <v>0.25</v>
      </c>
      <c r="O63" s="73" t="n"/>
      <c r="P63" s="73" t="n"/>
      <c r="Q63" s="73" t="n"/>
      <c r="R63" s="73" t="n"/>
      <c r="S63" s="73" t="n"/>
      <c r="T63" s="73" t="n"/>
      <c r="U63" s="38">
        <f>SUM(F64:T64)</f>
        <v/>
      </c>
    </row>
    <row r="64" ht="15" customHeight="1" s="39">
      <c r="B64" s="70">
        <f>IF('Project Information'!$C$4="EN","Variable","Değişken")</f>
        <v/>
      </c>
      <c r="C64" s="70">
        <f>INDEX(Translations!$D:$ZZ, MATCH(219,Translations!$A:$A,0), MATCH('Project Information'!$C$4,Translations!$D$1:$ZZ$1,0))</f>
        <v/>
      </c>
      <c r="D64" s="70">
        <f>INDEX(Translations!$D:$ZZ, MATCH(343,Translations!$A:$A,0), MATCH('Project Information'!$C$4,Translations!$D$1:$ZZ$1,0))</f>
        <v/>
      </c>
      <c r="E64" s="70">
        <f>INDEX(Translations!$D:$ZZ, MATCH(64,Translations!$A:$A,0), MATCH('Project Information'!$C$4,Translations!$D$1:$ZZ$1,0))</f>
        <v/>
      </c>
      <c r="F64" s="73" t="n">
        <v>1</v>
      </c>
      <c r="G64" s="73" t="n">
        <v>0.5</v>
      </c>
      <c r="H64" s="73" t="n"/>
      <c r="I64" s="73" t="n">
        <v>0.5</v>
      </c>
      <c r="J64" s="73" t="n">
        <v>0.5</v>
      </c>
      <c r="K64" s="73" t="n"/>
      <c r="L64" s="73" t="n"/>
      <c r="M64" s="73" t="n">
        <v>0.25</v>
      </c>
      <c r="N64" s="73" t="n">
        <v>0.25</v>
      </c>
      <c r="O64" s="73" t="n"/>
      <c r="P64" s="73" t="n"/>
      <c r="Q64" s="73" t="n"/>
      <c r="R64" s="73" t="n"/>
      <c r="S64" s="73" t="n"/>
      <c r="T64" s="73" t="n"/>
      <c r="U64" s="38">
        <f>SUM(F65:T65)</f>
        <v/>
      </c>
    </row>
    <row r="65" ht="15" customHeight="1" s="39">
      <c r="B65" s="76">
        <f>IF('Project Information'!$C$4="EN","Variable","Değişken")</f>
        <v/>
      </c>
      <c r="C65" s="76">
        <f>INDEX(Translations!$D:$ZZ, MATCH(219,Translations!$A:$A,0), MATCH('Project Information'!$C$4,Translations!$D$1:$ZZ$1,0))</f>
        <v/>
      </c>
      <c r="D65" s="70">
        <f>INDEX(Translations!$D:$ZZ, MATCH(337,Translations!$A:$A,0), MATCH('Project Information'!$C$4,Translations!$D$1:$ZZ$1,0))</f>
        <v/>
      </c>
      <c r="E65" s="76">
        <f>INDEX(Translations!$D:$ZZ, MATCH(64,Translations!$A:$A,0), MATCH('Project Information'!$C$4,Translations!$D$1:$ZZ$1,0))</f>
        <v/>
      </c>
      <c r="F65" s="73" t="n">
        <v>2</v>
      </c>
      <c r="G65" s="73" t="n">
        <v>0.5</v>
      </c>
      <c r="H65" s="73" t="n"/>
      <c r="I65" s="73" t="n">
        <v>0.5</v>
      </c>
      <c r="J65" s="73" t="n">
        <v>1</v>
      </c>
      <c r="K65" s="73" t="n"/>
      <c r="L65" s="73" t="n"/>
      <c r="M65" s="73" t="n">
        <v>0.5</v>
      </c>
      <c r="N65" s="73" t="n">
        <v>0.5</v>
      </c>
      <c r="O65" s="73" t="n"/>
      <c r="P65" s="73" t="n"/>
      <c r="Q65" s="73" t="n"/>
      <c r="R65" s="73" t="n"/>
      <c r="S65" s="73" t="n"/>
      <c r="T65" s="73" t="n"/>
      <c r="U65" s="38">
        <f>SUM(F66:T66)</f>
        <v/>
      </c>
    </row>
    <row r="66" ht="15" customHeight="1" s="39">
      <c r="B66" s="70">
        <f>IF('Project Information'!$C$4="EN","Variable","Değişken")</f>
        <v/>
      </c>
      <c r="C66" s="70">
        <f>INDEX(Translations!$D:$ZZ, MATCH(219,Translations!$A:$A,0), MATCH('Project Information'!$C$4,Translations!$D$1:$ZZ$1,0))</f>
        <v/>
      </c>
      <c r="D66" s="70">
        <f>INDEX(Translations!$D:$ZZ, MATCH(339,Translations!$A:$A,0), MATCH('Project Information'!$C$4,Translations!$D$1:$ZZ$1,0))</f>
        <v/>
      </c>
      <c r="E66" s="70">
        <f>INDEX(Translations!$D:$ZZ, MATCH(64,Translations!$A:$A,0), MATCH('Project Information'!$C$4,Translations!$D$1:$ZZ$1,0))</f>
        <v/>
      </c>
      <c r="F66" s="67" t="n">
        <v>1</v>
      </c>
      <c r="G66" s="73" t="n">
        <v>0.5</v>
      </c>
      <c r="H66" s="67" t="n"/>
      <c r="I66" s="73" t="n">
        <v>0.5</v>
      </c>
      <c r="J66" s="67" t="n">
        <v>1</v>
      </c>
      <c r="K66" s="67" t="n"/>
      <c r="L66" s="67" t="n"/>
      <c r="M66" s="73" t="n">
        <v>0.5</v>
      </c>
      <c r="N66" s="73" t="n">
        <v>0.5</v>
      </c>
      <c r="O66" s="67" t="n"/>
      <c r="P66" s="67" t="n"/>
      <c r="Q66" s="67" t="n"/>
      <c r="R66" s="67" t="n"/>
      <c r="S66" s="67" t="n"/>
      <c r="T66" s="67" t="n"/>
      <c r="U66" s="38">
        <f>SUM(F67:T67)</f>
        <v/>
      </c>
    </row>
    <row r="67" ht="15" customHeight="1" s="39">
      <c r="B67" s="70">
        <f>IF('Project Information'!$C$4="EN","Variable","Değişken")</f>
        <v/>
      </c>
      <c r="C67" s="70">
        <f>INDEX(Translations!$D:$ZZ, MATCH(241,Translations!$A:$A,0), MATCH('Project Information'!$C$4,Translations!$D$1:$ZZ$1,0))</f>
        <v/>
      </c>
      <c r="D67" s="70">
        <f>INDEX(Translations!$D:$ZZ, MATCH(346,Translations!$A:$A,0), MATCH('Project Information'!$C$4,Translations!$D$1:$ZZ$1,0))</f>
        <v/>
      </c>
      <c r="E67" s="70">
        <f>INDEX(Translations!$D:$ZZ, MATCH(278,Translations!$A:$A,0), MATCH('Project Information'!$C$4,Translations!$D$1:$ZZ$1,0))</f>
        <v/>
      </c>
      <c r="F67" s="73" t="n"/>
      <c r="G67" s="73" t="n"/>
      <c r="H67" s="73" t="n"/>
      <c r="I67" s="73" t="n">
        <v>10</v>
      </c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>
        <v>0</v>
      </c>
      <c r="T67" s="73" t="n">
        <v>0</v>
      </c>
      <c r="U67" s="38">
        <f>SUM(F68:T68)</f>
        <v/>
      </c>
    </row>
    <row r="68" ht="15" customHeight="1" s="39">
      <c r="B68" s="70">
        <f>IF('Project Information'!$C$4="EN","Variable","Değişken")</f>
        <v/>
      </c>
      <c r="C68" s="70">
        <f>INDEX(Translations!$D:$ZZ, MATCH(241,Translations!$A:$A,0), MATCH('Project Information'!$C$4,Translations!$D$1:$ZZ$1,0))</f>
        <v/>
      </c>
      <c r="D68" s="70">
        <f>INDEX(Translations!$D:$ZZ, MATCH(338,Translations!$A:$A,0), MATCH('Project Information'!$C$4,Translations!$D$1:$ZZ$1,0))</f>
        <v/>
      </c>
      <c r="E68" s="70">
        <f>INDEX(Translations!$D:$ZZ, MATCH(278,Translations!$A:$A,0), MATCH('Project Information'!$C$4,Translations!$D$1:$ZZ$1,0))</f>
        <v/>
      </c>
      <c r="F68" s="73" t="n">
        <v>5</v>
      </c>
      <c r="G68" s="73" t="n">
        <v>1</v>
      </c>
      <c r="H68" s="73" t="n"/>
      <c r="I68" s="73" t="n"/>
      <c r="J68" s="73" t="n">
        <v>3</v>
      </c>
      <c r="K68" s="73" t="n"/>
      <c r="L68" s="73" t="n"/>
      <c r="M68" s="73" t="n">
        <v>1</v>
      </c>
      <c r="N68" s="73" t="n">
        <v>2</v>
      </c>
      <c r="O68" s="73" t="n"/>
      <c r="P68" s="73" t="n"/>
      <c r="Q68" s="73" t="n"/>
      <c r="R68" s="73" t="n"/>
      <c r="S68" s="73" t="n">
        <v>0</v>
      </c>
      <c r="T68" s="73" t="n">
        <v>0</v>
      </c>
      <c r="U68" s="38">
        <f>SUM(F69:T69)</f>
        <v/>
      </c>
    </row>
    <row r="69" ht="15" customHeight="1" s="39">
      <c r="B69" s="70">
        <f>IF('Project Information'!$C$4="EN","Variable","Değişken")</f>
        <v/>
      </c>
      <c r="C69" s="70">
        <f>INDEX(Translations!$D:$ZZ, MATCH(282,Translations!$A:$A,0), MATCH('Project Information'!$C$4,Translations!$D$1:$ZZ$1,0))</f>
        <v/>
      </c>
      <c r="D69" s="70">
        <f>INDEX(Translations!$D:$ZZ, MATCH(337,Translations!$A:$A,0), MATCH('Project Information'!$C$4,Translations!$D$1:$ZZ$1,0))</f>
        <v/>
      </c>
      <c r="E69" s="70">
        <f>INDEX(Translations!$D:$ZZ, MATCH(278,Translations!$A:$A,0), MATCH('Project Information'!$C$4,Translations!$D$1:$ZZ$1,0))</f>
        <v/>
      </c>
      <c r="F69" s="73" t="n">
        <v>2</v>
      </c>
      <c r="G69" s="73" t="n">
        <v>1</v>
      </c>
      <c r="H69" s="73" t="n"/>
      <c r="I69" s="73" t="n">
        <v>1</v>
      </c>
      <c r="J69" s="73" t="n">
        <v>1</v>
      </c>
      <c r="K69" s="73" t="n">
        <v>0.5</v>
      </c>
      <c r="L69" s="73" t="n"/>
      <c r="M69" s="73" t="n">
        <v>0.5</v>
      </c>
      <c r="N69" s="73" t="n">
        <v>0.5</v>
      </c>
      <c r="O69" s="73" t="n"/>
      <c r="P69" s="73" t="n">
        <v>0.5</v>
      </c>
      <c r="Q69" s="73" t="n"/>
      <c r="R69" s="73" t="n"/>
      <c r="S69" s="73" t="n"/>
      <c r="T69" s="73" t="n"/>
      <c r="U69" s="38">
        <f>SUM(F70:T70)</f>
        <v/>
      </c>
    </row>
    <row r="70" ht="15" customHeight="1" s="39">
      <c r="B70" s="70">
        <f>IF('Project Information'!$C$4="EN","Variable","Değişken")</f>
        <v/>
      </c>
      <c r="C70" s="70">
        <f>INDEX(Translations!$D:$ZZ, MATCH(282,Translations!$A:$A,0), MATCH('Project Information'!$C$4,Translations!$D$1:$ZZ$1,0))</f>
        <v/>
      </c>
      <c r="D70" s="70">
        <f>INDEX(Translations!$D:$ZZ, MATCH(339,Translations!$A:$A,0), MATCH('Project Information'!$C$4,Translations!$D$1:$ZZ$1,0))</f>
        <v/>
      </c>
      <c r="E70" s="70">
        <f>INDEX(Translations!$D:$ZZ, MATCH(278,Translations!$A:$A,0), MATCH('Project Information'!$C$4,Translations!$D$1:$ZZ$1,0))</f>
        <v/>
      </c>
      <c r="F70" s="73" t="n">
        <v>2</v>
      </c>
      <c r="G70" s="73" t="n">
        <v>1</v>
      </c>
      <c r="H70" s="73" t="n"/>
      <c r="I70" s="73" t="n">
        <v>1</v>
      </c>
      <c r="J70" s="73" t="n">
        <v>1</v>
      </c>
      <c r="K70" s="73" t="n">
        <v>0.5</v>
      </c>
      <c r="L70" s="73" t="n"/>
      <c r="M70" s="73" t="n">
        <v>0.5</v>
      </c>
      <c r="N70" s="73" t="n">
        <v>0.5</v>
      </c>
      <c r="O70" s="73" t="n"/>
      <c r="P70" s="73" t="n">
        <v>0.5</v>
      </c>
      <c r="Q70" s="73" t="n"/>
      <c r="R70" s="73" t="n"/>
      <c r="S70" s="73" t="n"/>
      <c r="T70" s="73" t="n"/>
      <c r="U70" s="38">
        <f>SUM(F71:T71)</f>
        <v/>
      </c>
    </row>
    <row r="71" ht="15" customHeight="1" s="39">
      <c r="B71" s="70">
        <f>IF('Project Information'!$C$4="EN","Variable","Değişken")</f>
        <v/>
      </c>
      <c r="C71" s="70">
        <f>INDEX(Translations!$D:$ZZ, MATCH(233,Translations!$A:$A,0), MATCH('Project Information'!$C$4,Translations!$D$1:$ZZ$1,0))</f>
        <v/>
      </c>
      <c r="D71" s="70">
        <f>INDEX(Translations!$D:$ZZ, MATCH(346,Translations!$A:$A,0), MATCH('Project Information'!$C$4,Translations!$D$1:$ZZ$1,0))</f>
        <v/>
      </c>
      <c r="E71" s="70">
        <f>INDEX(Translations!$D:$ZZ, MATCH(283,Translations!$A:$A,0), MATCH('Project Information'!$C$4,Translations!$D$1:$ZZ$1,0))</f>
        <v/>
      </c>
      <c r="F71" s="73" t="n"/>
      <c r="G71" s="73" t="n"/>
      <c r="H71" s="73" t="n"/>
      <c r="I71" s="73" t="n">
        <v>4</v>
      </c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>
        <v>0</v>
      </c>
      <c r="T71" s="73" t="n">
        <v>0</v>
      </c>
      <c r="U71" s="38">
        <f>SUM(F72:T72)</f>
        <v/>
      </c>
    </row>
    <row r="72" ht="15" customHeight="1" s="39">
      <c r="B72" s="70">
        <f>IF('Project Information'!$C$4="EN","Variable","Değişken")</f>
        <v/>
      </c>
      <c r="C72" s="70">
        <f>INDEX(Translations!$D:$ZZ, MATCH(233,Translations!$A:$A,0), MATCH('Project Information'!$C$4,Translations!$D$1:$ZZ$1,0))</f>
        <v/>
      </c>
      <c r="D72" s="70">
        <f>INDEX(Translations!$D:$ZZ, MATCH(337,Translations!$A:$A,0), MATCH('Project Information'!$C$4,Translations!$D$1:$ZZ$1,0))</f>
        <v/>
      </c>
      <c r="E72" s="70">
        <f>INDEX(Translations!$D:$ZZ, MATCH(283,Translations!$A:$A,0), MATCH('Project Information'!$C$4,Translations!$D$1:$ZZ$1,0))</f>
        <v/>
      </c>
      <c r="F72" s="73" t="n">
        <v>1</v>
      </c>
      <c r="G72" s="67" t="n">
        <v>0.5</v>
      </c>
      <c r="H72" s="73" t="n"/>
      <c r="I72" s="73" t="n"/>
      <c r="J72" s="73" t="n">
        <v>2</v>
      </c>
      <c r="K72" s="67" t="n"/>
      <c r="L72" s="73" t="n"/>
      <c r="M72" s="73" t="n"/>
      <c r="N72" s="73" t="n"/>
      <c r="O72" s="73" t="n"/>
      <c r="P72" s="67" t="n"/>
      <c r="Q72" s="73" t="n"/>
      <c r="R72" s="73" t="n"/>
      <c r="S72" s="73" t="n">
        <v>0</v>
      </c>
      <c r="T72" s="73" t="n">
        <v>0</v>
      </c>
      <c r="U72" s="38">
        <f>SUM(F73:T73)</f>
        <v/>
      </c>
    </row>
    <row r="73" ht="15" customHeight="1" s="39">
      <c r="B73" s="70">
        <f>IF('Project Information'!$C$4="EN","Variable","Değişken")</f>
        <v/>
      </c>
      <c r="C73" s="70">
        <f>INDEX(Translations!$D:$ZZ, MATCH(242,Translations!$A:$A,0), MATCH('Project Information'!$C$4,Translations!$D$1:$ZZ$1,0))</f>
        <v/>
      </c>
      <c r="D73" s="70">
        <f>INDEX(Translations!$D:$ZZ, MATCH(346,Translations!$A:$A,0), MATCH('Project Information'!$C$4,Translations!$D$1:$ZZ$1,0))</f>
        <v/>
      </c>
      <c r="E73" s="70">
        <f>INDEX(Translations!$D:$ZZ, MATCH(278,Translations!$A:$A,0), MATCH('Project Information'!$C$4,Translations!$D$1:$ZZ$1,0))</f>
        <v/>
      </c>
      <c r="F73" s="73" t="n"/>
      <c r="G73" s="73" t="n"/>
      <c r="H73" s="73" t="n"/>
      <c r="I73" s="73" t="n">
        <v>12</v>
      </c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>
        <v>0</v>
      </c>
      <c r="T73" s="73" t="n">
        <v>0</v>
      </c>
      <c r="U73" s="38">
        <f>SUM(F74:T74)</f>
        <v/>
      </c>
    </row>
    <row r="74" ht="15" customHeight="1" s="39">
      <c r="B74" s="70">
        <f>IF('Project Information'!$C$4="EN","Variable","Değişken")</f>
        <v/>
      </c>
      <c r="C74" s="70">
        <f>INDEX(Translations!$D:$ZZ, MATCH(242,Translations!$A:$A,0), MATCH('Project Information'!$C$4,Translations!$D$1:$ZZ$1,0))</f>
        <v/>
      </c>
      <c r="D74" s="70">
        <f>INDEX(Translations!$D:$ZZ, MATCH(338,Translations!$A:$A,0), MATCH('Project Information'!$C$4,Translations!$D$1:$ZZ$1,0))</f>
        <v/>
      </c>
      <c r="E74" s="70">
        <f>INDEX(Translations!$D:$ZZ, MATCH(278,Translations!$A:$A,0), MATCH('Project Information'!$C$4,Translations!$D$1:$ZZ$1,0))</f>
        <v/>
      </c>
      <c r="F74" s="73" t="n">
        <v>5</v>
      </c>
      <c r="G74" s="73" t="n">
        <v>2</v>
      </c>
      <c r="H74" s="73" t="n"/>
      <c r="I74" s="73" t="n"/>
      <c r="J74" s="73" t="n">
        <v>4</v>
      </c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>
        <v>0</v>
      </c>
      <c r="T74" s="73" t="n">
        <v>0</v>
      </c>
      <c r="U74" s="38">
        <f>SUM(F75:T75)</f>
        <v/>
      </c>
    </row>
    <row r="75" ht="15" customHeight="1" s="39">
      <c r="B75" s="70">
        <f>IF('Project Information'!$C$4="EN","Variable","Değişken")</f>
        <v/>
      </c>
      <c r="C75" s="70">
        <f>INDEX(Translations!$D:$ZZ, MATCH(217,Translations!$A:$A,0), MATCH('Project Information'!$C$4,Translations!$D$1:$ZZ$1,0))</f>
        <v/>
      </c>
      <c r="D75" s="70">
        <f>INDEX(Translations!$D:$ZZ, MATCH(332,Translations!$A:$A,0), MATCH('Project Information'!$C$4,Translations!$D$1:$ZZ$1,0))</f>
        <v/>
      </c>
      <c r="E75" s="70">
        <f>INDEX(Translations!$D:$ZZ, MATCH(278,Translations!$A:$A,0), MATCH('Project Information'!$C$4,Translations!$D$1:$ZZ$1,0))</f>
        <v/>
      </c>
      <c r="F75" s="73" t="n">
        <v>2</v>
      </c>
      <c r="G75" s="73" t="n">
        <v>2</v>
      </c>
      <c r="H75" s="73" t="n"/>
      <c r="I75" s="73" t="n">
        <v>2</v>
      </c>
      <c r="J75" s="73" t="n">
        <v>2</v>
      </c>
      <c r="K75" s="73" t="n"/>
      <c r="L75" s="73" t="n"/>
      <c r="M75" s="73" t="n">
        <v>1</v>
      </c>
      <c r="N75" s="73" t="n">
        <v>1</v>
      </c>
      <c r="O75" s="73" t="n"/>
      <c r="P75" s="73" t="n"/>
      <c r="Q75" s="73" t="n"/>
      <c r="R75" s="73" t="n"/>
      <c r="S75" s="73" t="n"/>
      <c r="T75" s="73" t="n"/>
      <c r="U75" s="38">
        <f>SUM(F76:T76)</f>
        <v/>
      </c>
    </row>
    <row r="76" ht="15" customHeight="1" s="39">
      <c r="B76" s="70">
        <f>IF('Project Information'!$C$4="EN","Variable","Değişken")</f>
        <v/>
      </c>
      <c r="C76" s="70">
        <f>INDEX(Translations!$D:$ZZ, MATCH(217,Translations!$A:$A,0), MATCH('Project Information'!$C$4,Translations!$D$1:$ZZ$1,0))</f>
        <v/>
      </c>
      <c r="D76" s="70">
        <f>INDEX(Translations!$D:$ZZ, MATCH(339,Translations!$A:$A,0), MATCH('Project Information'!$C$4,Translations!$D$1:$ZZ$1,0))</f>
        <v/>
      </c>
      <c r="E76" s="70">
        <f>INDEX(Translations!$D:$ZZ, MATCH(278,Translations!$A:$A,0), MATCH('Project Information'!$C$4,Translations!$D$1:$ZZ$1,0))</f>
        <v/>
      </c>
      <c r="F76" s="74" t="n">
        <v>1</v>
      </c>
      <c r="G76" s="74" t="n"/>
      <c r="H76" s="74" t="n"/>
      <c r="I76" s="74" t="n">
        <v>2</v>
      </c>
      <c r="J76" s="74" t="n">
        <v>1</v>
      </c>
      <c r="K76" s="74" t="n"/>
      <c r="L76" s="74" t="n"/>
      <c r="M76" s="74" t="n">
        <v>0.5</v>
      </c>
      <c r="N76" s="74" t="n">
        <v>1</v>
      </c>
      <c r="O76" s="74" t="n"/>
      <c r="P76" s="74" t="n"/>
      <c r="Q76" s="74" t="n"/>
      <c r="R76" s="74" t="n"/>
      <c r="S76" s="74" t="n"/>
      <c r="T76" s="74" t="n"/>
      <c r="U76" s="38">
        <f>SUM(F77:T77)</f>
        <v/>
      </c>
    </row>
    <row r="77" ht="15" customHeight="1" s="39">
      <c r="B77" s="70">
        <f>IF('Project Information'!$C$4="EN","Variable","Değişken")</f>
        <v/>
      </c>
      <c r="C77" s="70">
        <f>INDEX(Translations!$D:$ZZ, MATCH(175,Translations!$A:$A,0), MATCH('Project Information'!$C$4,Translations!$D$1:$ZZ$1,0))</f>
        <v/>
      </c>
      <c r="D77" s="70">
        <f>INDEX(Translations!$D:$ZZ, MATCH(346,Translations!$A:$A,0), MATCH('Project Information'!$C$4,Translations!$D$1:$ZZ$1,0))</f>
        <v/>
      </c>
      <c r="E77" s="70">
        <f>INDEX(Translations!$D:$ZZ, MATCH(285,Translations!$A:$A,0), MATCH('Project Information'!$C$4,Translations!$D$1:$ZZ$1,0))</f>
        <v/>
      </c>
      <c r="F77" s="72" t="n"/>
      <c r="G77" s="72" t="n"/>
      <c r="H77" s="72" t="n"/>
      <c r="I77" s="72" t="n">
        <v>12</v>
      </c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>
        <v>0</v>
      </c>
      <c r="T77" s="72" t="n">
        <v>0</v>
      </c>
      <c r="U77" s="38">
        <f>SUM(F79:T79)</f>
        <v/>
      </c>
    </row>
    <row r="78" ht="15" customHeight="1" s="39">
      <c r="B78" s="70">
        <f>IF('Project Information'!$C$4="EN","Variable","Değişken")</f>
        <v/>
      </c>
      <c r="C78" s="70">
        <f>INDEX(Translations!$D:$ZZ, MATCH(175,Translations!$A:$A,0), MATCH('Project Information'!$C$4,Translations!$D$1:$ZZ$1,0))</f>
        <v/>
      </c>
      <c r="D78" s="70">
        <f>INDEX(Translations!$D:$ZZ, MATCH(341,Translations!$A:$A,0), MATCH('Project Information'!$C$4,Translations!$D$1:$ZZ$1,0))</f>
        <v/>
      </c>
      <c r="E78" s="70">
        <f>INDEX(Translations!$D:$ZZ, MATCH(285,Translations!$A:$A,0), MATCH('Project Information'!$C$4,Translations!$D$1:$ZZ$1,0))</f>
        <v/>
      </c>
      <c r="F78" s="73" t="n">
        <v>2</v>
      </c>
      <c r="G78" s="73" t="n">
        <v>1</v>
      </c>
      <c r="H78" s="73" t="n"/>
      <c r="I78" s="73" t="n"/>
      <c r="J78" s="73" t="n">
        <v>2</v>
      </c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>
        <v>0</v>
      </c>
      <c r="T78" s="73" t="n">
        <v>0</v>
      </c>
      <c r="U78" s="38">
        <f>SUM(F80:T80)</f>
        <v/>
      </c>
    </row>
    <row r="79" ht="15" customHeight="1" s="39">
      <c r="B79" s="70">
        <f>IF('Project Information'!$C$4="EN","Variable","Değişken")</f>
        <v/>
      </c>
      <c r="C79" s="70">
        <f>INDEX(Translations!$D:$ZZ, MATCH(175,Translations!$A:$A,0), MATCH('Project Information'!$C$4,Translations!$D$1:$ZZ$1,0))</f>
        <v/>
      </c>
      <c r="D79" s="70">
        <f>INDEX(Translations!$D:$ZZ, MATCH(338,Translations!$A:$A,0), MATCH('Project Information'!$C$4,Translations!$D$1:$ZZ$1,0))</f>
        <v/>
      </c>
      <c r="E79" s="70">
        <f>INDEX(Translations!$D:$ZZ, MATCH(285,Translations!$A:$A,0), MATCH('Project Information'!$C$4,Translations!$D$1:$ZZ$1,0))</f>
        <v/>
      </c>
      <c r="F79" s="73" t="n">
        <v>3</v>
      </c>
      <c r="G79" s="73" t="n">
        <v>2</v>
      </c>
      <c r="H79" s="73" t="n"/>
      <c r="I79" s="73" t="n"/>
      <c r="J79" s="73" t="n">
        <v>4</v>
      </c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>
        <v>0</v>
      </c>
      <c r="T79" s="73" t="n">
        <v>0</v>
      </c>
      <c r="U79" s="38">
        <f>SUM(F81:T81)</f>
        <v/>
      </c>
    </row>
    <row r="80" ht="15" customHeight="1" s="39">
      <c r="B80" s="70">
        <f>IF('Project Information'!$C$4="EN","Variable","Değişken")</f>
        <v/>
      </c>
      <c r="C80" s="70">
        <f>INDEX(Translations!$D:$ZZ, MATCH(175,Translations!$A:$A,0), MATCH('Project Information'!$C$4,Translations!$D$1:$ZZ$1,0))</f>
        <v/>
      </c>
      <c r="D80" s="70">
        <f>INDEX(Translations!$D:$ZZ, MATCH(340,Translations!$A:$A,0), MATCH('Project Information'!$C$4,Translations!$D$1:$ZZ$1,0))</f>
        <v/>
      </c>
      <c r="E80" s="70">
        <f>INDEX(Translations!$D:$ZZ, MATCH(285,Translations!$A:$A,0), MATCH('Project Information'!$C$4,Translations!$D$1:$ZZ$1,0))</f>
        <v/>
      </c>
      <c r="F80" s="73" t="n">
        <v>2</v>
      </c>
      <c r="G80" s="73" t="n">
        <v>1</v>
      </c>
      <c r="H80" s="73" t="n"/>
      <c r="I80" s="73" t="n"/>
      <c r="J80" s="73" t="n">
        <v>2</v>
      </c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>
        <v>0</v>
      </c>
      <c r="T80" s="73" t="n">
        <v>0</v>
      </c>
      <c r="U80" s="38">
        <f>SUM(F82:T82)</f>
        <v/>
      </c>
    </row>
    <row r="81" ht="15" customHeight="1" s="39">
      <c r="B81" s="70">
        <f>IF('Project Information'!$C$4="EN","Variable","Değişken")</f>
        <v/>
      </c>
      <c r="C81" s="70">
        <f>INDEX(Translations!$D:$ZZ, MATCH(243,Translations!$A:$A,0), MATCH('Project Information'!$C$4,Translations!$D$1:$ZZ$1,0))</f>
        <v/>
      </c>
      <c r="D81" s="70">
        <f>INDEX(Translations!$D:$ZZ, MATCH(338,Translations!$A:$A,0), MATCH('Project Information'!$C$4,Translations!$D$1:$ZZ$1,0))</f>
        <v/>
      </c>
      <c r="E81" s="70">
        <f>INDEX(Translations!$D:$ZZ, MATCH(278,Translations!$A:$A,0), MATCH('Project Information'!$C$4,Translations!$D$1:$ZZ$1,0))</f>
        <v/>
      </c>
      <c r="F81" s="73" t="n">
        <v>10</v>
      </c>
      <c r="G81" s="73" t="n">
        <v>1</v>
      </c>
      <c r="H81" s="73" t="n"/>
      <c r="I81" s="73" t="n"/>
      <c r="J81" s="73" t="n"/>
      <c r="K81" s="73" t="n"/>
      <c r="L81" s="73" t="n"/>
      <c r="M81" s="73" t="n">
        <v>1</v>
      </c>
      <c r="N81" s="73" t="n">
        <v>3</v>
      </c>
      <c r="O81" s="73" t="n"/>
      <c r="P81" s="73" t="n"/>
      <c r="Q81" s="73" t="n"/>
      <c r="R81" s="73" t="n"/>
      <c r="S81" s="73" t="n"/>
      <c r="T81" s="73" t="n"/>
      <c r="U81" s="38">
        <f>SUM(F83:T83)</f>
        <v/>
      </c>
    </row>
    <row r="82" ht="15" customHeight="1" s="39">
      <c r="B82" s="70">
        <f>IF('Project Information'!$C$4="EN","Variable","Değişken")</f>
        <v/>
      </c>
      <c r="C82" s="70">
        <f>INDEX(Translations!$D:$ZZ, MATCH(286,Translations!$A:$A,0), MATCH('Project Information'!$C$4,Translations!$D$1:$ZZ$1,0))</f>
        <v/>
      </c>
      <c r="D82" s="70">
        <f>INDEX(Translations!$D:$ZZ, MATCH(337,Translations!$A:$A,0), MATCH('Project Information'!$C$4,Translations!$D$1:$ZZ$1,0))</f>
        <v/>
      </c>
      <c r="E82" s="70">
        <f>INDEX(Translations!$D:$ZZ, MATCH(278,Translations!$A:$A,0), MATCH('Project Information'!$C$4,Translations!$D$1:$ZZ$1,0))</f>
        <v/>
      </c>
      <c r="F82" s="73" t="n">
        <v>2</v>
      </c>
      <c r="G82" s="73" t="n">
        <v>1</v>
      </c>
      <c r="H82" s="73" t="n"/>
      <c r="I82" s="73" t="n">
        <v>2</v>
      </c>
      <c r="J82" s="73" t="n">
        <v>2</v>
      </c>
      <c r="K82" s="73" t="n">
        <v>2</v>
      </c>
      <c r="L82" s="73" t="n"/>
      <c r="M82" s="73" t="n">
        <v>0.5</v>
      </c>
      <c r="N82" s="73" t="n">
        <v>1</v>
      </c>
      <c r="O82" s="73" t="n"/>
      <c r="P82" s="73" t="n">
        <v>1</v>
      </c>
      <c r="Q82" s="73" t="n">
        <v>2</v>
      </c>
      <c r="R82" s="73" t="n">
        <v>2</v>
      </c>
      <c r="S82" s="73" t="n"/>
      <c r="T82" s="73" t="n"/>
      <c r="U82" s="38">
        <f>SUM(F84:T84)</f>
        <v/>
      </c>
    </row>
    <row r="83" ht="15" customHeight="1" s="39">
      <c r="B83" s="70">
        <f>IF('Project Information'!$C$4="EN","Variable","Değişken")</f>
        <v/>
      </c>
      <c r="C83" s="70">
        <f>INDEX(Translations!$D:$ZZ, MATCH(257,Translations!$A:$A,0), MATCH('Project Information'!$C$4,Translations!$D$1:$ZZ$1,0))</f>
        <v/>
      </c>
      <c r="D83" s="70">
        <f>INDEX(Translations!$D:$ZZ, MATCH(344,Translations!$A:$A,0), MATCH('Project Information'!$C$4,Translations!$D$1:$ZZ$1,0))</f>
        <v/>
      </c>
      <c r="E83" s="70">
        <f>INDEX(Translations!$D:$ZZ, MATCH(278,Translations!$A:$A,0), MATCH('Project Information'!$C$4,Translations!$D$1:$ZZ$1,0))</f>
        <v/>
      </c>
      <c r="F83" s="73" t="n">
        <v>4</v>
      </c>
      <c r="G83" s="73" t="n">
        <v>2</v>
      </c>
      <c r="H83" s="73" t="n"/>
      <c r="I83" s="73" t="n">
        <v>1</v>
      </c>
      <c r="J83" s="73" t="n">
        <v>2</v>
      </c>
      <c r="K83" s="73" t="n"/>
      <c r="L83" s="73" t="n"/>
      <c r="M83" s="73" t="n">
        <v>1</v>
      </c>
      <c r="N83" s="73" t="n">
        <v>2</v>
      </c>
      <c r="O83" s="73" t="n"/>
      <c r="P83" s="73" t="n"/>
      <c r="Q83" s="73" t="n"/>
      <c r="R83" s="73" t="n"/>
      <c r="S83" s="73" t="n"/>
      <c r="T83" s="73" t="n"/>
      <c r="U83" s="38">
        <f>SUM(F85:T85)</f>
        <v/>
      </c>
    </row>
    <row r="84" ht="15" customHeight="1" s="39">
      <c r="B84" s="70">
        <f>IF('Project Information'!$C$4="EN","Variable","Değişken")</f>
        <v/>
      </c>
      <c r="C84" s="70">
        <f>INDEX(Translations!$D:$ZZ, MATCH(253,Translations!$A:$A,0), MATCH('Project Information'!$C$4,Translations!$D$1:$ZZ$1,0))</f>
        <v/>
      </c>
      <c r="D84" s="70">
        <f>INDEX(Translations!$D:$ZZ, MATCH(343,Translations!$A:$A,0), MATCH('Project Information'!$C$4,Translations!$D$1:$ZZ$1,0))</f>
        <v/>
      </c>
      <c r="E84" s="70">
        <f>INDEX(Translations!$D:$ZZ, MATCH(64,Translations!$A:$A,0), MATCH('Project Information'!$C$4,Translations!$D$1:$ZZ$1,0))</f>
        <v/>
      </c>
      <c r="F84" s="73" t="n">
        <v>4</v>
      </c>
      <c r="G84" s="73" t="n">
        <v>2</v>
      </c>
      <c r="H84" s="73" t="n"/>
      <c r="I84" s="73" t="n">
        <v>1</v>
      </c>
      <c r="J84" s="73" t="n">
        <v>2</v>
      </c>
      <c r="K84" s="73" t="n"/>
      <c r="L84" s="73" t="n"/>
      <c r="M84" s="73" t="n">
        <v>1</v>
      </c>
      <c r="N84" s="73" t="n">
        <v>2</v>
      </c>
      <c r="O84" s="73" t="n"/>
      <c r="P84" s="73" t="n"/>
      <c r="Q84" s="73" t="n"/>
      <c r="R84" s="73" t="n"/>
      <c r="S84" s="73" t="n"/>
      <c r="T84" s="73" t="n"/>
      <c r="U84" s="38">
        <f>SUM(F86:T86)</f>
        <v/>
      </c>
    </row>
    <row r="85" ht="15" customHeight="1" s="39">
      <c r="B85" s="70">
        <f>IF('Project Information'!$C$4="EN","Variable","Değişken")</f>
        <v/>
      </c>
      <c r="C85" s="70">
        <f>INDEX(Translations!$D:$ZZ, MATCH(209,Translations!$A:$A,0), MATCH('Project Information'!$C$4,Translations!$D$1:$ZZ$1,0))</f>
        <v/>
      </c>
      <c r="D85" s="70">
        <f>INDEX(Translations!$D:$ZZ, MATCH(346,Translations!$A:$A,0), MATCH('Project Information'!$C$4,Translations!$D$1:$ZZ$1,0))</f>
        <v/>
      </c>
      <c r="E85" s="70">
        <f>INDEX(Translations!$D:$ZZ, MATCH(278,Translations!$A:$A,0), MATCH('Project Information'!$C$4,Translations!$D$1:$ZZ$1,0))</f>
        <v/>
      </c>
      <c r="F85" s="73" t="n"/>
      <c r="G85" s="73" t="n"/>
      <c r="H85" s="73" t="n"/>
      <c r="I85" s="73" t="n">
        <v>20</v>
      </c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>
        <v>0</v>
      </c>
      <c r="T85" s="73" t="n">
        <v>0</v>
      </c>
      <c r="U85" s="38">
        <f>SUM(F87:T87)</f>
        <v/>
      </c>
    </row>
    <row r="86" ht="15" customHeight="1" s="39">
      <c r="B86" s="70">
        <f>IF('Project Information'!$C$4="EN","Variable","Değişken")</f>
        <v/>
      </c>
      <c r="C86" s="70">
        <f>INDEX(Translations!$D:$ZZ, MATCH(209,Translations!$A:$A,0), MATCH('Project Information'!$C$4,Translations!$D$1:$ZZ$1,0))</f>
        <v/>
      </c>
      <c r="D86" s="70">
        <f>INDEX(Translations!$D:$ZZ, MATCH(341,Translations!$A:$A,0), MATCH('Project Information'!$C$4,Translations!$D$1:$ZZ$1,0))</f>
        <v/>
      </c>
      <c r="E86" s="70">
        <f>INDEX(Translations!$D:$ZZ, MATCH(278,Translations!$A:$A,0), MATCH('Project Information'!$C$4,Translations!$D$1:$ZZ$1,0))</f>
        <v/>
      </c>
      <c r="F86" s="73" t="n">
        <v>4</v>
      </c>
      <c r="G86" s="73" t="n">
        <v>2</v>
      </c>
      <c r="H86" s="73" t="n"/>
      <c r="I86" s="73" t="n"/>
      <c r="J86" s="73" t="n">
        <v>8</v>
      </c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>
        <v>0</v>
      </c>
      <c r="T86" s="73" t="n">
        <v>0</v>
      </c>
      <c r="U86" s="38">
        <f>SUM(F88:T88)</f>
        <v/>
      </c>
    </row>
    <row r="87" ht="15" customHeight="1" s="39">
      <c r="B87" s="70">
        <f>IF('Project Information'!$C$4="EN","Variable","Değişken")</f>
        <v/>
      </c>
      <c r="C87" s="70">
        <f>INDEX(Translations!$D:$ZZ, MATCH(195,Translations!$A:$A,0), MATCH('Project Information'!$C$4,Translations!$D$1:$ZZ$1,0))</f>
        <v/>
      </c>
      <c r="D87" s="70">
        <f>INDEX(Translations!$D:$ZZ, MATCH(346,Translations!$A:$A,0), MATCH('Project Information'!$C$4,Translations!$D$1:$ZZ$1,0))</f>
        <v/>
      </c>
      <c r="E87" s="70">
        <f>INDEX(Translations!$D:$ZZ, MATCH(278,Translations!$A:$A,0), MATCH('Project Information'!$C$4,Translations!$D$1:$ZZ$1,0))</f>
        <v/>
      </c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>
        <v>5</v>
      </c>
      <c r="O87" s="73" t="n"/>
      <c r="P87" s="73" t="n"/>
      <c r="Q87" s="73" t="n"/>
      <c r="R87" s="73" t="n"/>
      <c r="S87" s="73" t="n"/>
      <c r="T87" s="73" t="n"/>
      <c r="U87" s="38">
        <f>SUM(F89:T89)</f>
        <v/>
      </c>
    </row>
    <row r="88" ht="15" customHeight="1" s="39">
      <c r="B88" s="70">
        <f>IF('Project Information'!$C$4="EN","Variable","Değişken")</f>
        <v/>
      </c>
      <c r="C88" s="70">
        <f>INDEX(Translations!$D:$ZZ, MATCH(169,Translations!$A:$A,0), MATCH('Project Information'!$C$4,Translations!$D$1:$ZZ$1,0))</f>
        <v/>
      </c>
      <c r="D88" s="70">
        <f>INDEX(Translations!$D:$ZZ, MATCH(346,Translations!$A:$A,0), MATCH('Project Information'!$C$4,Translations!$D$1:$ZZ$1,0))</f>
        <v/>
      </c>
      <c r="E88" s="70">
        <f>INDEX(Translations!$D:$ZZ, MATCH(287,Translations!$A:$A,0), MATCH('Project Information'!$C$4,Translations!$D$1:$ZZ$1,0))</f>
        <v/>
      </c>
      <c r="F88" s="73" t="n"/>
      <c r="G88" s="73" t="n"/>
      <c r="H88" s="73" t="n"/>
      <c r="I88" s="73" t="n">
        <v>14</v>
      </c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>
        <v>0</v>
      </c>
      <c r="T88" s="73" t="n">
        <v>0</v>
      </c>
      <c r="U88" s="38">
        <f>SUM(F90:T90)</f>
        <v/>
      </c>
    </row>
    <row r="89" ht="15" customHeight="1" s="39">
      <c r="B89" s="70">
        <f>IF('Project Information'!$C$4="EN","Variable","Değişken")</f>
        <v/>
      </c>
      <c r="C89" s="70">
        <f>INDEX(Translations!$D:$ZZ, MATCH(288,Translations!$A:$A,0), MATCH('Project Information'!$C$4,Translations!$D$1:$ZZ$1,0))</f>
        <v/>
      </c>
      <c r="D89" s="70">
        <f>INDEX(Translations!$D:$ZZ, MATCH(338,Translations!$A:$A,0), MATCH('Project Information'!$C$4,Translations!$D$1:$ZZ$1,0))</f>
        <v/>
      </c>
      <c r="E89" s="70">
        <f>INDEX(Translations!$D:$ZZ, MATCH(287,Translations!$A:$A,0), MATCH('Project Information'!$C$4,Translations!$D$1:$ZZ$1,0))</f>
        <v/>
      </c>
      <c r="F89" s="73" t="n">
        <v>3</v>
      </c>
      <c r="G89" s="73" t="n">
        <v>2</v>
      </c>
      <c r="H89" s="73" t="n"/>
      <c r="I89" s="73" t="n"/>
      <c r="J89" s="73" t="n">
        <v>4</v>
      </c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>
        <v>0</v>
      </c>
      <c r="T89" s="73" t="n">
        <v>0</v>
      </c>
      <c r="U89" s="38">
        <f>SUM(F91:T91)</f>
        <v/>
      </c>
    </row>
    <row r="90" ht="15" customHeight="1" s="39">
      <c r="B90" s="70">
        <f>IF('Project Information'!$C$4="EN","Variable","Değişken")</f>
        <v/>
      </c>
      <c r="C90" s="70">
        <f>INDEX(Translations!$D:$ZZ, MATCH(207,Translations!$A:$A,0), MATCH('Project Information'!$C$4,Translations!$D$1:$ZZ$1,0))</f>
        <v/>
      </c>
      <c r="D90" s="70">
        <f>INDEX(Translations!$D:$ZZ, MATCH(341,Translations!$A:$A,0), MATCH('Project Information'!$C$4,Translations!$D$1:$ZZ$1,0))</f>
        <v/>
      </c>
      <c r="E90" s="70">
        <f>INDEX(Translations!$D:$ZZ, MATCH(278,Translations!$A:$A,0), MATCH('Project Information'!$C$4,Translations!$D$1:$ZZ$1,0))</f>
        <v/>
      </c>
      <c r="F90" s="73" t="n">
        <v>-4</v>
      </c>
      <c r="G90" s="73" t="n">
        <v>-1</v>
      </c>
      <c r="H90" s="73" t="n"/>
      <c r="I90" s="73" t="n">
        <v>-2</v>
      </c>
      <c r="J90" s="73" t="n">
        <v>-1</v>
      </c>
      <c r="K90" s="73" t="n"/>
      <c r="L90" s="73" t="n"/>
      <c r="M90" s="73" t="n">
        <v>-1</v>
      </c>
      <c r="N90" s="73" t="n">
        <v>-1</v>
      </c>
      <c r="O90" s="73" t="n"/>
      <c r="P90" s="73" t="n"/>
      <c r="Q90" s="73" t="n"/>
      <c r="R90" s="73" t="n"/>
      <c r="S90" s="73" t="n"/>
      <c r="T90" s="73" t="n"/>
      <c r="U90" s="38">
        <f>SUM(F92:T92)</f>
        <v/>
      </c>
    </row>
    <row r="91" ht="15" customHeight="1" s="39">
      <c r="B91" s="70">
        <f>IF('Project Information'!$C$4="EN","Variable","Değişken")</f>
        <v/>
      </c>
      <c r="C91" s="70">
        <f>INDEX(Translations!$D:$ZZ, MATCH(267,Translations!$A:$A,0), MATCH('Project Information'!$C$4,Translations!$D$1:$ZZ$1,0))</f>
        <v/>
      </c>
      <c r="D91" s="70">
        <f>INDEX(Translations!$D:$ZZ, MATCH(346,Translations!$A:$A,0), MATCH('Project Information'!$C$4,Translations!$D$1:$ZZ$1,0))</f>
        <v/>
      </c>
      <c r="E91" s="70">
        <f>INDEX(Translations!$D:$ZZ, MATCH(278,Translations!$A:$A,0), MATCH('Project Information'!$C$4,Translations!$D$1:$ZZ$1,0))</f>
        <v/>
      </c>
      <c r="F91" s="73" t="n"/>
      <c r="G91" s="73" t="n"/>
      <c r="H91" s="73" t="n"/>
      <c r="I91" s="73" t="n">
        <v>8</v>
      </c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>
        <v>0</v>
      </c>
      <c r="T91" s="73" t="n">
        <v>0</v>
      </c>
      <c r="U91" s="38">
        <f>SUM(F93:T93)</f>
        <v/>
      </c>
    </row>
    <row r="92" ht="15" customHeight="1" s="39">
      <c r="B92" s="70">
        <f>IF('Project Information'!$C$4="EN","Variable","Değişken")</f>
        <v/>
      </c>
      <c r="C92" s="70">
        <f>INDEX(Translations!$D:$ZZ, MATCH(267,Translations!$A:$A,0), MATCH('Project Information'!$C$4,Translations!$D$1:$ZZ$1,0))</f>
        <v/>
      </c>
      <c r="D92" s="70">
        <f>INDEX(Translations!$D:$ZZ, MATCH(338,Translations!$A:$A,0), MATCH('Project Information'!$C$4,Translations!$D$1:$ZZ$1,0))</f>
        <v/>
      </c>
      <c r="E92" s="70">
        <f>INDEX(Translations!$D:$ZZ, MATCH(278,Translations!$A:$A,0), MATCH('Project Information'!$C$4,Translations!$D$1:$ZZ$1,0))</f>
        <v/>
      </c>
      <c r="F92" s="73" t="n">
        <v>2</v>
      </c>
      <c r="G92" s="73" t="n">
        <v>1</v>
      </c>
      <c r="H92" s="73" t="n"/>
      <c r="I92" s="73" t="n"/>
      <c r="J92" s="73" t="n">
        <v>3</v>
      </c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>
        <v>0</v>
      </c>
      <c r="T92" s="73" t="n">
        <v>0</v>
      </c>
      <c r="U92" s="38">
        <f>SUM(F94:T94)</f>
        <v/>
      </c>
    </row>
    <row r="93" ht="15" customHeight="1" s="39">
      <c r="B93" s="70">
        <f>IF('Project Information'!$C$4="EN","Variable","Değişken")</f>
        <v/>
      </c>
      <c r="C93" s="70">
        <f>INDEX(Translations!$D:$ZZ, MATCH(289,Translations!$A:$A,0), MATCH('Project Information'!$C$4,Translations!$D$1:$ZZ$1,0))</f>
        <v/>
      </c>
      <c r="D93" s="70">
        <f>INDEX(Translations!$D:$ZZ, MATCH(333,Translations!$A:$A,0), MATCH('Project Information'!$C$4,Translations!$D$1:$ZZ$1,0))</f>
        <v/>
      </c>
      <c r="E93" s="70">
        <f>INDEX(Translations!$D:$ZZ, MATCH(278,Translations!$A:$A,0), MATCH('Project Information'!$C$4,Translations!$D$1:$ZZ$1,0))</f>
        <v/>
      </c>
      <c r="F93" s="73" t="n">
        <v>2</v>
      </c>
      <c r="G93" s="73" t="n"/>
      <c r="H93" s="73" t="n"/>
      <c r="I93" s="73" t="n">
        <v>1</v>
      </c>
      <c r="J93" s="73" t="n">
        <v>0.5</v>
      </c>
      <c r="K93" s="73" t="n"/>
      <c r="L93" s="73" t="n"/>
      <c r="M93" s="73" t="n">
        <v>0.5</v>
      </c>
      <c r="N93" s="73" t="n">
        <v>0.5</v>
      </c>
      <c r="O93" s="73" t="n"/>
      <c r="P93" s="73" t="n"/>
      <c r="Q93" s="73" t="n">
        <v>1</v>
      </c>
      <c r="R93" s="73" t="n">
        <v>2</v>
      </c>
      <c r="S93" s="73" t="n"/>
      <c r="T93" s="73" t="n"/>
      <c r="U93" s="38">
        <f>SUM(F96:T96)</f>
        <v/>
      </c>
    </row>
    <row r="94" ht="15" customHeight="1" s="39">
      <c r="B94" s="70">
        <f>IF('Project Information'!$C$4="EN","Variable","Değişken")</f>
        <v/>
      </c>
      <c r="C94" s="70">
        <f>INDEX(Translations!$D:$ZZ, MATCH(222,Translations!$A:$A,0), MATCH('Project Information'!$C$4,Translations!$D$1:$ZZ$1,0))</f>
        <v/>
      </c>
      <c r="D94" s="70">
        <f>INDEX(Translations!$D:$ZZ, MATCH(339,Translations!$A:$A,0), MATCH('Project Information'!$C$4,Translations!$D$1:$ZZ$1,0))</f>
        <v/>
      </c>
      <c r="E94" s="70">
        <f>INDEX(Translations!$D:$ZZ, MATCH(278,Translations!$A:$A,0), MATCH('Project Information'!$C$4,Translations!$D$1:$ZZ$1,0))</f>
        <v/>
      </c>
      <c r="F94" s="73" t="n">
        <v>2</v>
      </c>
      <c r="G94" s="73" t="n"/>
      <c r="H94" s="73" t="n"/>
      <c r="I94" s="73" t="n">
        <v>1</v>
      </c>
      <c r="J94" s="73" t="n">
        <v>0.5</v>
      </c>
      <c r="K94" s="73" t="n"/>
      <c r="L94" s="73" t="n"/>
      <c r="M94" s="73" t="n">
        <v>0.5</v>
      </c>
      <c r="N94" s="73" t="n">
        <v>0.5</v>
      </c>
      <c r="O94" s="73" t="n"/>
      <c r="P94" s="73" t="n"/>
      <c r="Q94" s="73" t="n">
        <v>1</v>
      </c>
      <c r="R94" s="73" t="n">
        <v>2</v>
      </c>
      <c r="S94" s="73" t="n"/>
      <c r="T94" s="73" t="n"/>
      <c r="U94" s="38">
        <f>SUM(F97:T97)</f>
        <v/>
      </c>
    </row>
    <row r="95" ht="15" customHeight="1" s="39">
      <c r="B95" s="70">
        <f>IF('Project Information'!$C$4="EN","Variable","Değişken")</f>
        <v/>
      </c>
      <c r="C95" s="70">
        <f>INDEX(Translations!$D:$ZZ, MATCH(199,Translations!$A:$A,0), MATCH('Project Information'!$C$4,Translations!$D$1:$ZZ$1,0))</f>
        <v/>
      </c>
      <c r="D95" s="70">
        <f>INDEX(Translations!$D:$ZZ, MATCH(346,Translations!$A:$A,0), MATCH('Project Information'!$C$4,Translations!$D$1:$ZZ$1,0))</f>
        <v/>
      </c>
      <c r="E95" s="70">
        <f>INDEX(Translations!$D:$ZZ, MATCH(278,Translations!$A:$A,0), MATCH('Project Information'!$C$4,Translations!$D$1:$ZZ$1,0))</f>
        <v/>
      </c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>
        <v>5</v>
      </c>
      <c r="O95" s="73" t="n"/>
      <c r="P95" s="73" t="n"/>
      <c r="Q95" s="73" t="n"/>
      <c r="R95" s="73" t="n"/>
      <c r="S95" s="73" t="n"/>
      <c r="T95" s="73" t="n"/>
      <c r="U95" s="38">
        <f>SUM(F98:T98)</f>
        <v/>
      </c>
    </row>
    <row r="96" ht="15" customHeight="1" s="39">
      <c r="B96" s="70">
        <f>IF('Project Information'!$C$4="EN","Variable","Değişken")</f>
        <v/>
      </c>
      <c r="C96" s="70">
        <f>INDEX(Translations!$D:$ZZ, MATCH(28,Translations!$A:$A,0), MATCH('Project Information'!$C$4,Translations!$D$1:$ZZ$1,0))</f>
        <v/>
      </c>
      <c r="D96" s="70">
        <f>INDEX(Translations!$D:$ZZ, MATCH(339,Translations!$A:$A,0), MATCH('Project Information'!$C$4,Translations!$D$1:$ZZ$1,0))</f>
        <v/>
      </c>
      <c r="E96" s="70">
        <f>INDEX(Translations!$D:$ZZ, MATCH(290,Translations!$A:$A,0), MATCH('Project Information'!$C$4,Translations!$D$1:$ZZ$1,0))</f>
        <v/>
      </c>
      <c r="F96" s="73" t="n">
        <v>2</v>
      </c>
      <c r="G96" s="73" t="n">
        <v>1</v>
      </c>
      <c r="H96" s="73" t="n"/>
      <c r="I96" s="73" t="n">
        <v>1</v>
      </c>
      <c r="J96" s="73" t="n">
        <v>0.5</v>
      </c>
      <c r="K96" s="73" t="n"/>
      <c r="L96" s="73" t="n"/>
      <c r="M96" s="73" t="n">
        <v>0.5</v>
      </c>
      <c r="N96" s="73" t="n">
        <v>1</v>
      </c>
      <c r="O96" s="73" t="n">
        <v>0.125</v>
      </c>
      <c r="P96" s="73" t="n"/>
      <c r="Q96" s="73" t="n"/>
      <c r="R96" s="73" t="n"/>
      <c r="S96" s="73" t="n"/>
      <c r="T96" s="73" t="n"/>
      <c r="U96" s="38">
        <f>SUM(F99:T99)</f>
        <v/>
      </c>
    </row>
    <row r="97" ht="15" customHeight="1" s="39">
      <c r="B97" s="70">
        <f>IF('Project Information'!$C$4="EN","Variable","Değişken")</f>
        <v/>
      </c>
      <c r="C97" s="70">
        <f>INDEX(Translations!$D:$ZZ, MATCH(164,Translations!$A:$A,0), MATCH('Project Information'!$C$4,Translations!$D$1:$ZZ$1,0))</f>
        <v/>
      </c>
      <c r="D97" s="70">
        <f>INDEX(Translations!$D:$ZZ, MATCH(333,Translations!$A:$A,0), MATCH('Project Information'!$C$4,Translations!$D$1:$ZZ$1,0))</f>
        <v/>
      </c>
      <c r="E97" s="70">
        <f>INDEX(Translations!$D:$ZZ, MATCH(291,Translations!$A:$A,0), MATCH('Project Information'!$C$4,Translations!$D$1:$ZZ$1,0))</f>
        <v/>
      </c>
      <c r="F97" s="73" t="n"/>
      <c r="G97" s="73" t="n"/>
      <c r="H97" s="73" t="n"/>
      <c r="I97" s="73" t="n">
        <v>1</v>
      </c>
      <c r="J97" s="73" t="n">
        <v>1</v>
      </c>
      <c r="K97" s="73" t="n"/>
      <c r="L97" s="73" t="n"/>
      <c r="M97" s="73" t="n">
        <v>0.5</v>
      </c>
      <c r="N97" s="73" t="n">
        <v>0.5</v>
      </c>
      <c r="O97" s="73" t="n">
        <v>0.125</v>
      </c>
      <c r="P97" s="73" t="n"/>
      <c r="Q97" s="73" t="n"/>
      <c r="R97" s="73" t="n"/>
      <c r="S97" s="73" t="n"/>
      <c r="T97" s="73" t="n"/>
      <c r="U97" s="38">
        <f>SUM(F100:T100)</f>
        <v/>
      </c>
    </row>
    <row r="98" ht="15" customHeight="1" s="39">
      <c r="B98" s="70">
        <f>IF('Project Information'!$C$4="EN","Variable","Değişken")</f>
        <v/>
      </c>
      <c r="C98" s="70">
        <f>INDEX(Translations!$D:$ZZ, MATCH(164,Translations!$A:$A,0), MATCH('Project Information'!$C$4,Translations!$D$1:$ZZ$1,0))</f>
        <v/>
      </c>
      <c r="D98" s="70">
        <f>INDEX(Translations!$D:$ZZ, MATCH(332,Translations!$A:$A,0), MATCH('Project Information'!$C$4,Translations!$D$1:$ZZ$1,0))</f>
        <v/>
      </c>
      <c r="E98" s="70">
        <f>INDEX(Translations!$D:$ZZ, MATCH(291,Translations!$A:$A,0), MATCH('Project Information'!$C$4,Translations!$D$1:$ZZ$1,0))</f>
        <v/>
      </c>
      <c r="F98" s="73" t="n"/>
      <c r="G98" s="73" t="n"/>
      <c r="H98" s="73" t="n"/>
      <c r="I98" s="73" t="n">
        <v>1</v>
      </c>
      <c r="J98" s="73" t="n">
        <v>1</v>
      </c>
      <c r="K98" s="73" t="n"/>
      <c r="L98" s="73" t="n"/>
      <c r="M98" s="73" t="n">
        <v>0.5</v>
      </c>
      <c r="N98" s="73" t="n">
        <v>0.5</v>
      </c>
      <c r="O98" s="73" t="n">
        <v>0.125</v>
      </c>
      <c r="P98" s="73" t="n"/>
      <c r="Q98" s="73" t="n"/>
      <c r="R98" s="73" t="n"/>
      <c r="S98" s="73" t="n"/>
      <c r="T98" s="73" t="n"/>
      <c r="U98" s="38">
        <f>SUM(F101:T101)</f>
        <v/>
      </c>
    </row>
    <row r="99" ht="15" customHeight="1" s="39">
      <c r="B99" s="70">
        <f>IF('Project Information'!$C$4="EN","Variable","Değişken")</f>
        <v/>
      </c>
      <c r="C99" s="70">
        <f>INDEX(Translations!$D:$ZZ, MATCH(164,Translations!$A:$A,0), MATCH('Project Information'!$C$4,Translations!$D$1:$ZZ$1,0))</f>
        <v/>
      </c>
      <c r="D99" s="70">
        <f>INDEX(Translations!$D:$ZZ, MATCH(337,Translations!$A:$A,0), MATCH('Project Information'!$C$4,Translations!$D$1:$ZZ$1,0))</f>
        <v/>
      </c>
      <c r="E99" s="70">
        <f>INDEX(Translations!$D:$ZZ, MATCH(291,Translations!$A:$A,0), MATCH('Project Information'!$C$4,Translations!$D$1:$ZZ$1,0))</f>
        <v/>
      </c>
      <c r="F99" s="73" t="n"/>
      <c r="G99" s="73" t="n"/>
      <c r="H99" s="73" t="n"/>
      <c r="I99" s="73" t="n">
        <v>1</v>
      </c>
      <c r="J99" s="73" t="n">
        <v>1</v>
      </c>
      <c r="K99" s="73" t="n"/>
      <c r="L99" s="73" t="n"/>
      <c r="M99" s="73" t="n">
        <v>0.5</v>
      </c>
      <c r="N99" s="73" t="n">
        <v>0.5</v>
      </c>
      <c r="O99" s="73" t="n">
        <v>0.125</v>
      </c>
      <c r="P99" s="73" t="n"/>
      <c r="Q99" s="73" t="n"/>
      <c r="R99" s="73" t="n"/>
      <c r="S99" s="73" t="n"/>
      <c r="T99" s="73" t="n"/>
      <c r="U99" s="38">
        <f>SUM(F102:T102)</f>
        <v/>
      </c>
    </row>
    <row r="100" ht="15" customHeight="1" s="39">
      <c r="B100" s="70">
        <f>IF('Project Information'!$C$4="EN","Variable","Değişken")</f>
        <v/>
      </c>
      <c r="C100" s="70">
        <f>INDEX(Translations!$D:$ZZ, MATCH(164,Translations!$A:$A,0), MATCH('Project Information'!$C$4,Translations!$D$1:$ZZ$1,0))</f>
        <v/>
      </c>
      <c r="D100" s="70">
        <f>INDEX(Translations!$D:$ZZ, MATCH(339,Translations!$A:$A,0), MATCH('Project Information'!$C$4,Translations!$D$1:$ZZ$1,0))</f>
        <v/>
      </c>
      <c r="E100" s="70">
        <f>INDEX(Translations!$D:$ZZ, MATCH(291,Translations!$A:$A,0), MATCH('Project Information'!$C$4,Translations!$D$1:$ZZ$1,0))</f>
        <v/>
      </c>
      <c r="F100" s="73" t="n"/>
      <c r="G100" s="73" t="n"/>
      <c r="H100" s="73" t="n"/>
      <c r="I100" s="73" t="n">
        <v>1</v>
      </c>
      <c r="J100" s="73" t="n">
        <v>1</v>
      </c>
      <c r="K100" s="73" t="n"/>
      <c r="L100" s="73" t="n"/>
      <c r="M100" s="73" t="n">
        <v>0.5</v>
      </c>
      <c r="N100" s="73" t="n">
        <v>0.5</v>
      </c>
      <c r="O100" s="73" t="n">
        <v>0.125</v>
      </c>
      <c r="P100" s="73" t="n"/>
      <c r="Q100" s="73" t="n"/>
      <c r="R100" s="73" t="n"/>
      <c r="S100" s="73" t="n"/>
      <c r="T100" s="73" t="n"/>
      <c r="U100" s="38">
        <f>SUM(F103:T103)</f>
        <v/>
      </c>
    </row>
    <row r="101" ht="15" customHeight="1" s="39">
      <c r="B101" s="70">
        <f>IF('Project Information'!$C$4="EN","Variable","Değişken")</f>
        <v/>
      </c>
      <c r="C101" s="70">
        <f>INDEX(Translations!$D:$ZZ, MATCH(164,Translations!$A:$A,0), MATCH('Project Information'!$C$4,Translations!$D$1:$ZZ$1,0))</f>
        <v/>
      </c>
      <c r="D101" s="70">
        <f>INDEX(Translations!$D:$ZZ, MATCH(334,Translations!$A:$A,0), MATCH('Project Information'!$C$4,Translations!$D$1:$ZZ$1,0))</f>
        <v/>
      </c>
      <c r="E101" s="70">
        <f>INDEX(Translations!$D:$ZZ, MATCH(291,Translations!$A:$A,0), MATCH('Project Information'!$C$4,Translations!$D$1:$ZZ$1,0))</f>
        <v/>
      </c>
      <c r="F101" s="73" t="n"/>
      <c r="G101" s="73" t="n"/>
      <c r="H101" s="73" t="n"/>
      <c r="I101" s="73" t="n">
        <v>1</v>
      </c>
      <c r="J101" s="73" t="n">
        <v>1</v>
      </c>
      <c r="K101" s="73" t="n"/>
      <c r="L101" s="73" t="n"/>
      <c r="M101" s="73" t="n">
        <v>0.5</v>
      </c>
      <c r="N101" s="73" t="n">
        <v>0.5</v>
      </c>
      <c r="O101" s="73" t="n">
        <v>0.125</v>
      </c>
      <c r="P101" s="73" t="n"/>
      <c r="Q101" s="73" t="n"/>
      <c r="R101" s="73" t="n"/>
      <c r="S101" s="73" t="n"/>
      <c r="T101" s="73" t="n"/>
      <c r="U101" s="38">
        <f>SUM(F104:T104)</f>
        <v/>
      </c>
    </row>
    <row r="102" ht="15" customHeight="1" s="39">
      <c r="B102" s="70">
        <f>IF('Project Information'!$C$4="EN","Variable","Değişken")</f>
        <v/>
      </c>
      <c r="C102" s="70">
        <f>INDEX(Translations!$D:$ZZ, MATCH(187,Translations!$A:$A,0), MATCH('Project Information'!$C$4,Translations!$D$1:$ZZ$1,0))</f>
        <v/>
      </c>
      <c r="D102" s="70">
        <f>INDEX(Translations!$D:$ZZ, MATCH(271,Translations!$A:$A,0), MATCH('Project Information'!$C$4,Translations!$D$1:$ZZ$1,0))</f>
        <v/>
      </c>
      <c r="E102" s="70">
        <f>INDEX(Translations!$D:$ZZ, MATCH(278,Translations!$A:$A,0), MATCH('Project Information'!$C$4,Translations!$D$1:$ZZ$1,0))</f>
        <v/>
      </c>
      <c r="F102" s="73" t="n"/>
      <c r="G102" s="73" t="n"/>
      <c r="H102" s="73" t="n"/>
      <c r="I102" s="73" t="n">
        <v>1</v>
      </c>
      <c r="J102" s="73" t="n"/>
      <c r="K102" s="73" t="n">
        <v>2</v>
      </c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38">
        <f>SUM(F105:T105)</f>
        <v/>
      </c>
    </row>
    <row r="103" ht="15" customHeight="1" s="39">
      <c r="B103" s="70">
        <f>IF('Project Information'!$C$4="EN","Variable","Değişken")</f>
        <v/>
      </c>
      <c r="C103" s="70">
        <f>INDEX(Translations!$D:$ZZ, MATCH(191,Translations!$A:$A,0), MATCH('Project Information'!$C$4,Translations!$D$1:$ZZ$1,0))</f>
        <v/>
      </c>
      <c r="D103" s="70">
        <f>INDEX(Translations!$D:$ZZ, MATCH(271,Translations!$A:$A,0), MATCH('Project Information'!$C$4,Translations!$D$1:$ZZ$1,0))</f>
        <v/>
      </c>
      <c r="E103" s="70">
        <f>INDEX(Translations!$D:$ZZ, MATCH(278,Translations!$A:$A,0), MATCH('Project Information'!$C$4,Translations!$D$1:$ZZ$1,0))</f>
        <v/>
      </c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>
        <v>5</v>
      </c>
      <c r="Q103" s="73" t="n"/>
      <c r="R103" s="73" t="n"/>
      <c r="S103" s="73" t="n"/>
      <c r="T103" s="73" t="n"/>
      <c r="U103" s="38">
        <f>SUM(F106:T106)</f>
        <v/>
      </c>
    </row>
    <row r="104" ht="15" customHeight="1" s="39">
      <c r="B104" s="70">
        <f>IF('Project Information'!$C$4="EN","Variable","Değişken")</f>
        <v/>
      </c>
      <c r="C104" s="70">
        <f>INDEX(Translations!$D:$ZZ, MATCH(197,Translations!$A:$A,0), MATCH('Project Information'!$C$4,Translations!$D$1:$ZZ$1,0))</f>
        <v/>
      </c>
      <c r="D104" s="70">
        <f>INDEX(Translations!$D:$ZZ, MATCH(346,Translations!$A:$A,0), MATCH('Project Information'!$C$4,Translations!$D$1:$ZZ$1,0))</f>
        <v/>
      </c>
      <c r="E104" s="70">
        <f>INDEX(Translations!$D:$ZZ, MATCH(278,Translations!$A:$A,0), MATCH('Project Information'!$C$4,Translations!$D$1:$ZZ$1,0))</f>
        <v/>
      </c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>
        <v>5</v>
      </c>
      <c r="O104" s="67" t="n"/>
      <c r="P104" s="67" t="n"/>
      <c r="Q104" s="67" t="n"/>
      <c r="R104" s="67" t="n"/>
      <c r="S104" s="67" t="n"/>
      <c r="T104" s="67" t="n"/>
      <c r="U104" s="38">
        <f>SUM(F107:T107)</f>
        <v/>
      </c>
    </row>
    <row r="105" ht="15" customHeight="1" s="39">
      <c r="B105" s="70">
        <f>IF('Project Information'!$C$4="EN","Variable","Değişken")</f>
        <v/>
      </c>
      <c r="C105" s="70">
        <f>INDEX(Translations!$D:$ZZ, MATCH(193,Translations!$A:$A,0), MATCH('Project Information'!$C$4,Translations!$D$1:$ZZ$1,0))</f>
        <v/>
      </c>
      <c r="D105" s="70">
        <f>INDEX(Translations!$D:$ZZ, MATCH(271,Translations!$A:$A,0), MATCH('Project Information'!$C$4,Translations!$D$1:$ZZ$1,0))</f>
        <v/>
      </c>
      <c r="E105" s="70">
        <f>INDEX(Translations!$D:$ZZ, MATCH(278,Translations!$A:$A,0), MATCH('Project Information'!$C$4,Translations!$D$1:$ZZ$1,0))</f>
        <v/>
      </c>
      <c r="F105" s="67" t="n"/>
      <c r="G105" s="67" t="n">
        <v>2</v>
      </c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38">
        <f>SUM(F108:T108)</f>
        <v/>
      </c>
    </row>
    <row r="106" ht="15" customHeight="1" s="39">
      <c r="B106" s="70">
        <f>IF('Project Information'!$C$4="EN","Variable","Değişken")</f>
        <v/>
      </c>
      <c r="C106" s="70">
        <f>INDEX(Translations!$D:$ZZ, MATCH(229,Translations!$A:$A,0), MATCH('Project Information'!$C$4,Translations!$D$1:$ZZ$1,0))</f>
        <v/>
      </c>
      <c r="D106" s="70">
        <f>INDEX(Translations!$D:$ZZ, MATCH(346,Translations!$A:$A,0), MATCH('Project Information'!$C$4,Translations!$D$1:$ZZ$1,0))</f>
        <v/>
      </c>
      <c r="E106" s="70">
        <f>INDEX(Translations!$D:$ZZ, MATCH(278,Translations!$A:$A,0), MATCH('Project Information'!$C$4,Translations!$D$1:$ZZ$1,0))</f>
        <v/>
      </c>
      <c r="F106" s="73" t="n"/>
      <c r="G106" s="73" t="n"/>
      <c r="H106" s="73" t="n"/>
      <c r="I106" s="73" t="n">
        <v>20</v>
      </c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>
        <v>0</v>
      </c>
      <c r="T106" s="73" t="n">
        <v>0</v>
      </c>
      <c r="U106" s="38">
        <f>SUM(F109:T109)</f>
        <v/>
      </c>
    </row>
    <row r="107" ht="15" customHeight="1" s="39">
      <c r="B107" s="70">
        <f>IF('Project Information'!$C$4="EN","Variable","Değişken")</f>
        <v/>
      </c>
      <c r="C107" s="70">
        <f>INDEX(Translations!$D:$ZZ, MATCH(229,Translations!$A:$A,0), MATCH('Project Information'!$C$4,Translations!$D$1:$ZZ$1,0))</f>
        <v/>
      </c>
      <c r="D107" s="70">
        <f>INDEX(Translations!$D:$ZZ, MATCH(338,Translations!$A:$A,0), MATCH('Project Information'!$C$4,Translations!$D$1:$ZZ$1,0))</f>
        <v/>
      </c>
      <c r="E107" s="70">
        <f>INDEX(Translations!$D:$ZZ, MATCH(278,Translations!$A:$A,0), MATCH('Project Information'!$C$4,Translations!$D$1:$ZZ$1,0))</f>
        <v/>
      </c>
      <c r="F107" s="67" t="n">
        <v>2</v>
      </c>
      <c r="G107" s="67" t="n">
        <v>1</v>
      </c>
      <c r="H107" s="67" t="n"/>
      <c r="I107" s="67" t="n"/>
      <c r="J107" s="67" t="n">
        <v>2</v>
      </c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>
        <v>0</v>
      </c>
      <c r="T107" s="67" t="n">
        <v>0</v>
      </c>
      <c r="U107" s="38">
        <f>SUM(F110:T110)</f>
        <v/>
      </c>
    </row>
    <row r="108" ht="15" customHeight="1" s="39">
      <c r="B108" s="70">
        <f>IF('Project Information'!$C$4="EN","Variable","Değişken")</f>
        <v/>
      </c>
      <c r="C108" s="70">
        <f>INDEX(Translations!$D:$ZZ, MATCH(229,Translations!$A:$A,0), MATCH('Project Information'!$C$4,Translations!$D$1:$ZZ$1,0))</f>
        <v/>
      </c>
      <c r="D108" s="70">
        <f>INDEX(Translations!$D:$ZZ, MATCH(339,Translations!$A:$A,0), MATCH('Project Information'!$C$4,Translations!$D$1:$ZZ$1,0))</f>
        <v/>
      </c>
      <c r="E108" s="70">
        <f>INDEX(Translations!$D:$ZZ, MATCH(278,Translations!$A:$A,0), MATCH('Project Information'!$C$4,Translations!$D$1:$ZZ$1,0))</f>
        <v/>
      </c>
      <c r="F108" s="67" t="n">
        <v>4</v>
      </c>
      <c r="G108" s="67" t="n">
        <v>2</v>
      </c>
      <c r="H108" s="67" t="n"/>
      <c r="I108" s="67" t="n"/>
      <c r="J108" s="67" t="n">
        <v>4</v>
      </c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>
        <v>0</v>
      </c>
      <c r="T108" s="67" t="n">
        <v>0</v>
      </c>
      <c r="U108" s="38">
        <f>SUM(F111:T111)</f>
        <v/>
      </c>
    </row>
    <row r="109" ht="15" customHeight="1" s="39">
      <c r="B109" s="70">
        <f>IF('Project Information'!$C$4="EN","Variable","Değişken")</f>
        <v/>
      </c>
      <c r="C109" s="70">
        <f>INDEX(Translations!$D:$ZZ, MATCH(40,Translations!$A:$A,0), MATCH('Project Information'!$C$4,Translations!$D$1:$ZZ$1,0))</f>
        <v/>
      </c>
      <c r="D109" s="70">
        <f>INDEX(Translations!$D:$ZZ, MATCH(337,Translations!$A:$A,0), MATCH('Project Information'!$C$4,Translations!$D$1:$ZZ$1,0))</f>
        <v/>
      </c>
      <c r="E109" s="70">
        <f>INDEX(Translations!$D:$ZZ, MATCH(278,Translations!$A:$A,0), MATCH('Project Information'!$C$4,Translations!$D$1:$ZZ$1,0))</f>
        <v/>
      </c>
      <c r="F109" s="73" t="n">
        <v>3</v>
      </c>
      <c r="G109" s="73" t="n">
        <v>1</v>
      </c>
      <c r="H109" s="73" t="n"/>
      <c r="I109" s="73" t="n">
        <v>1</v>
      </c>
      <c r="J109" s="73" t="n">
        <v>1</v>
      </c>
      <c r="K109" s="73" t="n"/>
      <c r="L109" s="73" t="n"/>
      <c r="M109" s="73" t="n">
        <v>0.5</v>
      </c>
      <c r="N109" s="73" t="n">
        <v>0.5</v>
      </c>
      <c r="O109" s="73" t="n"/>
      <c r="P109" s="73" t="n"/>
      <c r="Q109" s="73" t="n"/>
      <c r="R109" s="73" t="n">
        <v>1</v>
      </c>
      <c r="S109" s="73" t="n"/>
      <c r="T109" s="73" t="n"/>
      <c r="U109" s="38">
        <f>SUM(F112:T112)</f>
        <v/>
      </c>
    </row>
    <row r="110" ht="15" customHeight="1" s="39">
      <c r="B110" s="70">
        <f>IF('Project Information'!$C$4="EN","Variable","Değişken")</f>
        <v/>
      </c>
      <c r="C110" s="70">
        <f>INDEX(Translations!$D:$ZZ, MATCH(40,Translations!$A:$A,0), MATCH('Project Information'!$C$4,Translations!$D$1:$ZZ$1,0))</f>
        <v/>
      </c>
      <c r="D110" s="70">
        <f>INDEX(Translations!$D:$ZZ, MATCH(338,Translations!$A:$A,0), MATCH('Project Information'!$C$4,Translations!$D$1:$ZZ$1,0))</f>
        <v/>
      </c>
      <c r="E110" s="70">
        <f>INDEX(Translations!$D:$ZZ, MATCH(278,Translations!$A:$A,0), MATCH('Project Information'!$C$4,Translations!$D$1:$ZZ$1,0))</f>
        <v/>
      </c>
      <c r="F110" s="73" t="n">
        <v>2</v>
      </c>
      <c r="G110" s="73" t="n">
        <v>0.5</v>
      </c>
      <c r="H110" s="73" t="n"/>
      <c r="I110" s="73" t="n"/>
      <c r="J110" s="73" t="n">
        <v>0.5</v>
      </c>
      <c r="K110" s="73" t="n"/>
      <c r="L110" s="73" t="n"/>
      <c r="M110" s="73" t="n">
        <v>0.5</v>
      </c>
      <c r="N110" s="73" t="n">
        <v>0.5</v>
      </c>
      <c r="O110" s="73" t="n"/>
      <c r="P110" s="73" t="n"/>
      <c r="Q110" s="73" t="n"/>
      <c r="R110" s="73" t="n"/>
      <c r="S110" s="73" t="n"/>
      <c r="T110" s="73" t="n"/>
      <c r="U110" s="38">
        <f>SUM(F113:T113)</f>
        <v/>
      </c>
    </row>
    <row r="111" ht="15" customHeight="1" s="39">
      <c r="B111" s="70">
        <f>IF('Project Information'!$C$4="EN","Variable","Değişken")</f>
        <v/>
      </c>
      <c r="C111" s="70">
        <f>INDEX(Translations!$D:$ZZ, MATCH(40,Translations!$A:$A,0), MATCH('Project Information'!$C$4,Translations!$D$1:$ZZ$1,0))</f>
        <v/>
      </c>
      <c r="D111" s="70">
        <f>INDEX(Translations!$D:$ZZ, MATCH(339,Translations!$A:$A,0), MATCH('Project Information'!$C$4,Translations!$D$1:$ZZ$1,0))</f>
        <v/>
      </c>
      <c r="E111" s="70">
        <f>INDEX(Translations!$D:$ZZ, MATCH(278,Translations!$A:$A,0), MATCH('Project Information'!$C$4,Translations!$D$1:$ZZ$1,0))</f>
        <v/>
      </c>
      <c r="F111" s="73" t="n">
        <v>3</v>
      </c>
      <c r="G111" s="73" t="n">
        <v>1</v>
      </c>
      <c r="H111" s="73" t="n"/>
      <c r="I111" s="73" t="n">
        <v>1</v>
      </c>
      <c r="J111" s="73" t="n">
        <v>1</v>
      </c>
      <c r="K111" s="73" t="n"/>
      <c r="L111" s="73" t="n"/>
      <c r="M111" s="73" t="n">
        <v>0.5</v>
      </c>
      <c r="N111" s="73" t="n">
        <v>0.5</v>
      </c>
      <c r="O111" s="73" t="n"/>
      <c r="P111" s="73" t="n"/>
      <c r="Q111" s="73" t="n"/>
      <c r="R111" s="73" t="n">
        <v>1</v>
      </c>
      <c r="S111" s="73" t="n"/>
      <c r="T111" s="73" t="n"/>
      <c r="U111" s="38">
        <f>SUM(F114:T114)</f>
        <v/>
      </c>
    </row>
    <row r="112" ht="15" customHeight="1" s="39">
      <c r="B112" s="70">
        <f>IF('Project Information'!$C$4="EN","Variable","Değişken")</f>
        <v/>
      </c>
      <c r="C112" s="70">
        <f>INDEX(Translations!$D:$ZZ, MATCH(275,Translations!$A:$A,0), MATCH('Project Information'!$C$4,Translations!$D$1:$ZZ$1,0))</f>
        <v/>
      </c>
      <c r="D112" s="70">
        <f>INDEX(Translations!$D:$ZZ, MATCH(346,Translations!$A:$A,0), MATCH('Project Information'!$C$4,Translations!$D$1:$ZZ$1,0))</f>
        <v/>
      </c>
      <c r="E112" s="70">
        <f>INDEX(Translations!$D:$ZZ, MATCH(278,Translations!$A:$A,0), MATCH('Project Information'!$C$4,Translations!$D$1:$ZZ$1,0))</f>
        <v/>
      </c>
      <c r="F112" s="73" t="n"/>
      <c r="G112" s="73" t="n"/>
      <c r="H112" s="73" t="n"/>
      <c r="I112" s="73" t="n">
        <v>15</v>
      </c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38">
        <f>SUM(F115:T115)</f>
        <v/>
      </c>
    </row>
    <row r="113" ht="15" customHeight="1" s="39">
      <c r="B113" s="70">
        <f>IF('Project Information'!$C$4="EN","Variable","Değişken")</f>
        <v/>
      </c>
      <c r="C113" s="70">
        <f>INDEX(Translations!$D:$ZZ, MATCH(275,Translations!$A:$A,0), MATCH('Project Information'!$C$4,Translations!$D$1:$ZZ$1,0))</f>
        <v/>
      </c>
      <c r="D113" s="70">
        <f>INDEX(Translations!$D:$ZZ, MATCH(337,Translations!$A:$A,0), MATCH('Project Information'!$C$4,Translations!$D$1:$ZZ$1,0))</f>
        <v/>
      </c>
      <c r="E113" s="70">
        <f>INDEX(Translations!$D:$ZZ, MATCH(278,Translations!$A:$A,0), MATCH('Project Information'!$C$4,Translations!$D$1:$ZZ$1,0))</f>
        <v/>
      </c>
      <c r="F113" s="73" t="n">
        <v>4</v>
      </c>
      <c r="G113" s="73" t="n">
        <v>2</v>
      </c>
      <c r="H113" s="73" t="n"/>
      <c r="I113" s="73" t="n"/>
      <c r="J113" s="73" t="n">
        <v>3</v>
      </c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38">
        <f>SUM(F116:T116)</f>
        <v/>
      </c>
    </row>
    <row r="114" ht="15" customHeight="1" s="39">
      <c r="B114" s="70">
        <f>IF('Project Information'!$C$4="EN","Variable","Değişken")</f>
        <v/>
      </c>
      <c r="C114" s="70">
        <f>INDEX(Translations!$D:$ZZ, MATCH(275,Translations!$A:$A,0), MATCH('Project Information'!$C$4,Translations!$D$1:$ZZ$1,0))</f>
        <v/>
      </c>
      <c r="D114" s="70">
        <f>INDEX(Translations!$D:$ZZ, MATCH(338,Translations!$A:$A,0), MATCH('Project Information'!$C$4,Translations!$D$1:$ZZ$1,0))</f>
        <v/>
      </c>
      <c r="E114" s="70">
        <f>INDEX(Translations!$D:$ZZ, MATCH(278,Translations!$A:$A,0), MATCH('Project Information'!$C$4,Translations!$D$1:$ZZ$1,0))</f>
        <v/>
      </c>
      <c r="F114" s="73" t="n">
        <v>4</v>
      </c>
      <c r="G114" s="73" t="n">
        <v>2</v>
      </c>
      <c r="H114" s="73" t="n"/>
      <c r="I114" s="73" t="n"/>
      <c r="J114" s="73" t="n">
        <v>3</v>
      </c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38">
        <f>SUM(F117:T117)</f>
        <v/>
      </c>
    </row>
    <row r="115" ht="15" customHeight="1" s="39">
      <c r="B115" s="70">
        <f>IF('Project Information'!$C$4="EN","Variable","Değişken")</f>
        <v/>
      </c>
      <c r="C115" s="70">
        <f>INDEX(Translations!$D:$ZZ, MATCH(274,Translations!$A:$A,0), MATCH('Project Information'!$C$4,Translations!$D$1:$ZZ$1,0))</f>
        <v/>
      </c>
      <c r="D115" s="70">
        <f>INDEX(Translations!$D:$ZZ, MATCH(346,Translations!$A:$A,0), MATCH('Project Information'!$C$4,Translations!$D$1:$ZZ$1,0))</f>
        <v/>
      </c>
      <c r="E115" s="70">
        <f>INDEX(Translations!$D:$ZZ, MATCH(278,Translations!$A:$A,0), MATCH('Project Information'!$C$4,Translations!$D$1:$ZZ$1,0))</f>
        <v/>
      </c>
      <c r="F115" s="73" t="n"/>
      <c r="G115" s="73" t="n"/>
      <c r="H115" s="73" t="n"/>
      <c r="I115" s="73" t="n">
        <v>15</v>
      </c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38">
        <f>SUM(F118:T118)</f>
        <v/>
      </c>
    </row>
    <row r="116" ht="15" customHeight="1" s="39">
      <c r="B116" s="70">
        <f>IF('Project Information'!$C$4="EN","Variable","Değişken")</f>
        <v/>
      </c>
      <c r="C116" s="70">
        <f>INDEX(Translations!$D:$ZZ, MATCH(274,Translations!$A:$A,0), MATCH('Project Information'!$C$4,Translations!$D$1:$ZZ$1,0))</f>
        <v/>
      </c>
      <c r="D116" s="70">
        <f>INDEX(Translations!$D:$ZZ, MATCH(337,Translations!$A:$A,0), MATCH('Project Information'!$C$4,Translations!$D$1:$ZZ$1,0))</f>
        <v/>
      </c>
      <c r="E116" s="70">
        <f>INDEX(Translations!$D:$ZZ, MATCH(278,Translations!$A:$A,0), MATCH('Project Information'!$C$4,Translations!$D$1:$ZZ$1,0))</f>
        <v/>
      </c>
      <c r="F116" s="73" t="n">
        <v>4</v>
      </c>
      <c r="G116" s="73" t="n">
        <v>2</v>
      </c>
      <c r="H116" s="73" t="n"/>
      <c r="I116" s="73" t="n"/>
      <c r="J116" s="73" t="n">
        <v>3</v>
      </c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38">
        <f>SUM(F119:T119)</f>
        <v/>
      </c>
    </row>
    <row r="117" ht="15" customHeight="1" s="39">
      <c r="B117" s="70">
        <f>IF('Project Information'!$C$4="EN","Variable","Değişken")</f>
        <v/>
      </c>
      <c r="C117" s="70">
        <f>INDEX(Translations!$D:$ZZ, MATCH(274,Translations!$A:$A,0), MATCH('Project Information'!$C$4,Translations!$D$1:$ZZ$1,0))</f>
        <v/>
      </c>
      <c r="D117" s="70">
        <f>INDEX(Translations!$D:$ZZ, MATCH(338,Translations!$A:$A,0), MATCH('Project Information'!$C$4,Translations!$D$1:$ZZ$1,0))</f>
        <v/>
      </c>
      <c r="E117" s="70">
        <f>INDEX(Translations!$D:$ZZ, MATCH(278,Translations!$A:$A,0), MATCH('Project Information'!$C$4,Translations!$D$1:$ZZ$1,0))</f>
        <v/>
      </c>
      <c r="F117" s="73" t="n">
        <v>4</v>
      </c>
      <c r="G117" s="73" t="n">
        <v>2</v>
      </c>
      <c r="H117" s="73" t="n"/>
      <c r="I117" s="73" t="n"/>
      <c r="J117" s="73" t="n">
        <v>3</v>
      </c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38">
        <f>SUM(F120:T120)</f>
        <v/>
      </c>
    </row>
    <row r="118" ht="15" customHeight="1" s="39">
      <c r="B118" s="70">
        <f>IF('Project Information'!$C$4="EN","Variable","Değişken")</f>
        <v/>
      </c>
      <c r="C118" s="70">
        <f>INDEX(Translations!$D:$ZZ, MATCH(167,Translations!$A:$A,0), MATCH('Project Information'!$C$4,Translations!$D$1:$ZZ$1,0))</f>
        <v/>
      </c>
      <c r="D118" s="70">
        <f>INDEX(Translations!$D:$ZZ, MATCH(333,Translations!$A:$A,0), MATCH('Project Information'!$C$4,Translations!$D$1:$ZZ$1,0))</f>
        <v/>
      </c>
      <c r="E118" s="70">
        <f>INDEX(Translations!$D:$ZZ, MATCH(292,Translations!$A:$A,0), MATCH('Project Information'!$C$4,Translations!$D$1:$ZZ$1,0))</f>
        <v/>
      </c>
      <c r="F118" s="73" t="n"/>
      <c r="G118" s="73" t="n"/>
      <c r="H118" s="73" t="n"/>
      <c r="I118" s="73" t="n">
        <v>1</v>
      </c>
      <c r="J118" s="73" t="n">
        <v>0.5</v>
      </c>
      <c r="K118" s="73" t="n"/>
      <c r="L118" s="73" t="n"/>
      <c r="M118" s="73" t="n">
        <v>0.5</v>
      </c>
      <c r="N118" s="73" t="n">
        <v>1</v>
      </c>
      <c r="O118" s="73" t="n">
        <v>0.5</v>
      </c>
      <c r="P118" s="73" t="n"/>
      <c r="Q118" s="73" t="n"/>
      <c r="R118" s="73" t="n"/>
      <c r="S118" s="73" t="n"/>
      <c r="T118" s="73" t="n"/>
      <c r="U118" s="38">
        <f>SUM(F121:T121)</f>
        <v/>
      </c>
    </row>
    <row r="119" ht="15" customHeight="1" s="39">
      <c r="B119" s="70">
        <f>IF('Project Information'!$C$4="EN","Variable","Değişken")</f>
        <v/>
      </c>
      <c r="C119" s="70">
        <f>INDEX(Translations!$D:$ZZ, MATCH(167,Translations!$A:$A,0), MATCH('Project Information'!$C$4,Translations!$D$1:$ZZ$1,0))</f>
        <v/>
      </c>
      <c r="D119" s="70">
        <f>INDEX(Translations!$D:$ZZ, MATCH(343,Translations!$A:$A,0), MATCH('Project Information'!$C$4,Translations!$D$1:$ZZ$1,0))</f>
        <v/>
      </c>
      <c r="E119" s="70">
        <f>INDEX(Translations!$D:$ZZ, MATCH(292,Translations!$A:$A,0), MATCH('Project Information'!$C$4,Translations!$D$1:$ZZ$1,0))</f>
        <v/>
      </c>
      <c r="F119" s="73" t="n"/>
      <c r="G119" s="73" t="n"/>
      <c r="H119" s="73" t="n"/>
      <c r="I119" s="73" t="n">
        <v>1</v>
      </c>
      <c r="J119" s="73" t="n">
        <v>0.5</v>
      </c>
      <c r="K119" s="73" t="n"/>
      <c r="L119" s="73" t="n"/>
      <c r="M119" s="73" t="n">
        <v>0.5</v>
      </c>
      <c r="N119" s="73" t="n">
        <v>1</v>
      </c>
      <c r="O119" s="73" t="n">
        <v>0.5</v>
      </c>
      <c r="P119" s="73" t="n"/>
      <c r="Q119" s="73" t="n"/>
      <c r="R119" s="73" t="n"/>
      <c r="S119" s="73" t="n"/>
      <c r="T119" s="73" t="n"/>
      <c r="U119" s="38">
        <f>SUM(F122:T122)</f>
        <v/>
      </c>
    </row>
    <row r="120" ht="15" customHeight="1" s="39">
      <c r="B120" s="70">
        <f>IF('Project Information'!$C$4="EN","Variable","Değişken")</f>
        <v/>
      </c>
      <c r="C120" s="70">
        <f>INDEX(Translations!$D:$ZZ, MATCH(167,Translations!$A:$A,0), MATCH('Project Information'!$C$4,Translations!$D$1:$ZZ$1,0))</f>
        <v/>
      </c>
      <c r="D120" s="70">
        <f>INDEX(Translations!$D:$ZZ, MATCH(337,Translations!$A:$A,0), MATCH('Project Information'!$C$4,Translations!$D$1:$ZZ$1,0))</f>
        <v/>
      </c>
      <c r="E120" s="70">
        <f>INDEX(Translations!$D:$ZZ, MATCH(292,Translations!$A:$A,0), MATCH('Project Information'!$C$4,Translations!$D$1:$ZZ$1,0))</f>
        <v/>
      </c>
      <c r="F120" s="73" t="n"/>
      <c r="G120" s="73" t="n"/>
      <c r="H120" s="73" t="n"/>
      <c r="I120" s="73" t="n">
        <v>1</v>
      </c>
      <c r="J120" s="73" t="n">
        <v>0.5</v>
      </c>
      <c r="K120" s="73" t="n"/>
      <c r="L120" s="73" t="n"/>
      <c r="M120" s="73" t="n">
        <v>0.5</v>
      </c>
      <c r="N120" s="73" t="n">
        <v>1</v>
      </c>
      <c r="O120" s="73" t="n">
        <v>0.5</v>
      </c>
      <c r="P120" s="73" t="n"/>
      <c r="Q120" s="73" t="n"/>
      <c r="R120" s="73" t="n"/>
      <c r="S120" s="73" t="n"/>
      <c r="T120" s="73" t="n"/>
      <c r="U120" s="38">
        <f>SUM(F123:T123)</f>
        <v/>
      </c>
    </row>
    <row r="121" ht="15" customHeight="1" s="39">
      <c r="B121" s="70">
        <f>IF('Project Information'!$C$4="EN","Variable","Değişken")</f>
        <v/>
      </c>
      <c r="C121" s="70">
        <f>INDEX(Translations!$D:$ZZ, MATCH(167,Translations!$A:$A,0), MATCH('Project Information'!$C$4,Translations!$D$1:$ZZ$1,0))</f>
        <v/>
      </c>
      <c r="D121" s="70">
        <f>INDEX(Translations!$D:$ZZ, MATCH(341,Translations!$A:$A,0), MATCH('Project Information'!$C$4,Translations!$D$1:$ZZ$1,0))</f>
        <v/>
      </c>
      <c r="E121" s="70">
        <f>INDEX(Translations!$D:$ZZ, MATCH(292,Translations!$A:$A,0), MATCH('Project Information'!$C$4,Translations!$D$1:$ZZ$1,0))</f>
        <v/>
      </c>
      <c r="F121" s="73" t="n"/>
      <c r="G121" s="73" t="n"/>
      <c r="H121" s="73" t="n"/>
      <c r="I121" s="73" t="n">
        <v>1</v>
      </c>
      <c r="J121" s="73" t="n">
        <v>0.5</v>
      </c>
      <c r="K121" s="73" t="n"/>
      <c r="L121" s="73" t="n"/>
      <c r="M121" s="73" t="n">
        <v>0.5</v>
      </c>
      <c r="N121" s="73" t="n">
        <v>1</v>
      </c>
      <c r="O121" s="73" t="n">
        <v>0.5</v>
      </c>
      <c r="P121" s="73" t="n"/>
      <c r="Q121" s="73" t="n"/>
      <c r="R121" s="73" t="n"/>
      <c r="S121" s="73" t="n"/>
      <c r="T121" s="73" t="n"/>
      <c r="U121" s="38">
        <f>SUM(F124:T124)</f>
        <v/>
      </c>
    </row>
    <row r="122" ht="15" customHeight="1" s="39">
      <c r="B122" s="70">
        <f>IF('Project Information'!$C$4="EN","Variable","Değişken")</f>
        <v/>
      </c>
      <c r="C122" s="70">
        <f>INDEX(Translations!$D:$ZZ, MATCH(167,Translations!$A:$A,0), MATCH('Project Information'!$C$4,Translations!$D$1:$ZZ$1,0))</f>
        <v/>
      </c>
      <c r="D122" s="70">
        <f>INDEX(Translations!$D:$ZZ, MATCH(338,Translations!$A:$A,0), MATCH('Project Information'!$C$4,Translations!$D$1:$ZZ$1,0))</f>
        <v/>
      </c>
      <c r="E122" s="70">
        <f>INDEX(Translations!$D:$ZZ, MATCH(292,Translations!$A:$A,0), MATCH('Project Information'!$C$4,Translations!$D$1:$ZZ$1,0))</f>
        <v/>
      </c>
      <c r="F122" s="73" t="n"/>
      <c r="G122" s="73" t="n"/>
      <c r="H122" s="73" t="n"/>
      <c r="I122" s="73" t="n">
        <v>1</v>
      </c>
      <c r="J122" s="73" t="n">
        <v>0.5</v>
      </c>
      <c r="K122" s="73" t="n"/>
      <c r="L122" s="73" t="n"/>
      <c r="M122" s="73" t="n">
        <v>0.5</v>
      </c>
      <c r="N122" s="73" t="n">
        <v>1</v>
      </c>
      <c r="O122" s="73" t="n">
        <v>0.5</v>
      </c>
      <c r="P122" s="73" t="n"/>
      <c r="Q122" s="73" t="n"/>
      <c r="R122" s="73" t="n"/>
      <c r="S122" s="73" t="n"/>
      <c r="T122" s="73" t="n"/>
      <c r="U122" s="38">
        <f>SUM(F125:T125)</f>
        <v/>
      </c>
    </row>
    <row r="123" ht="15" customHeight="1" s="39">
      <c r="B123" s="70">
        <f>IF('Project Information'!$C$4="EN","Variable","Değişken")</f>
        <v/>
      </c>
      <c r="C123" s="70">
        <f>INDEX(Translations!$D:$ZZ, MATCH(167,Translations!$A:$A,0), MATCH('Project Information'!$C$4,Translations!$D$1:$ZZ$1,0))</f>
        <v/>
      </c>
      <c r="D123" s="70">
        <f>INDEX(Translations!$D:$ZZ, MATCH(342,Translations!$A:$A,0), MATCH('Project Information'!$C$4,Translations!$D$1:$ZZ$1,0))</f>
        <v/>
      </c>
      <c r="E123" s="70">
        <f>INDEX(Translations!$D:$ZZ, MATCH(292,Translations!$A:$A,0), MATCH('Project Information'!$C$4,Translations!$D$1:$ZZ$1,0))</f>
        <v/>
      </c>
      <c r="F123" s="73" t="n"/>
      <c r="G123" s="73" t="n"/>
      <c r="H123" s="73" t="n"/>
      <c r="I123" s="73" t="n">
        <v>1</v>
      </c>
      <c r="J123" s="73" t="n">
        <v>0.5</v>
      </c>
      <c r="K123" s="73" t="n"/>
      <c r="L123" s="73" t="n"/>
      <c r="M123" s="73" t="n">
        <v>0.5</v>
      </c>
      <c r="N123" s="73" t="n">
        <v>1</v>
      </c>
      <c r="O123" s="73" t="n">
        <v>0.5</v>
      </c>
      <c r="P123" s="73" t="n"/>
      <c r="Q123" s="73" t="n"/>
      <c r="R123" s="73" t="n"/>
      <c r="S123" s="73" t="n"/>
      <c r="T123" s="73" t="n"/>
      <c r="U123" s="38">
        <f>SUM(F126:T126)</f>
        <v/>
      </c>
    </row>
    <row r="124" ht="15" customHeight="1" s="39">
      <c r="B124" s="70">
        <f>IF('Project Information'!$C$4="EN","Variable","Değişken")</f>
        <v/>
      </c>
      <c r="C124" s="70">
        <f>INDEX(Translations!$D:$ZZ, MATCH(167,Translations!$A:$A,0), MATCH('Project Information'!$C$4,Translations!$D$1:$ZZ$1,0))</f>
        <v/>
      </c>
      <c r="D124" s="70">
        <f>INDEX(Translations!$D:$ZZ, MATCH(340,Translations!$A:$A,0), MATCH('Project Information'!$C$4,Translations!$D$1:$ZZ$1,0))</f>
        <v/>
      </c>
      <c r="E124" s="70">
        <f>INDEX(Translations!$D:$ZZ, MATCH(292,Translations!$A:$A,0), MATCH('Project Information'!$C$4,Translations!$D$1:$ZZ$1,0))</f>
        <v/>
      </c>
      <c r="F124" s="73" t="n"/>
      <c r="G124" s="73" t="n"/>
      <c r="H124" s="73" t="n"/>
      <c r="I124" s="73" t="n">
        <v>1</v>
      </c>
      <c r="J124" s="73" t="n">
        <v>0.5</v>
      </c>
      <c r="K124" s="73" t="n"/>
      <c r="L124" s="73" t="n"/>
      <c r="M124" s="73" t="n">
        <v>0.5</v>
      </c>
      <c r="N124" s="73" t="n">
        <v>1</v>
      </c>
      <c r="O124" s="73" t="n">
        <v>0.5</v>
      </c>
      <c r="P124" s="73" t="n"/>
      <c r="Q124" s="73" t="n"/>
      <c r="R124" s="73" t="n"/>
      <c r="S124" s="73" t="n"/>
      <c r="T124" s="73" t="n"/>
      <c r="U124" s="38">
        <f>SUM(F127:T127)</f>
        <v/>
      </c>
    </row>
    <row r="125" ht="15" customHeight="1" s="39">
      <c r="B125" s="70">
        <f>IF('Project Information'!$C$4="EN","Variable","Değişken")</f>
        <v/>
      </c>
      <c r="C125" s="70">
        <f>INDEX(Translations!$D:$ZZ, MATCH(167,Translations!$A:$A,0), MATCH('Project Information'!$C$4,Translations!$D$1:$ZZ$1,0))</f>
        <v/>
      </c>
      <c r="D125" s="70">
        <f>INDEX(Translations!$D:$ZZ, MATCH(339,Translations!$A:$A,0), MATCH('Project Information'!$C$4,Translations!$D$1:$ZZ$1,0))</f>
        <v/>
      </c>
      <c r="E125" s="70">
        <f>INDEX(Translations!$D:$ZZ, MATCH(292,Translations!$A:$A,0), MATCH('Project Information'!$C$4,Translations!$D$1:$ZZ$1,0))</f>
        <v/>
      </c>
      <c r="F125" s="73" t="n"/>
      <c r="G125" s="67" t="n"/>
      <c r="H125" s="67" t="n"/>
      <c r="I125" s="67" t="n">
        <v>1</v>
      </c>
      <c r="J125" s="73" t="n">
        <v>0.5</v>
      </c>
      <c r="K125" s="67" t="n"/>
      <c r="L125" s="73" t="n"/>
      <c r="M125" s="73" t="n">
        <v>0.5</v>
      </c>
      <c r="N125" s="67" t="n">
        <v>1</v>
      </c>
      <c r="O125" s="73" t="n">
        <v>0.5</v>
      </c>
      <c r="P125" s="67" t="n"/>
      <c r="Q125" s="73" t="n"/>
      <c r="R125" s="73" t="n"/>
      <c r="S125" s="73" t="n"/>
      <c r="T125" s="73" t="n"/>
      <c r="U125" s="38">
        <f>SUM(F128:T128)</f>
        <v/>
      </c>
    </row>
    <row r="126" ht="15" customHeight="1" s="39">
      <c r="B126" s="70">
        <f>IF('Project Information'!$C$4="EN","Variable","Değişken")</f>
        <v/>
      </c>
      <c r="C126" s="70">
        <f>INDEX(Translations!$D:$ZZ, MATCH(173,Translations!$A:$A,0), MATCH('Project Information'!$C$4,Translations!$D$1:$ZZ$1,0))</f>
        <v/>
      </c>
      <c r="D126" s="70">
        <f>INDEX(Translations!$D:$ZZ, MATCH(346,Translations!$A:$A,0), MATCH('Project Information'!$C$4,Translations!$D$1:$ZZ$1,0))</f>
        <v/>
      </c>
      <c r="E126" s="70">
        <f>INDEX(Translations!$D:$ZZ, MATCH(285,Translations!$A:$A,0), MATCH('Project Information'!$C$4,Translations!$D$1:$ZZ$1,0))</f>
        <v/>
      </c>
      <c r="F126" s="73" t="n"/>
      <c r="G126" s="73" t="n"/>
      <c r="H126" s="73" t="n"/>
      <c r="I126" s="73" t="n">
        <v>10</v>
      </c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>
        <v>0</v>
      </c>
      <c r="T126" s="73" t="n">
        <v>0</v>
      </c>
      <c r="U126" s="38">
        <f>SUM(F129:T129)</f>
        <v/>
      </c>
    </row>
    <row r="127" ht="15" customHeight="1" s="39">
      <c r="B127" s="70">
        <f>IF('Project Information'!$C$4="EN","Variable","Değişken")</f>
        <v/>
      </c>
      <c r="C127" s="70">
        <f>INDEX(Translations!$D:$ZZ, MATCH(173,Translations!$A:$A,0), MATCH('Project Information'!$C$4,Translations!$D$1:$ZZ$1,0))</f>
        <v/>
      </c>
      <c r="D127" s="70">
        <f>INDEX(Translations!$D:$ZZ, MATCH(338,Translations!$A:$A,0), MATCH('Project Information'!$C$4,Translations!$D$1:$ZZ$1,0))</f>
        <v/>
      </c>
      <c r="E127" s="70">
        <f>INDEX(Translations!$D:$ZZ, MATCH(285,Translations!$A:$A,0), MATCH('Project Information'!$C$4,Translations!$D$1:$ZZ$1,0))</f>
        <v/>
      </c>
      <c r="F127" s="73" t="n">
        <v>3</v>
      </c>
      <c r="G127" s="73" t="n">
        <v>1</v>
      </c>
      <c r="H127" s="73" t="n"/>
      <c r="I127" s="73" t="n"/>
      <c r="J127" s="73" t="n">
        <v>3</v>
      </c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>
        <v>0</v>
      </c>
      <c r="T127" s="73" t="n">
        <v>0</v>
      </c>
      <c r="U127" s="38">
        <f>SUM(F130:T130)</f>
        <v/>
      </c>
    </row>
    <row r="128" ht="15" customHeight="1" s="39">
      <c r="B128" s="70">
        <f>IF('Project Information'!$C$4="EN","Variable","Değişken")</f>
        <v/>
      </c>
      <c r="C128" s="70">
        <f>INDEX(Translations!$D:$ZZ, MATCH(239,Translations!$A:$A,0), MATCH('Project Information'!$C$4,Translations!$D$1:$ZZ$1,0))</f>
        <v/>
      </c>
      <c r="D128" s="70">
        <f>INDEX(Translations!$D:$ZZ, MATCH(346,Translations!$A:$A,0), MATCH('Project Information'!$C$4,Translations!$D$1:$ZZ$1,0))</f>
        <v/>
      </c>
      <c r="E128" s="70">
        <f>INDEX(Translations!$D:$ZZ, MATCH(278,Translations!$A:$A,0), MATCH('Project Information'!$C$4,Translations!$D$1:$ZZ$1,0))</f>
        <v/>
      </c>
      <c r="F128" s="73" t="n"/>
      <c r="G128" s="73" t="n"/>
      <c r="H128" s="73" t="n"/>
      <c r="I128" s="73" t="n">
        <v>10</v>
      </c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>
        <v>0</v>
      </c>
      <c r="T128" s="73" t="n">
        <v>0</v>
      </c>
      <c r="U128" s="38">
        <f>SUM(F131:T131)</f>
        <v/>
      </c>
    </row>
    <row r="129" ht="15" customHeight="1" s="39">
      <c r="B129" s="70">
        <f>IF('Project Information'!$C$4="EN","Variable","Değişken")</f>
        <v/>
      </c>
      <c r="C129" s="70">
        <f>INDEX(Translations!$D:$ZZ, MATCH(239,Translations!$A:$A,0), MATCH('Project Information'!$C$4,Translations!$D$1:$ZZ$1,0))</f>
        <v/>
      </c>
      <c r="D129" s="70">
        <f>INDEX(Translations!$D:$ZZ, MATCH(343,Translations!$A:$A,0), MATCH('Project Information'!$C$4,Translations!$D$1:$ZZ$1,0))</f>
        <v/>
      </c>
      <c r="E129" s="70">
        <f>INDEX(Translations!$D:$ZZ, MATCH(278,Translations!$A:$A,0), MATCH('Project Information'!$C$4,Translations!$D$1:$ZZ$1,0))</f>
        <v/>
      </c>
      <c r="F129" s="67" t="n">
        <v>2</v>
      </c>
      <c r="G129" s="67" t="n">
        <v>1</v>
      </c>
      <c r="H129" s="67" t="n"/>
      <c r="I129" s="67" t="n"/>
      <c r="J129" s="67" t="n">
        <v>2</v>
      </c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>
        <v>0</v>
      </c>
      <c r="T129" s="67" t="n">
        <v>0</v>
      </c>
      <c r="U129" s="38">
        <f>SUM(F132:T132)</f>
        <v/>
      </c>
    </row>
    <row r="130" ht="15" customHeight="1" s="39">
      <c r="B130" s="70">
        <f>IF('Project Information'!$C$4="EN","Variable","Değişken")</f>
        <v/>
      </c>
      <c r="C130" s="70">
        <f>INDEX(Translations!$D:$ZZ, MATCH(239,Translations!$A:$A,0), MATCH('Project Information'!$C$4,Translations!$D$1:$ZZ$1,0))</f>
        <v/>
      </c>
      <c r="D130" s="70">
        <f>INDEX(Translations!$D:$ZZ, MATCH(337,Translations!$A:$A,0), MATCH('Project Information'!$C$4,Translations!$D$1:$ZZ$1,0))</f>
        <v/>
      </c>
      <c r="E130" s="70">
        <f>INDEX(Translations!$D:$ZZ, MATCH(278,Translations!$A:$A,0), MATCH('Project Information'!$C$4,Translations!$D$1:$ZZ$1,0))</f>
        <v/>
      </c>
      <c r="F130" s="67" t="n">
        <v>1</v>
      </c>
      <c r="G130" s="67" t="n">
        <v>1</v>
      </c>
      <c r="H130" s="67" t="n"/>
      <c r="I130" s="67" t="n"/>
      <c r="J130" s="67" t="n">
        <v>1</v>
      </c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>
        <v>0</v>
      </c>
      <c r="T130" s="67" t="n">
        <v>0</v>
      </c>
      <c r="U130" s="38">
        <f>SUM(F133:T133)</f>
        <v/>
      </c>
    </row>
    <row r="131" ht="15" customHeight="1" s="39">
      <c r="B131" s="70">
        <f>IF('Project Information'!$C$4="EN","Variable","Değişken")</f>
        <v/>
      </c>
      <c r="C131" s="70">
        <f>INDEX(Translations!$D:$ZZ, MATCH(239,Translations!$A:$A,0), MATCH('Project Information'!$C$4,Translations!$D$1:$ZZ$1,0))</f>
        <v/>
      </c>
      <c r="D131" s="70">
        <f>INDEX(Translations!$D:$ZZ, MATCH(338,Translations!$A:$A,0), MATCH('Project Information'!$C$4,Translations!$D$1:$ZZ$1,0))</f>
        <v/>
      </c>
      <c r="E131" s="70">
        <f>INDEX(Translations!$D:$ZZ, MATCH(278,Translations!$A:$A,0), MATCH('Project Information'!$C$4,Translations!$D$1:$ZZ$1,0))</f>
        <v/>
      </c>
      <c r="F131" s="67" t="n">
        <v>2</v>
      </c>
      <c r="G131" s="67" t="n">
        <v>1</v>
      </c>
      <c r="H131" s="67" t="n"/>
      <c r="I131" s="67" t="n"/>
      <c r="J131" s="67" t="n">
        <v>2</v>
      </c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>
        <v>0</v>
      </c>
      <c r="T131" s="73" t="n">
        <v>0</v>
      </c>
      <c r="U131" s="38">
        <f>SUM(F134:T134)</f>
        <v/>
      </c>
    </row>
    <row r="132" ht="15" customHeight="1" s="39">
      <c r="B132" s="70">
        <f>IF('Project Information'!$C$4="EN","Variable","Değişken")</f>
        <v/>
      </c>
      <c r="C132" s="70">
        <f>INDEX(Translations!$D:$ZZ, MATCH(240,Translations!$A:$A,0), MATCH('Project Information'!$C$4,Translations!$D$1:$ZZ$1,0))</f>
        <v/>
      </c>
      <c r="D132" s="70">
        <f>INDEX(Translations!$D:$ZZ, MATCH(346,Translations!$A:$A,0), MATCH('Project Information'!$C$4,Translations!$D$1:$ZZ$1,0))</f>
        <v/>
      </c>
      <c r="E132" s="70">
        <f>INDEX(Translations!$D:$ZZ, MATCH(278,Translations!$A:$A,0), MATCH('Project Information'!$C$4,Translations!$D$1:$ZZ$1,0))</f>
        <v/>
      </c>
      <c r="F132" s="73" t="n"/>
      <c r="G132" s="73" t="n"/>
      <c r="H132" s="73" t="n"/>
      <c r="I132" s="73" t="n">
        <v>10</v>
      </c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>
        <v>0</v>
      </c>
      <c r="T132" s="73" t="n">
        <v>0</v>
      </c>
      <c r="U132" s="38">
        <f>SUM(F135:T135)</f>
        <v/>
      </c>
    </row>
    <row r="133" ht="15" customHeight="1" s="39">
      <c r="B133" s="70">
        <f>IF('Project Information'!$C$4="EN","Variable","Değişken")</f>
        <v/>
      </c>
      <c r="C133" s="70">
        <f>INDEX(Translations!$D:$ZZ, MATCH(240,Translations!$A:$A,0), MATCH('Project Information'!$C$4,Translations!$D$1:$ZZ$1,0))</f>
        <v/>
      </c>
      <c r="D133" s="70">
        <f>INDEX(Translations!$D:$ZZ, MATCH(343,Translations!$A:$A,0), MATCH('Project Information'!$C$4,Translations!$D$1:$ZZ$1,0))</f>
        <v/>
      </c>
      <c r="E133" s="70">
        <f>INDEX(Translations!$D:$ZZ, MATCH(278,Translations!$A:$A,0), MATCH('Project Information'!$C$4,Translations!$D$1:$ZZ$1,0))</f>
        <v/>
      </c>
      <c r="F133" s="67" t="n">
        <v>2</v>
      </c>
      <c r="G133" s="67" t="n">
        <v>1</v>
      </c>
      <c r="H133" s="67" t="n"/>
      <c r="I133" s="67" t="n"/>
      <c r="J133" s="67" t="n">
        <v>2</v>
      </c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>
        <v>0</v>
      </c>
      <c r="T133" s="67" t="n">
        <v>0</v>
      </c>
      <c r="U133" s="38">
        <f>SUM(F136:T136)</f>
        <v/>
      </c>
    </row>
    <row r="134" ht="15" customHeight="1" s="39">
      <c r="B134" s="70">
        <f>IF('Project Information'!$C$4="EN","Variable","Değişken")</f>
        <v/>
      </c>
      <c r="C134" s="70">
        <f>INDEX(Translations!$D:$ZZ, MATCH(240,Translations!$A:$A,0), MATCH('Project Information'!$C$4,Translations!$D$1:$ZZ$1,0))</f>
        <v/>
      </c>
      <c r="D134" s="70">
        <f>INDEX(Translations!$D:$ZZ, MATCH(337,Translations!$A:$A,0), MATCH('Project Information'!$C$4,Translations!$D$1:$ZZ$1,0))</f>
        <v/>
      </c>
      <c r="E134" s="70">
        <f>INDEX(Translations!$D:$ZZ, MATCH(278,Translations!$A:$A,0), MATCH('Project Information'!$C$4,Translations!$D$1:$ZZ$1,0))</f>
        <v/>
      </c>
      <c r="F134" s="67" t="n">
        <v>1</v>
      </c>
      <c r="G134" s="67" t="n">
        <v>1</v>
      </c>
      <c r="H134" s="67" t="n"/>
      <c r="I134" s="67" t="n"/>
      <c r="J134" s="67" t="n">
        <v>1</v>
      </c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>
        <v>0</v>
      </c>
      <c r="T134" s="67" t="n">
        <v>0</v>
      </c>
      <c r="U134" s="38">
        <f>SUM(F137:T137)</f>
        <v/>
      </c>
    </row>
    <row r="135" ht="15" customHeight="1" s="39">
      <c r="B135" s="70">
        <f>IF('Project Information'!$C$4="EN","Variable","Değişken")</f>
        <v/>
      </c>
      <c r="C135" s="70">
        <f>INDEX(Translations!$D:$ZZ, MATCH(240,Translations!$A:$A,0), MATCH('Project Information'!$C$4,Translations!$D$1:$ZZ$1,0))</f>
        <v/>
      </c>
      <c r="D135" s="70">
        <f>INDEX(Translations!$D:$ZZ, MATCH(338,Translations!$A:$A,0), MATCH('Project Information'!$C$4,Translations!$D$1:$ZZ$1,0))</f>
        <v/>
      </c>
      <c r="E135" s="70">
        <f>INDEX(Translations!$D:$ZZ, MATCH(278,Translations!$A:$A,0), MATCH('Project Information'!$C$4,Translations!$D$1:$ZZ$1,0))</f>
        <v/>
      </c>
      <c r="F135" s="67" t="n">
        <v>2</v>
      </c>
      <c r="G135" s="67" t="n">
        <v>1</v>
      </c>
      <c r="H135" s="67" t="n"/>
      <c r="I135" s="67" t="n"/>
      <c r="J135" s="67" t="n">
        <v>2</v>
      </c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>
        <v>0</v>
      </c>
      <c r="T135" s="67" t="n">
        <v>0</v>
      </c>
      <c r="U135" s="38">
        <f>SUM(F138:T138)</f>
        <v/>
      </c>
    </row>
    <row r="136" ht="15" customHeight="1" s="39">
      <c r="B136" s="70">
        <f>IF('Project Information'!$C$4="EN","Variable","Değişken")</f>
        <v/>
      </c>
      <c r="C136" s="70">
        <f>INDEX(Translations!$D:$ZZ, MATCH(30,Translations!$A:$A,0), MATCH('Project Information'!$C$4,Translations!$D$1:$ZZ$1,0))</f>
        <v/>
      </c>
      <c r="D136" s="70">
        <f>INDEX(Translations!$D:$ZZ, MATCH(333,Translations!$A:$A,0), MATCH('Project Information'!$C$4,Translations!$D$1:$ZZ$1,0))</f>
        <v/>
      </c>
      <c r="E136" s="70">
        <f>INDEX(Translations!$D:$ZZ, MATCH(287,Translations!$A:$A,0), MATCH('Project Information'!$C$4,Translations!$D$1:$ZZ$1,0))</f>
        <v/>
      </c>
      <c r="F136" s="67" t="n">
        <v>1</v>
      </c>
      <c r="G136" s="67" t="n"/>
      <c r="H136" s="67" t="n"/>
      <c r="I136" s="67" t="n">
        <v>0.5</v>
      </c>
      <c r="J136" s="67" t="n">
        <v>0.5</v>
      </c>
      <c r="K136" s="67" t="n"/>
      <c r="L136" s="67" t="n"/>
      <c r="M136" s="67" t="n">
        <v>1</v>
      </c>
      <c r="N136" s="67" t="n">
        <v>1</v>
      </c>
      <c r="O136" s="67" t="n"/>
      <c r="P136" s="67" t="n"/>
      <c r="Q136" s="67" t="n"/>
      <c r="R136" s="67" t="n"/>
      <c r="S136" s="67" t="n"/>
      <c r="T136" s="67" t="n"/>
      <c r="U136" s="38">
        <f>SUM(F139:T139)</f>
        <v/>
      </c>
    </row>
    <row r="137" ht="15" customHeight="1" s="39">
      <c r="B137" s="70">
        <f>IF('Project Information'!$C$4="EN","Variable","Değişken")</f>
        <v/>
      </c>
      <c r="C137" s="70">
        <f>INDEX(Translations!$D:$ZZ, MATCH(30,Translations!$A:$A,0), MATCH('Project Information'!$C$4,Translations!$D$1:$ZZ$1,0))</f>
        <v/>
      </c>
      <c r="D137" s="70">
        <f>INDEX(Translations!$D:$ZZ, MATCH(337,Translations!$A:$A,0), MATCH('Project Information'!$C$4,Translations!$D$1:$ZZ$1,0))</f>
        <v/>
      </c>
      <c r="E137" s="70">
        <f>INDEX(Translations!$D:$ZZ, MATCH(287,Translations!$A:$A,0), MATCH('Project Information'!$C$4,Translations!$D$1:$ZZ$1,0))</f>
        <v/>
      </c>
      <c r="F137" s="67" t="n">
        <v>1</v>
      </c>
      <c r="G137" s="67" t="n"/>
      <c r="H137" s="67" t="n"/>
      <c r="I137" s="67" t="n">
        <v>0.5</v>
      </c>
      <c r="J137" s="67" t="n">
        <v>0.5</v>
      </c>
      <c r="K137" s="67" t="n"/>
      <c r="L137" s="67" t="n"/>
      <c r="M137" s="67" t="n">
        <v>1</v>
      </c>
      <c r="N137" s="67" t="n">
        <v>1</v>
      </c>
      <c r="O137" s="67" t="n"/>
      <c r="P137" s="67" t="n"/>
      <c r="Q137" s="67" t="n"/>
      <c r="R137" s="67" t="n"/>
      <c r="S137" s="67" t="n"/>
      <c r="T137" s="67" t="n"/>
      <c r="U137" s="38">
        <f>SUM(F140:T140)</f>
        <v/>
      </c>
    </row>
    <row r="138" ht="15" customHeight="1" s="39">
      <c r="B138" s="70">
        <f>IF('Project Information'!$C$4="EN","Variable","Değişken")</f>
        <v/>
      </c>
      <c r="C138" s="70">
        <f>INDEX(Translations!$D:$ZZ, MATCH(30,Translations!$A:$A,0), MATCH('Project Information'!$C$4,Translations!$D$1:$ZZ$1,0))</f>
        <v/>
      </c>
      <c r="D138" s="70">
        <f>INDEX(Translations!$D:$ZZ, MATCH(338,Translations!$A:$A,0), MATCH('Project Information'!$C$4,Translations!$D$1:$ZZ$1,0))</f>
        <v/>
      </c>
      <c r="E138" s="70">
        <f>INDEX(Translations!$D:$ZZ, MATCH(287,Translations!$A:$A,0), MATCH('Project Information'!$C$4,Translations!$D$1:$ZZ$1,0))</f>
        <v/>
      </c>
      <c r="F138" s="67" t="n">
        <v>1</v>
      </c>
      <c r="G138" s="67" t="n"/>
      <c r="H138" s="67" t="n"/>
      <c r="I138" s="67" t="n">
        <v>0.5</v>
      </c>
      <c r="J138" s="67" t="n">
        <v>0.5</v>
      </c>
      <c r="K138" s="67" t="n"/>
      <c r="L138" s="67" t="n"/>
      <c r="M138" s="67" t="n">
        <v>1</v>
      </c>
      <c r="N138" s="67" t="n">
        <v>1</v>
      </c>
      <c r="O138" s="67" t="n"/>
      <c r="P138" s="67" t="n"/>
      <c r="Q138" s="67" t="n"/>
      <c r="R138" s="67" t="n"/>
      <c r="S138" s="67" t="n"/>
      <c r="T138" s="67" t="n"/>
      <c r="U138" s="38">
        <f>SUM(F141:T141)</f>
        <v/>
      </c>
    </row>
    <row r="139" ht="15" customHeight="1" s="39">
      <c r="B139" s="70">
        <f>IF('Project Information'!$C$4="EN","Variable","Değişken")</f>
        <v/>
      </c>
      <c r="C139" s="70">
        <f>INDEX(Translations!$D:$ZZ, MATCH(30,Translations!$A:$A,0), MATCH('Project Information'!$C$4,Translations!$D$1:$ZZ$1,0))</f>
        <v/>
      </c>
      <c r="D139" s="70">
        <f>INDEX(Translations!$D:$ZZ, MATCH(340,Translations!$A:$A,0), MATCH('Project Information'!$C$4,Translations!$D$1:$ZZ$1,0))</f>
        <v/>
      </c>
      <c r="E139" s="70">
        <f>INDEX(Translations!$D:$ZZ, MATCH(287,Translations!$A:$A,0), MATCH('Project Information'!$C$4,Translations!$D$1:$ZZ$1,0))</f>
        <v/>
      </c>
      <c r="F139" s="67" t="n">
        <v>1</v>
      </c>
      <c r="G139" s="67" t="n"/>
      <c r="H139" s="67" t="n"/>
      <c r="I139" s="67" t="n">
        <v>0.5</v>
      </c>
      <c r="J139" s="67" t="n">
        <v>0.5</v>
      </c>
      <c r="K139" s="67" t="n"/>
      <c r="L139" s="67" t="n"/>
      <c r="M139" s="67" t="n">
        <v>1</v>
      </c>
      <c r="N139" s="67" t="n">
        <v>1</v>
      </c>
      <c r="O139" s="67" t="n"/>
      <c r="P139" s="67" t="n"/>
      <c r="Q139" s="67" t="n"/>
      <c r="R139" s="67" t="n"/>
      <c r="S139" s="67" t="n"/>
      <c r="T139" s="67" t="n"/>
      <c r="U139" s="38">
        <f>SUM(F142:T142)</f>
        <v/>
      </c>
    </row>
    <row r="140" ht="15" customHeight="1" s="39">
      <c r="B140" s="70">
        <f>IF('Project Information'!$C$4="EN","Variable","Değişken")</f>
        <v/>
      </c>
      <c r="C140" s="70">
        <f>INDEX(Translations!$D:$ZZ, MATCH(30,Translations!$A:$A,0), MATCH('Project Information'!$C$4,Translations!$D$1:$ZZ$1,0))</f>
        <v/>
      </c>
      <c r="D140" s="70">
        <f>INDEX(Translations!$D:$ZZ, MATCH(339,Translations!$A:$A,0), MATCH('Project Information'!$C$4,Translations!$D$1:$ZZ$1,0))</f>
        <v/>
      </c>
      <c r="E140" s="70">
        <f>INDEX(Translations!$D:$ZZ, MATCH(287,Translations!$A:$A,0), MATCH('Project Information'!$C$4,Translations!$D$1:$ZZ$1,0))</f>
        <v/>
      </c>
      <c r="F140" s="67" t="n">
        <v>1</v>
      </c>
      <c r="G140" s="67" t="n"/>
      <c r="H140" s="67" t="n"/>
      <c r="I140" s="67" t="n">
        <v>0.5</v>
      </c>
      <c r="J140" s="67" t="n">
        <v>0.5</v>
      </c>
      <c r="K140" s="67" t="n"/>
      <c r="L140" s="67" t="n"/>
      <c r="M140" s="67" t="n">
        <v>1</v>
      </c>
      <c r="N140" s="67" t="n">
        <v>1</v>
      </c>
      <c r="O140" s="67" t="n"/>
      <c r="P140" s="67" t="n"/>
      <c r="Q140" s="67" t="n"/>
      <c r="R140" s="67" t="n"/>
      <c r="S140" s="67" t="n"/>
      <c r="T140" s="67" t="n"/>
      <c r="U140" s="38">
        <f>SUM(F143:T143)</f>
        <v/>
      </c>
    </row>
    <row r="141" ht="15" customHeight="1" s="39">
      <c r="B141" s="70">
        <f>IF('Project Information'!$C$4="EN","Variable","Değişken")</f>
        <v/>
      </c>
      <c r="C141" s="70">
        <f>INDEX(Translations!$D:$ZZ, MATCH(183,Translations!$A:$A,0), MATCH('Project Information'!$C$4,Translations!$D$1:$ZZ$1,0))</f>
        <v/>
      </c>
      <c r="D141" s="70">
        <f>INDEX(Translations!$D:$ZZ, MATCH(271,Translations!$A:$A,0), MATCH('Project Information'!$C$4,Translations!$D$1:$ZZ$1,0))</f>
        <v/>
      </c>
      <c r="E141" s="70">
        <f>INDEX(Translations!$D:$ZZ, MATCH(278,Translations!$A:$A,0), MATCH('Project Information'!$C$4,Translations!$D$1:$ZZ$1,0))</f>
        <v/>
      </c>
      <c r="F141" s="67" t="n">
        <v>3</v>
      </c>
      <c r="G141" s="67" t="n">
        <v>2</v>
      </c>
      <c r="H141" s="67" t="n"/>
      <c r="I141" s="67" t="n"/>
      <c r="J141" s="67" t="n">
        <v>2</v>
      </c>
      <c r="K141" s="67" t="n">
        <v>2</v>
      </c>
      <c r="L141" s="67" t="n"/>
      <c r="M141" s="67" t="n"/>
      <c r="N141" s="67" t="n">
        <v>2</v>
      </c>
      <c r="O141" s="67" t="n">
        <v>2</v>
      </c>
      <c r="P141" s="67" t="n">
        <v>2</v>
      </c>
      <c r="Q141" s="67" t="n"/>
      <c r="R141" s="67" t="n">
        <v>2</v>
      </c>
      <c r="S141" s="67" t="n"/>
      <c r="T141" s="67" t="n"/>
      <c r="U141" s="38">
        <f>SUM(F144:T144)</f>
        <v/>
      </c>
    </row>
    <row r="142" ht="15" customHeight="1" s="39">
      <c r="B142" s="70">
        <f>IF('Project Information'!$C$4="EN","Variable","Değişken")</f>
        <v/>
      </c>
      <c r="C142" s="70">
        <f>INDEX(Translations!$D:$ZZ, MATCH(35,Translations!$A:$A,0), MATCH('Project Information'!$C$4,Translations!$D$1:$ZZ$1,0))</f>
        <v/>
      </c>
      <c r="D142" s="70">
        <f>INDEX(Translations!$D:$ZZ, MATCH(333,Translations!$A:$A,0), MATCH('Project Information'!$C$4,Translations!$D$1:$ZZ$1,0))</f>
        <v/>
      </c>
      <c r="E142" s="70">
        <f>INDEX(Translations!$D:$ZZ, MATCH(278,Translations!$A:$A,0), MATCH('Project Information'!$C$4,Translations!$D$1:$ZZ$1,0))</f>
        <v/>
      </c>
      <c r="F142" s="67" t="n">
        <v>1</v>
      </c>
      <c r="G142" s="67" t="n">
        <v>0.5</v>
      </c>
      <c r="H142" s="67" t="n"/>
      <c r="I142" s="67" t="n">
        <v>1</v>
      </c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38">
        <f>SUM(F145:T145)</f>
        <v/>
      </c>
    </row>
    <row r="143" ht="15" customHeight="1" s="39">
      <c r="B143" s="70">
        <f>IF('Project Information'!$C$4="EN","Variable","Değişken")</f>
        <v/>
      </c>
      <c r="C143" s="70">
        <f>INDEX(Translations!$D:$ZZ, MATCH(35,Translations!$A:$A,0), MATCH('Project Information'!$C$4,Translations!$D$1:$ZZ$1,0))</f>
        <v/>
      </c>
      <c r="D143" s="70">
        <f>INDEX(Translations!$D:$ZZ, MATCH(337,Translations!$A:$A,0), MATCH('Project Information'!$C$4,Translations!$D$1:$ZZ$1,0))</f>
        <v/>
      </c>
      <c r="E143" s="70">
        <f>INDEX(Translations!$D:$ZZ, MATCH(293,Translations!$A:$A,0), MATCH('Project Information'!$C$4,Translations!$D$1:$ZZ$1,0))</f>
        <v/>
      </c>
      <c r="F143" s="67" t="n">
        <v>1</v>
      </c>
      <c r="G143" s="67" t="n">
        <v>0.5</v>
      </c>
      <c r="H143" s="67" t="n"/>
      <c r="I143" s="67" t="n">
        <v>1</v>
      </c>
      <c r="J143" s="67" t="n"/>
      <c r="K143" s="67" t="n"/>
      <c r="L143" s="67" t="n"/>
      <c r="M143" s="67" t="n"/>
      <c r="N143" s="67" t="n"/>
      <c r="O143" s="67" t="n"/>
      <c r="P143" s="67" t="n">
        <v>1</v>
      </c>
      <c r="Q143" s="67" t="n"/>
      <c r="R143" s="67" t="n"/>
      <c r="S143" s="67" t="n"/>
      <c r="T143" s="67" t="n"/>
      <c r="U143" s="38">
        <f>SUM(F146:T146)</f>
        <v/>
      </c>
    </row>
    <row r="144" ht="15" customHeight="1" s="39">
      <c r="B144" s="70">
        <f>IF('Project Information'!$C$4="EN","Variable","Değişken")</f>
        <v/>
      </c>
      <c r="C144" s="70">
        <f>INDEX(Translations!$D:$ZZ, MATCH(35,Translations!$A:$A,0), MATCH('Project Information'!$C$4,Translations!$D$1:$ZZ$1,0))</f>
        <v/>
      </c>
      <c r="D144" s="70">
        <f>INDEX(Translations!$D:$ZZ, MATCH(338,Translations!$A:$A,0), MATCH('Project Information'!$C$4,Translations!$D$1:$ZZ$1,0))</f>
        <v/>
      </c>
      <c r="E144" s="70">
        <f>INDEX(Translations!$D:$ZZ, MATCH(293,Translations!$A:$A,0), MATCH('Project Information'!$C$4,Translations!$D$1:$ZZ$1,0))</f>
        <v/>
      </c>
      <c r="F144" s="67" t="n">
        <v>8</v>
      </c>
      <c r="G144" s="67" t="n">
        <v>2</v>
      </c>
      <c r="H144" s="67" t="n"/>
      <c r="I144" s="67" t="n">
        <v>10</v>
      </c>
      <c r="J144" s="67" t="n"/>
      <c r="K144" s="67" t="n"/>
      <c r="L144" s="67" t="n">
        <v>1</v>
      </c>
      <c r="M144" s="67" t="n"/>
      <c r="N144" s="67" t="n"/>
      <c r="O144" s="67" t="n"/>
      <c r="P144" s="67" t="n">
        <v>2</v>
      </c>
      <c r="Q144" s="67" t="n"/>
      <c r="R144" s="67" t="n"/>
      <c r="S144" s="67" t="n"/>
      <c r="T144" s="67" t="n"/>
      <c r="U144" s="38">
        <f>SUM(F147:T147)</f>
        <v/>
      </c>
    </row>
    <row r="145" ht="15" customHeight="1" s="39">
      <c r="B145" s="70">
        <f>IF('Project Information'!$C$4="EN","Variable","Değişken")</f>
        <v/>
      </c>
      <c r="C145" s="70">
        <f>INDEX(Translations!$D:$ZZ, MATCH(35,Translations!$A:$A,0), MATCH('Project Information'!$C$4,Translations!$D$1:$ZZ$1,0))</f>
        <v/>
      </c>
      <c r="D145" s="70">
        <f>INDEX(Translations!$D:$ZZ, MATCH(340,Translations!$A:$A,0), MATCH('Project Information'!$C$4,Translations!$D$1:$ZZ$1,0))</f>
        <v/>
      </c>
      <c r="E145" s="70">
        <f>INDEX(Translations!$D:$ZZ, MATCH(293,Translations!$A:$A,0), MATCH('Project Information'!$C$4,Translations!$D$1:$ZZ$1,0))</f>
        <v/>
      </c>
      <c r="F145" s="67" t="n">
        <v>1</v>
      </c>
      <c r="G145" s="67" t="n">
        <v>0.5</v>
      </c>
      <c r="H145" s="77" t="n"/>
      <c r="I145" s="77" t="n"/>
      <c r="J145" s="67" t="n"/>
      <c r="K145" s="77" t="n"/>
      <c r="L145" s="77" t="n"/>
      <c r="M145" s="67" t="n"/>
      <c r="N145" s="67" t="n"/>
      <c r="O145" s="77" t="n"/>
      <c r="P145" s="77" t="n"/>
      <c r="Q145" s="77" t="n"/>
      <c r="R145" s="77" t="n"/>
      <c r="S145" s="77" t="n"/>
      <c r="T145" s="77" t="n"/>
      <c r="U145" s="38">
        <f>SUM(F148:T148)</f>
        <v/>
      </c>
    </row>
    <row r="146" ht="15" customHeight="1" s="39">
      <c r="B146" s="70">
        <f>IF('Project Information'!$C$4="EN","Variable","Değişken")</f>
        <v/>
      </c>
      <c r="C146" s="70">
        <f>INDEX(Translations!$D:$ZZ, MATCH(35,Translations!$A:$A,0), MATCH('Project Information'!$C$4,Translations!$D$1:$ZZ$1,0))</f>
        <v/>
      </c>
      <c r="D146" s="70">
        <f>INDEX(Translations!$D:$ZZ, MATCH(339,Translations!$A:$A,0), MATCH('Project Information'!$C$4,Translations!$D$1:$ZZ$1,0))</f>
        <v/>
      </c>
      <c r="E146" s="70">
        <f>INDEX(Translations!$D:$ZZ, MATCH(293,Translations!$A:$A,0), MATCH('Project Information'!$C$4,Translations!$D$1:$ZZ$1,0))</f>
        <v/>
      </c>
      <c r="F146" s="67" t="n">
        <v>8</v>
      </c>
      <c r="G146" s="67" t="n">
        <v>2</v>
      </c>
      <c r="H146" s="67" t="n"/>
      <c r="I146" s="67" t="n">
        <v>5</v>
      </c>
      <c r="J146" s="67" t="n"/>
      <c r="K146" s="67" t="n"/>
      <c r="L146" s="67" t="n">
        <v>1</v>
      </c>
      <c r="M146" s="67" t="n"/>
      <c r="N146" s="67" t="n"/>
      <c r="O146" s="67" t="n"/>
      <c r="P146" s="67" t="n">
        <v>2</v>
      </c>
      <c r="Q146" s="67" t="n"/>
      <c r="R146" s="67" t="n">
        <v>4</v>
      </c>
      <c r="S146" s="67" t="n"/>
      <c r="T146" s="67" t="n"/>
      <c r="U146" s="38">
        <f>SUM(F149:T149)</f>
        <v/>
      </c>
    </row>
    <row r="147" ht="15" customHeight="1" s="39">
      <c r="B147" s="70">
        <f>IF('Project Information'!$C$4="EN","Variable","Değişken")</f>
        <v/>
      </c>
      <c r="C147" s="70">
        <f>INDEX(Translations!$D:$ZZ, MATCH(261,Translations!$A:$A,0), MATCH('Project Information'!$C$4,Translations!$D$1:$ZZ$1,0))</f>
        <v/>
      </c>
      <c r="D147" s="70">
        <f>INDEX(Translations!$D:$ZZ, MATCH(344,Translations!$A:$A,0), MATCH('Project Information'!$C$4,Translations!$D$1:$ZZ$1,0))</f>
        <v/>
      </c>
      <c r="E147" s="70">
        <f>INDEX(Translations!$D:$ZZ, MATCH(278,Translations!$A:$A,0), MATCH('Project Information'!$C$4,Translations!$D$1:$ZZ$1,0))</f>
        <v/>
      </c>
      <c r="F147" s="67" t="n">
        <v>3</v>
      </c>
      <c r="G147" s="67" t="n">
        <v>1</v>
      </c>
      <c r="H147" s="67" t="n">
        <v>1</v>
      </c>
      <c r="I147" s="67" t="n">
        <v>4</v>
      </c>
      <c r="J147" s="67" t="n">
        <v>5</v>
      </c>
      <c r="K147" s="67" t="n">
        <v>3</v>
      </c>
      <c r="L147" s="67" t="n">
        <v>2</v>
      </c>
      <c r="M147" s="67" t="n">
        <v>2</v>
      </c>
      <c r="N147" s="67" t="n">
        <v>2</v>
      </c>
      <c r="O147" s="67" t="n"/>
      <c r="P147" s="67" t="n">
        <v>3</v>
      </c>
      <c r="Q147" s="67" t="n">
        <v>1</v>
      </c>
      <c r="R147" s="67" t="n">
        <v>3</v>
      </c>
      <c r="S147" s="67" t="n"/>
      <c r="T147" s="67" t="n"/>
      <c r="U147" s="38">
        <f>SUM(F150:T150)</f>
        <v/>
      </c>
    </row>
    <row r="148" ht="15" customHeight="1" s="39">
      <c r="B148" s="70">
        <f>IF('Project Information'!$C$4="EN","Variable","Değişken")</f>
        <v/>
      </c>
      <c r="C148" s="70">
        <f>INDEX(Translations!$D:$ZZ, MATCH(248,Translations!$A:$A,0), MATCH('Project Information'!$C$4,Translations!$D$1:$ZZ$1,0))</f>
        <v/>
      </c>
      <c r="D148" s="70">
        <f>INDEX(Translations!$D:$ZZ, MATCH(346,Translations!$A:$A,0), MATCH('Project Information'!$C$4,Translations!$D$1:$ZZ$1,0))</f>
        <v/>
      </c>
      <c r="E148" s="70">
        <f>INDEX(Translations!$D:$ZZ, MATCH(278,Translations!$A:$A,0), MATCH('Project Information'!$C$4,Translations!$D$1:$ZZ$1,0))</f>
        <v/>
      </c>
      <c r="F148" s="73" t="n"/>
      <c r="G148" s="73" t="n"/>
      <c r="H148" s="73" t="n"/>
      <c r="I148" s="73" t="n">
        <v>14</v>
      </c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>
        <v>0</v>
      </c>
      <c r="T148" s="73" t="n">
        <v>0</v>
      </c>
      <c r="U148" s="38">
        <f>SUM(F151:T151)</f>
        <v/>
      </c>
    </row>
    <row r="149" ht="15" customHeight="1" s="39">
      <c r="B149" s="70">
        <f>IF('Project Information'!$C$4="EN","Variable","Değişken")</f>
        <v/>
      </c>
      <c r="C149" s="70">
        <f>INDEX(Translations!$D:$ZZ, MATCH(248,Translations!$A:$A,0), MATCH('Project Information'!$C$4,Translations!$D$1:$ZZ$1,0))</f>
        <v/>
      </c>
      <c r="D149" s="70">
        <f>INDEX(Translations!$D:$ZZ, MATCH(341,Translations!$A:$A,0), MATCH('Project Information'!$C$4,Translations!$D$1:$ZZ$1,0))</f>
        <v/>
      </c>
      <c r="E149" s="70">
        <f>INDEX(Translations!$D:$ZZ, MATCH(278,Translations!$A:$A,0), MATCH('Project Information'!$C$4,Translations!$D$1:$ZZ$1,0))</f>
        <v/>
      </c>
      <c r="F149" s="67" t="n">
        <v>4</v>
      </c>
      <c r="G149" s="67" t="n">
        <v>2</v>
      </c>
      <c r="H149" s="67" t="n"/>
      <c r="I149" s="67" t="n"/>
      <c r="J149" s="67" t="n">
        <v>5</v>
      </c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>
        <v>0</v>
      </c>
      <c r="T149" s="67" t="n">
        <v>0</v>
      </c>
      <c r="U149" s="38">
        <f>SUM(F152:T152)</f>
        <v/>
      </c>
    </row>
  </sheetData>
  <printOptions horizontalCentered="0" verticalCentered="0" headings="0" gridLines="0" gridLinesSet="1"/>
  <pageMargins left="0.7" right="0.7" top="0.75" bottom="0.75" header="0.3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I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baseColWidth="8" defaultColWidth="8.57421875" defaultRowHeight="15" customHeight="1" zeroHeight="0" outlineLevelRow="0"/>
  <cols>
    <col width="8" customWidth="1" style="38" min="1" max="1"/>
    <col width="18" customWidth="1" style="38" min="2" max="2"/>
    <col width="55" customWidth="1" style="38" min="3" max="3"/>
    <col width="30" customWidth="1" style="38" min="4" max="4"/>
    <col width="34.57" customWidth="1" style="38" min="5" max="5"/>
    <col width="46.86" customWidth="1" style="38" min="6" max="6"/>
    <col width="12" customWidth="1" style="38" min="7" max="7"/>
    <col width="62.14" customWidth="1" style="38" min="8" max="8"/>
    <col width="79.86" customWidth="1" style="38" min="9" max="9"/>
  </cols>
  <sheetData>
    <row r="1" ht="15" customHeight="1" s="39">
      <c r="A1" s="67" t="inlineStr">
        <is>
          <t>No</t>
        </is>
      </c>
      <c r="B1" s="67" t="inlineStr">
        <is>
          <t>Variable Type</t>
        </is>
      </c>
      <c r="C1" s="67" t="inlineStr">
        <is>
          <t>Question</t>
        </is>
      </c>
      <c r="D1" s="67" t="inlineStr">
        <is>
          <t>Allowed Industries</t>
        </is>
      </c>
      <c r="E1" s="67" t="inlineStr">
        <is>
          <t>Allowed Implementation Types</t>
        </is>
      </c>
      <c r="F1" s="67" t="inlineStr">
        <is>
          <t>Allowed System Types</t>
        </is>
      </c>
      <c r="G1" s="67" t="inlineStr">
        <is>
          <t>Active?</t>
        </is>
      </c>
      <c r="H1" s="67" t="inlineStr">
        <is>
          <t>Notes</t>
        </is>
      </c>
      <c r="I1" s="38" t="inlineStr">
        <is>
          <t>Usage</t>
        </is>
      </c>
    </row>
    <row r="2" ht="15" customHeight="1" s="39">
      <c r="A2" s="38" t="n">
        <v>1</v>
      </c>
      <c r="B2" s="38">
        <f>INDEX(Translations!$D:$ZZ, MATCH(166,Translations!$A:$A,0), MATCH('Project Information'!$C$4,Translations!$D$1:$ZZ$1,0))</f>
        <v/>
      </c>
      <c r="C2" s="38">
        <f>INDEX(Translations!$D:$ZZ, MATCH(25,Translations!$A:$A,0), MATCH('Project Information'!$C$4,Translations!$D$1:$ZZ$1,0))</f>
        <v/>
      </c>
      <c r="D2" s="38" t="inlineStr">
        <is>
          <t>All</t>
        </is>
      </c>
      <c r="E2" s="38" t="inlineStr">
        <is>
          <t>All</t>
        </is>
      </c>
      <c r="F2" s="38" t="inlineStr">
        <is>
          <t>All</t>
        </is>
      </c>
      <c r="G2" s="38" t="inlineStr">
        <is>
          <t>Yes</t>
        </is>
      </c>
      <c r="H2" s="38" t="inlineStr">
        <is>
          <t>All = tüm seçeneklerde göster; birden fazla değer için virgül kullanın.</t>
        </is>
      </c>
      <c r="I2" s="38" t="inlineStr">
        <is>
          <t>Scope/Development Applicable? filtresi TRUE seçiliyken sadece uygun sorular gösterilir.</t>
        </is>
      </c>
    </row>
    <row r="3" ht="15" customHeight="1" s="39">
      <c r="A3" s="38" t="n">
        <v>2</v>
      </c>
      <c r="B3" s="38">
        <f>INDEX(Translations!$D:$ZZ, MATCH(166,Translations!$A:$A,0), MATCH('Project Information'!$C$4,Translations!$D$1:$ZZ$1,0))</f>
        <v/>
      </c>
      <c r="C3" s="38">
        <f>INDEX(Translations!$D:$ZZ, MATCH(164,Translations!$A:$A,0), MATCH('Project Information'!$C$4,Translations!$D$1:$ZZ$1,0))</f>
        <v/>
      </c>
      <c r="D3" s="38" t="inlineStr">
        <is>
          <t>All</t>
        </is>
      </c>
      <c r="E3" s="38" t="inlineStr">
        <is>
          <t>Greenfield, Brownfield, Rollout, Migration, Upgrade</t>
        </is>
      </c>
      <c r="F3" s="38" t="inlineStr">
        <is>
          <t>All</t>
        </is>
      </c>
      <c r="G3" s="38" t="inlineStr">
        <is>
          <t>Yes</t>
        </is>
      </c>
      <c r="H3" s="38" t="inlineStr">
        <is>
          <t>All = tüm seçeneklerde göster; birden fazla değer için virgül kullanın.</t>
        </is>
      </c>
    </row>
    <row r="4" ht="15" customHeight="1" s="39">
      <c r="A4" s="38" t="n">
        <v>3</v>
      </c>
      <c r="B4" s="38">
        <f>INDEX(Translations!$D:$ZZ, MATCH(166,Translations!$A:$A,0), MATCH('Project Information'!$C$4,Translations!$D$1:$ZZ$1,0))</f>
        <v/>
      </c>
      <c r="C4" s="38">
        <f>INDEX(Translations!$D:$ZZ, MATCH(30,Translations!$A:$A,0), MATCH('Project Information'!$C$4,Translations!$D$1:$ZZ$1,0))</f>
        <v/>
      </c>
      <c r="D4" s="38" t="inlineStr">
        <is>
          <t>All</t>
        </is>
      </c>
      <c r="E4" s="38" t="inlineStr">
        <is>
          <t>Greenfield, Brownfield, Rollout, Migration, Upgrade</t>
        </is>
      </c>
      <c r="F4" s="38" t="inlineStr">
        <is>
          <t>All</t>
        </is>
      </c>
      <c r="G4" s="38" t="inlineStr">
        <is>
          <t>Yes</t>
        </is>
      </c>
      <c r="H4" s="38" t="inlineStr">
        <is>
          <t>All = tüm seçeneklerde göster; birden fazla değer için virgül kullanın.</t>
        </is>
      </c>
    </row>
    <row r="5" ht="15" customHeight="1" s="39">
      <c r="A5" s="38" t="n">
        <v>4</v>
      </c>
      <c r="B5" s="38">
        <f>INDEX(Translations!$D:$ZZ, MATCH(166,Translations!$A:$A,0), MATCH('Project Information'!$C$4,Translations!$D$1:$ZZ$1,0))</f>
        <v/>
      </c>
      <c r="C5" s="38">
        <f>INDEX(Translations!$D:$ZZ, MATCH(167,Translations!$A:$A,0), MATCH('Project Information'!$C$4,Translations!$D$1:$ZZ$1,0))</f>
        <v/>
      </c>
      <c r="D5" s="38" t="inlineStr">
        <is>
          <t>All</t>
        </is>
      </c>
      <c r="E5" s="38" t="inlineStr">
        <is>
          <t>Greenfield, Brownfield, Rollout, Migration, Upgrade</t>
        </is>
      </c>
      <c r="F5" s="38" t="inlineStr">
        <is>
          <t>All</t>
        </is>
      </c>
      <c r="G5" s="38" t="inlineStr">
        <is>
          <t>Yes</t>
        </is>
      </c>
      <c r="H5" s="38" t="inlineStr">
        <is>
          <t>All = tüm seçeneklerde göster; birden fazla değer için virgül kullanın.</t>
        </is>
      </c>
    </row>
    <row r="6" ht="15" customHeight="1" s="39">
      <c r="A6" s="38" t="n">
        <v>5</v>
      </c>
      <c r="B6" s="38">
        <f>INDEX(Translations!$D:$ZZ, MATCH(166,Translations!$A:$A,0), MATCH('Project Information'!$C$4,Translations!$D$1:$ZZ$1,0))</f>
        <v/>
      </c>
      <c r="C6" s="38">
        <f>INDEX(Translations!$D:$ZZ, MATCH(28,Translations!$A:$A,0), MATCH('Project Information'!$C$4,Translations!$D$1:$ZZ$1,0))</f>
        <v/>
      </c>
      <c r="D6" s="38" t="inlineStr">
        <is>
          <t>All</t>
        </is>
      </c>
      <c r="E6" s="38" t="inlineStr">
        <is>
          <t>Greenfield, Brownfield, Rollout, Migration, Upgrade</t>
        </is>
      </c>
      <c r="F6" s="38" t="inlineStr">
        <is>
          <t>All</t>
        </is>
      </c>
      <c r="G6" s="38" t="inlineStr">
        <is>
          <t>Yes</t>
        </is>
      </c>
      <c r="H6" s="38" t="inlineStr">
        <is>
          <t>All = tüm seçeneklerde göster; birden fazla değer için virgül kullanın.</t>
        </is>
      </c>
    </row>
    <row r="7" ht="15" customHeight="1" s="39">
      <c r="A7" s="38" t="n">
        <v>6</v>
      </c>
      <c r="B7" s="38">
        <f>INDEX(Translations!$D:$ZZ, MATCH(166,Translations!$A:$A,0), MATCH('Project Information'!$C$4,Translations!$D$1:$ZZ$1,0))</f>
        <v/>
      </c>
      <c r="C7" s="38">
        <f>INDEX(Translations!$D:$ZZ, MATCH(44,Translations!$A:$A,0), MATCH('Project Information'!$C$4,Translations!$D$1:$ZZ$1,0))</f>
        <v/>
      </c>
      <c r="D7" s="38" t="inlineStr">
        <is>
          <t>All</t>
        </is>
      </c>
      <c r="E7" s="38" t="inlineStr">
        <is>
          <t>Greenfield, Brownfield, Rollout, Migration, Upgrade</t>
        </is>
      </c>
      <c r="F7" s="38" t="inlineStr">
        <is>
          <t>All</t>
        </is>
      </c>
      <c r="G7" s="38" t="inlineStr">
        <is>
          <t>Yes</t>
        </is>
      </c>
      <c r="H7" s="38" t="inlineStr">
        <is>
          <t>All = tüm seçeneklerde göster; birden fazla değer için virgül kullanın.</t>
        </is>
      </c>
    </row>
    <row r="8" ht="15" customHeight="1" s="39">
      <c r="A8" s="38" t="n">
        <v>7</v>
      </c>
      <c r="B8" s="38">
        <f>INDEX(Translations!$D:$ZZ, MATCH(166,Translations!$A:$A,0), MATCH('Project Information'!$C$4,Translations!$D$1:$ZZ$1,0))</f>
        <v/>
      </c>
      <c r="C8" s="38">
        <f>INDEX(Translations!$D:$ZZ, MATCH(32,Translations!$A:$A,0), MATCH('Project Information'!$C$4,Translations!$D$1:$ZZ$1,0))</f>
        <v/>
      </c>
      <c r="D8" s="38" t="inlineStr">
        <is>
          <t>All</t>
        </is>
      </c>
      <c r="E8" s="38" t="inlineStr">
        <is>
          <t>Greenfield, Brownfield, Rollout, Migration, Upgrade</t>
        </is>
      </c>
      <c r="F8" s="38" t="inlineStr">
        <is>
          <t>All</t>
        </is>
      </c>
      <c r="G8" s="38" t="inlineStr">
        <is>
          <t>Yes</t>
        </is>
      </c>
      <c r="H8" s="38" t="inlineStr">
        <is>
          <t>All = tüm seçeneklerde göster; birden fazla değer için virgül kullanın.</t>
        </is>
      </c>
    </row>
    <row r="9" ht="15" customHeight="1" s="39">
      <c r="A9" s="38" t="n">
        <v>8</v>
      </c>
      <c r="B9" s="38">
        <f>INDEX(Translations!$D:$ZZ, MATCH(166,Translations!$A:$A,0), MATCH('Project Information'!$C$4,Translations!$D$1:$ZZ$1,0))</f>
        <v/>
      </c>
      <c r="C9" s="38">
        <f>INDEX(Translations!$D:$ZZ, MATCH(35,Translations!$A:$A,0), MATCH('Project Information'!$C$4,Translations!$D$1:$ZZ$1,0))</f>
        <v/>
      </c>
      <c r="D9" s="38" t="inlineStr">
        <is>
          <t>Ambalaj, Demir &amp; Çelik</t>
        </is>
      </c>
      <c r="E9" s="38" t="inlineStr">
        <is>
          <t>Greenfield, Brownfield, Rollout, Migration, Upgrade</t>
        </is>
      </c>
      <c r="F9" s="38" t="inlineStr">
        <is>
          <t>All</t>
        </is>
      </c>
      <c r="G9" s="38" t="inlineStr">
        <is>
          <t>Yes</t>
        </is>
      </c>
      <c r="H9" s="38" t="inlineStr">
        <is>
          <t>All = tüm seçeneklerde göster; birden fazla değer için virgül kullanın.</t>
        </is>
      </c>
    </row>
    <row r="10" ht="15" customHeight="1" s="39">
      <c r="A10" s="38" t="n">
        <v>9</v>
      </c>
      <c r="B10" s="38">
        <f>INDEX(Translations!$D:$ZZ, MATCH(166,Translations!$A:$A,0), MATCH('Project Information'!$C$4,Translations!$D$1:$ZZ$1,0))</f>
        <v/>
      </c>
      <c r="C10" s="38">
        <f>INDEX(Translations!$D:$ZZ, MATCH(37,Translations!$A:$A,0), MATCH('Project Information'!$C$4,Translations!$D$1:$ZZ$1,0))</f>
        <v/>
      </c>
      <c r="D10" s="38" t="inlineStr">
        <is>
          <t>Konfeksiyon, Otomotiv</t>
        </is>
      </c>
      <c r="E10" s="38" t="inlineStr">
        <is>
          <t>Greenfield, Brownfield, Rollout, Migration, Upgrade</t>
        </is>
      </c>
      <c r="F10" s="38" t="inlineStr">
        <is>
          <t>All</t>
        </is>
      </c>
      <c r="G10" s="38" t="inlineStr">
        <is>
          <t>Yes</t>
        </is>
      </c>
      <c r="H10" s="38" t="inlineStr">
        <is>
          <t>All = tüm seçeneklerde göster; birden fazla değer için virgül kullanın.</t>
        </is>
      </c>
    </row>
    <row r="11" ht="15" customHeight="1" s="39">
      <c r="A11" s="38" t="n">
        <v>10</v>
      </c>
      <c r="B11" s="38">
        <f>INDEX(Translations!$D:$ZZ, MATCH(166,Translations!$A:$A,0), MATCH('Project Information'!$C$4,Translations!$D$1:$ZZ$1,0))</f>
        <v/>
      </c>
      <c r="C11" s="38">
        <f>INDEX(Translations!$D:$ZZ, MATCH(40,Translations!$A:$A,0), MATCH('Project Information'!$C$4,Translations!$D$1:$ZZ$1,0))</f>
        <v/>
      </c>
      <c r="D11" s="38" t="inlineStr">
        <is>
          <t>Otomotiv</t>
        </is>
      </c>
      <c r="E11" s="38" t="inlineStr">
        <is>
          <t>Greenfield, Brownfield, Rollout, Migration, Upgrade</t>
        </is>
      </c>
      <c r="F11" s="38" t="inlineStr">
        <is>
          <t>All</t>
        </is>
      </c>
      <c r="G11" s="38" t="inlineStr">
        <is>
          <t>Yes</t>
        </is>
      </c>
      <c r="H11" s="38" t="inlineStr">
        <is>
          <t>All = tüm seçeneklerde göster; birden fazla değer için virgül kullanın.</t>
        </is>
      </c>
      <c r="I11" s="66" t="n"/>
    </row>
    <row r="12" ht="15" customHeight="1" s="39">
      <c r="A12" s="38" t="n">
        <v>11</v>
      </c>
      <c r="B12" s="38">
        <f>INDEX(Translations!$D:$ZZ, MATCH(166,Translations!$A:$A,0), MATCH('Project Information'!$C$4,Translations!$D$1:$ZZ$1,0))</f>
        <v/>
      </c>
      <c r="C12" s="38">
        <f>INDEX(Translations!$D:$ZZ, MATCH(46,Translations!$A:$A,0), MATCH('Project Information'!$C$4,Translations!$D$1:$ZZ$1,0))</f>
        <v/>
      </c>
      <c r="D12" s="38" t="inlineStr">
        <is>
          <t>All</t>
        </is>
      </c>
      <c r="E12" s="38" t="inlineStr">
        <is>
          <t>Greenfield, Brownfield, Rollout, Migration, Upgrade</t>
        </is>
      </c>
      <c r="F12" s="38" t="inlineStr">
        <is>
          <t>All</t>
        </is>
      </c>
      <c r="G12" s="38" t="inlineStr">
        <is>
          <t>Yes</t>
        </is>
      </c>
      <c r="H12" s="38" t="inlineStr">
        <is>
          <t>All = tüm seçeneklerde göster; birden fazla değer için virgül kullanın.</t>
        </is>
      </c>
      <c r="I12" s="66" t="n"/>
    </row>
    <row r="13" ht="15" customHeight="1" s="39">
      <c r="A13" s="38" t="n">
        <v>12</v>
      </c>
      <c r="B13" s="38">
        <f>INDEX(Translations!$D:$ZZ, MATCH(166,Translations!$A:$A,0), MATCH('Project Information'!$C$4,Translations!$D$1:$ZZ$1,0))</f>
        <v/>
      </c>
      <c r="C13" s="38">
        <f>INDEX(Translations!$D:$ZZ, MATCH(231,Translations!$A:$A,0), MATCH('Project Information'!$C$4,Translations!$D$1:$ZZ$1,0))</f>
        <v/>
      </c>
      <c r="D13" s="38" t="inlineStr">
        <is>
          <t>Demir &amp; Çelik</t>
        </is>
      </c>
      <c r="E13" s="38" t="inlineStr">
        <is>
          <t>Greenfield, Brownfield, Rollout, Migration, Upgrade</t>
        </is>
      </c>
      <c r="F13" s="38" t="inlineStr">
        <is>
          <t>All</t>
        </is>
      </c>
      <c r="G13" s="38" t="inlineStr">
        <is>
          <t>Yes</t>
        </is>
      </c>
      <c r="H13" s="38" t="inlineStr">
        <is>
          <t>All = tüm seçeneklerde göster; birden fazla değer için virgül kullanın.</t>
        </is>
      </c>
      <c r="I13" s="66" t="n"/>
    </row>
    <row r="14" ht="15" customHeight="1" s="39">
      <c r="A14" s="38" t="n">
        <v>13</v>
      </c>
      <c r="B14" s="38">
        <f>INDEX(Translations!$D:$ZZ, MATCH(166,Translations!$A:$A,0), MATCH('Project Information'!$C$4,Translations!$D$1:$ZZ$1,0))</f>
        <v/>
      </c>
      <c r="C14" s="38">
        <f>INDEX(Translations!$D:$ZZ, MATCH(232,Translations!$A:$A,0), MATCH('Project Information'!$C$4,Translations!$D$1:$ZZ$1,0))</f>
        <v/>
      </c>
      <c r="D14" s="38" t="inlineStr">
        <is>
          <t>All</t>
        </is>
      </c>
      <c r="E14" s="38" t="inlineStr">
        <is>
          <t>Greenfield, Brownfield, Rollout, Migration, Upgrade</t>
        </is>
      </c>
      <c r="F14" s="38" t="inlineStr">
        <is>
          <t>All</t>
        </is>
      </c>
      <c r="G14" s="38" t="inlineStr">
        <is>
          <t>Yes</t>
        </is>
      </c>
      <c r="H14" s="38" t="inlineStr">
        <is>
          <t>All = tüm seçeneklerde göster; birden fazla değer için virgül kullanın.</t>
        </is>
      </c>
      <c r="I14" s="66" t="n"/>
    </row>
    <row r="15" ht="15" customHeight="1" s="39">
      <c r="A15" s="38" t="n">
        <v>14</v>
      </c>
      <c r="B15" s="38">
        <f>INDEX(Translations!$D:$ZZ, MATCH(166,Translations!$A:$A,0), MATCH('Project Information'!$C$4,Translations!$D$1:$ZZ$1,0))</f>
        <v/>
      </c>
      <c r="C15" s="38">
        <f>INDEX(Translations!$D:$ZZ, MATCH(243,Translations!$A:$A,0), MATCH('Project Information'!$C$4,Translations!$D$1:$ZZ$1,0))</f>
        <v/>
      </c>
      <c r="D15" s="38" t="inlineStr">
        <is>
          <t>All</t>
        </is>
      </c>
      <c r="E15" s="38" t="inlineStr">
        <is>
          <t>Greenfield, Brownfield, Rollout, Migration, Upgrade</t>
        </is>
      </c>
      <c r="F15" s="38" t="inlineStr">
        <is>
          <t>All</t>
        </is>
      </c>
      <c r="G15" s="38" t="inlineStr">
        <is>
          <t>Yes</t>
        </is>
      </c>
      <c r="H15" s="38" t="inlineStr">
        <is>
          <t>All = tüm seçeneklerde göster; birden fazla değer için virgül kullanın.</t>
        </is>
      </c>
      <c r="I15" s="66" t="n"/>
    </row>
    <row r="16" ht="15" customHeight="1" s="39">
      <c r="A16" s="38" t="n">
        <v>15</v>
      </c>
      <c r="B16" s="38">
        <f>INDEX(Translations!$D:$ZZ, MATCH(166,Translations!$A:$A,0), MATCH('Project Information'!$C$4,Translations!$D$1:$ZZ$1,0))</f>
        <v/>
      </c>
      <c r="C16" s="38">
        <f>INDEX(Translations!$D:$ZZ, MATCH(253,Translations!$A:$A,0), MATCH('Project Information'!$C$4,Translations!$D$1:$ZZ$1,0))</f>
        <v/>
      </c>
      <c r="D16" s="38" t="inlineStr">
        <is>
          <t>All</t>
        </is>
      </c>
      <c r="E16" s="38" t="inlineStr">
        <is>
          <t>Greenfield, Brownfield, Rollout, Migration, Upgrade</t>
        </is>
      </c>
      <c r="F16" s="38" t="inlineStr">
        <is>
          <t>All</t>
        </is>
      </c>
      <c r="G16" s="38" t="inlineStr">
        <is>
          <t>Yes</t>
        </is>
      </c>
      <c r="H16" s="38" t="inlineStr">
        <is>
          <t>All = tüm seçeneklerde göster; birden fazla değer için virgül kullanın.</t>
        </is>
      </c>
      <c r="I16" s="66" t="n"/>
    </row>
    <row r="17" ht="15" customHeight="1" s="39">
      <c r="A17" s="38" t="n">
        <v>16</v>
      </c>
      <c r="B17" s="38">
        <f>INDEX(Translations!$D:$ZZ, MATCH(166,Translations!$A:$A,0), MATCH('Project Information'!$C$4,Translations!$D$1:$ZZ$1,0))</f>
        <v/>
      </c>
      <c r="C17" s="38">
        <f>INDEX(Translations!$D:$ZZ, MATCH(257,Translations!$A:$A,0), MATCH('Project Information'!$C$4,Translations!$D$1:$ZZ$1,0))</f>
        <v/>
      </c>
      <c r="D17" s="38" t="inlineStr">
        <is>
          <t>All</t>
        </is>
      </c>
      <c r="E17" s="38" t="inlineStr">
        <is>
          <t>Greenfield, Brownfield, Rollout, Migration, Upgrade</t>
        </is>
      </c>
      <c r="F17" s="38" t="inlineStr">
        <is>
          <t>All</t>
        </is>
      </c>
      <c r="G17" s="38" t="inlineStr">
        <is>
          <t>Yes</t>
        </is>
      </c>
      <c r="H17" s="38" t="inlineStr">
        <is>
          <t>All = tüm seçeneklerde göster; birden fazla değer için virgül kullanın.</t>
        </is>
      </c>
    </row>
    <row r="18" ht="15" customHeight="1" s="39">
      <c r="A18" s="38" t="n">
        <v>17</v>
      </c>
      <c r="B18" s="38">
        <f>INDEX(Translations!$D:$ZZ, MATCH(166,Translations!$A:$A,0), MATCH('Project Information'!$C$4,Translations!$D$1:$ZZ$1,0))</f>
        <v/>
      </c>
      <c r="C18" s="38">
        <f>INDEX(Translations!$D:$ZZ, MATCH(259,Translations!$A:$A,0), MATCH('Project Information'!$C$4,Translations!$D$1:$ZZ$1,0))</f>
        <v/>
      </c>
      <c r="D18" s="38" t="inlineStr">
        <is>
          <t>All</t>
        </is>
      </c>
      <c r="E18" s="38" t="inlineStr">
        <is>
          <t>Greenfield, Brownfield, Rollout, Migration, Upgrade</t>
        </is>
      </c>
      <c r="F18" s="38" t="inlineStr">
        <is>
          <t>All</t>
        </is>
      </c>
      <c r="G18" s="38" t="inlineStr">
        <is>
          <t>Yes</t>
        </is>
      </c>
      <c r="H18" s="38" t="inlineStr">
        <is>
          <t>All = tüm seçeneklerde göster; birden fazla değer için virgül kullanın.</t>
        </is>
      </c>
    </row>
    <row r="19" ht="15" customHeight="1" s="39">
      <c r="A19" s="38" t="n">
        <v>18</v>
      </c>
      <c r="B19" s="38">
        <f>INDEX(Translations!$D:$ZZ, MATCH(166,Translations!$A:$A,0), MATCH('Project Information'!$C$4,Translations!$D$1:$ZZ$1,0))</f>
        <v/>
      </c>
      <c r="C19" s="38">
        <f>INDEX(Translations!$D:$ZZ, MATCH(261,Translations!$A:$A,0), MATCH('Project Information'!$C$4,Translations!$D$1:$ZZ$1,0))</f>
        <v/>
      </c>
      <c r="D19" s="38" t="inlineStr">
        <is>
          <t>All</t>
        </is>
      </c>
      <c r="E19" s="38" t="inlineStr">
        <is>
          <t>Greenfield, Brownfield, Rollout, Migration, Upgrade</t>
        </is>
      </c>
      <c r="F19" s="38" t="inlineStr">
        <is>
          <t>All</t>
        </is>
      </c>
      <c r="G19" s="38" t="inlineStr">
        <is>
          <t>Yes</t>
        </is>
      </c>
      <c r="H19" s="38" t="inlineStr">
        <is>
          <t>All = tüm seçeneklerde göster; birden fazla değer için virgül kullanın.</t>
        </is>
      </c>
    </row>
    <row r="20" ht="15" customHeight="1" s="39">
      <c r="A20" s="38" t="n">
        <v>19</v>
      </c>
      <c r="B20" s="38">
        <f>INDEX(Translations!$D:$ZZ, MATCH(166,Translations!$A:$A,0), MATCH('Project Information'!$C$4,Translations!$D$1:$ZZ$1,0))</f>
        <v/>
      </c>
      <c r="C20" s="38">
        <f>INDEX(Translations!$D:$ZZ, MATCH(265,Translations!$A:$A,0), MATCH('Project Information'!$C$4,Translations!$D$1:$ZZ$1,0))</f>
        <v/>
      </c>
      <c r="D20" s="38" t="inlineStr">
        <is>
          <t>All</t>
        </is>
      </c>
      <c r="E20" s="38" t="inlineStr">
        <is>
          <t>Greenfield, Brownfield, Rollout, Migration, Upgrade</t>
        </is>
      </c>
      <c r="F20" s="38" t="inlineStr">
        <is>
          <t>All</t>
        </is>
      </c>
      <c r="G20" s="38" t="inlineStr">
        <is>
          <t>Yes</t>
        </is>
      </c>
      <c r="H20" s="38" t="inlineStr">
        <is>
          <t>All = tüm seçeneklerde göster; birden fazla değer için virgül kullanın.</t>
        </is>
      </c>
    </row>
    <row r="21" ht="15" customHeight="1" s="39">
      <c r="A21" s="38" t="n">
        <v>20</v>
      </c>
      <c r="B21" s="38">
        <f>INDEX(Translations!$D:$ZZ, MATCH(166,Translations!$A:$A,0), MATCH('Project Information'!$C$4,Translations!$D$1:$ZZ$1,0))</f>
        <v/>
      </c>
      <c r="C21" s="38">
        <f>INDEX(Translations!$D:$ZZ, MATCH(185,Translations!$A:$A,0), MATCH('Project Information'!$C$4,Translations!$D$1:$ZZ$1,0))</f>
        <v/>
      </c>
      <c r="D21" s="38" t="inlineStr">
        <is>
          <t>All</t>
        </is>
      </c>
      <c r="E21" s="38" t="inlineStr">
        <is>
          <t>Greenfield, Brownfield, Rollout, Migration, Upgrade</t>
        </is>
      </c>
      <c r="F21" s="38" t="inlineStr">
        <is>
          <t>All</t>
        </is>
      </c>
      <c r="G21" s="38" t="inlineStr">
        <is>
          <t>Yes</t>
        </is>
      </c>
      <c r="H21" s="38" t="inlineStr">
        <is>
          <t>All = tüm seçeneklerde göster; birden fazla değer için virgül kullanın.</t>
        </is>
      </c>
    </row>
    <row r="22" ht="15" customHeight="1" s="39">
      <c r="A22" s="38" t="n">
        <v>21</v>
      </c>
      <c r="B22" s="38">
        <f>INDEX(Translations!$D:$ZZ, MATCH(166,Translations!$A:$A,0), MATCH('Project Information'!$C$4,Translations!$D$1:$ZZ$1,0))</f>
        <v/>
      </c>
      <c r="C22" s="38">
        <f>INDEX(Translations!$D:$ZZ, MATCH(187,Translations!$A:$A,0), MATCH('Project Information'!$C$4,Translations!$D$1:$ZZ$1,0))</f>
        <v/>
      </c>
      <c r="D22" s="38" t="inlineStr">
        <is>
          <t>All</t>
        </is>
      </c>
      <c r="E22" s="38" t="inlineStr">
        <is>
          <t>Greenfield, Brownfield, Rollout, Migration, Upgrade</t>
        </is>
      </c>
      <c r="F22" s="38" t="inlineStr">
        <is>
          <t>All</t>
        </is>
      </c>
      <c r="G22" s="38" t="inlineStr">
        <is>
          <t>Yes</t>
        </is>
      </c>
      <c r="H22" s="38" t="inlineStr">
        <is>
          <t>All = tüm seçeneklerde göster; birden fazla değer için virgül kullanın.</t>
        </is>
      </c>
    </row>
    <row r="23" ht="15" customHeight="1" s="39">
      <c r="A23" s="38" t="n">
        <v>22</v>
      </c>
      <c r="B23" s="38">
        <f>INDEX(Translations!$D:$ZZ, MATCH(166,Translations!$A:$A,0), MATCH('Project Information'!$C$4,Translations!$D$1:$ZZ$1,0))</f>
        <v/>
      </c>
      <c r="C23" s="38">
        <f>INDEX(Translations!$D:$ZZ, MATCH(183,Translations!$A:$A,0), MATCH('Project Information'!$C$4,Translations!$D$1:$ZZ$1,0))</f>
        <v/>
      </c>
      <c r="D23" s="38" t="inlineStr">
        <is>
          <t>İlaç</t>
        </is>
      </c>
      <c r="E23" s="38" t="inlineStr">
        <is>
          <t>Greenfield, Brownfield, Rollout, Migration, Upgrade</t>
        </is>
      </c>
      <c r="F23" s="38" t="inlineStr">
        <is>
          <t>All</t>
        </is>
      </c>
      <c r="G23" s="38" t="inlineStr">
        <is>
          <t>Yes</t>
        </is>
      </c>
      <c r="H23" s="38" t="inlineStr">
        <is>
          <t>All = tüm seçeneklerde göster; birden fazla değer için virgül kullanın.</t>
        </is>
      </c>
    </row>
    <row r="24" ht="15" customHeight="1" s="39">
      <c r="A24" s="38" t="n">
        <v>23</v>
      </c>
      <c r="B24" s="38">
        <f>INDEX(Translations!$D:$ZZ, MATCH(166,Translations!$A:$A,0), MATCH('Project Information'!$C$4,Translations!$D$1:$ZZ$1,0))</f>
        <v/>
      </c>
      <c r="C24" s="38">
        <f>INDEX(Translations!$D:$ZZ, MATCH(193,Translations!$A:$A,0), MATCH('Project Information'!$C$4,Translations!$D$1:$ZZ$1,0))</f>
        <v/>
      </c>
      <c r="D24" s="38" t="inlineStr">
        <is>
          <t>All</t>
        </is>
      </c>
      <c r="E24" s="38" t="inlineStr">
        <is>
          <t>Greenfield, Brownfield, Rollout, Migration, Upgrade</t>
        </is>
      </c>
      <c r="F24" s="38" t="inlineStr">
        <is>
          <t>All</t>
        </is>
      </c>
      <c r="G24" s="38" t="inlineStr">
        <is>
          <t>Yes</t>
        </is>
      </c>
      <c r="H24" s="38" t="inlineStr">
        <is>
          <t>All = tüm seçeneklerde göster; birden fazla değer için virgül kullanın.</t>
        </is>
      </c>
    </row>
    <row r="25" ht="15" customHeight="1" s="39">
      <c r="A25" s="38" t="n">
        <v>24</v>
      </c>
      <c r="B25" s="38">
        <f>INDEX(Translations!$D:$ZZ, MATCH(166,Translations!$A:$A,0), MATCH('Project Information'!$C$4,Translations!$D$1:$ZZ$1,0))</f>
        <v/>
      </c>
      <c r="C25" s="38">
        <f>INDEX(Translations!$D:$ZZ, MATCH(181,Translations!$A:$A,0), MATCH('Project Information'!$C$4,Translations!$D$1:$ZZ$1,0))</f>
        <v/>
      </c>
      <c r="D25" s="38" t="inlineStr">
        <is>
          <t>All</t>
        </is>
      </c>
      <c r="E25" s="38" t="inlineStr">
        <is>
          <t>Greenfield, Brownfield, Rollout, Migration, Upgrade</t>
        </is>
      </c>
      <c r="F25" s="38" t="inlineStr">
        <is>
          <t>All</t>
        </is>
      </c>
      <c r="G25" s="38" t="inlineStr">
        <is>
          <t>Yes</t>
        </is>
      </c>
      <c r="H25" s="38" t="inlineStr">
        <is>
          <t>All = tüm seçeneklerde göster; birden fazla değer için virgül kullanın.</t>
        </is>
      </c>
    </row>
    <row r="26" ht="15" customHeight="1" s="39">
      <c r="A26" s="38" t="n">
        <v>25</v>
      </c>
      <c r="B26" s="38">
        <f>INDEX(Translations!$D:$ZZ, MATCH(166,Translations!$A:$A,0), MATCH('Project Information'!$C$4,Translations!$D$1:$ZZ$1,0))</f>
        <v/>
      </c>
      <c r="C26" s="38">
        <f>INDEX(Translations!$D:$ZZ, MATCH(177,Translations!$A:$A,0), MATCH('Project Information'!$C$4,Translations!$D$1:$ZZ$1,0))</f>
        <v/>
      </c>
      <c r="D26" s="38" t="inlineStr">
        <is>
          <t>All</t>
        </is>
      </c>
      <c r="E26" s="38" t="inlineStr">
        <is>
          <t>Greenfield, Brownfield, Rollout, Migration, Upgrade</t>
        </is>
      </c>
      <c r="F26" s="38" t="inlineStr">
        <is>
          <t>All</t>
        </is>
      </c>
      <c r="G26" s="38" t="inlineStr">
        <is>
          <t>Yes</t>
        </is>
      </c>
      <c r="H26" s="38" t="inlineStr">
        <is>
          <t>All = tüm seçeneklerde göster; birden fazla değer için virgül kullanın.</t>
        </is>
      </c>
    </row>
    <row r="27" ht="15" customHeight="1" s="39">
      <c r="A27" s="38" t="n">
        <v>26</v>
      </c>
      <c r="B27" s="38">
        <f>INDEX(Translations!$D:$ZZ, MATCH(166,Translations!$A:$A,0), MATCH('Project Information'!$C$4,Translations!$D$1:$ZZ$1,0))</f>
        <v/>
      </c>
      <c r="C27" s="38">
        <f>INDEX(Translations!$D:$ZZ, MATCH(179,Translations!$A:$A,0), MATCH('Project Information'!$C$4,Translations!$D$1:$ZZ$1,0))</f>
        <v/>
      </c>
      <c r="D27" s="38" t="inlineStr">
        <is>
          <t>All</t>
        </is>
      </c>
      <c r="E27" s="38" t="inlineStr">
        <is>
          <t>Greenfield, Brownfield, Rollout, Migration, Upgrade</t>
        </is>
      </c>
      <c r="F27" s="38" t="inlineStr">
        <is>
          <t>All</t>
        </is>
      </c>
      <c r="G27" s="38" t="inlineStr">
        <is>
          <t>Yes</t>
        </is>
      </c>
      <c r="H27" s="38" t="inlineStr">
        <is>
          <t>All = tüm seçeneklerde göster; birden fazla değer için virgül kullanın.</t>
        </is>
      </c>
    </row>
    <row r="28" ht="15" customHeight="1" s="39">
      <c r="A28" s="38" t="n">
        <v>27</v>
      </c>
      <c r="B28" s="38">
        <f>INDEX(Translations!$D:$ZZ, MATCH(166,Translations!$A:$A,0), MATCH('Project Information'!$C$4,Translations!$D$1:$ZZ$1,0))</f>
        <v/>
      </c>
      <c r="C28" s="38">
        <f>INDEX(Translations!$D:$ZZ, MATCH(189,Translations!$A:$A,0), MATCH('Project Information'!$C$4,Translations!$D$1:$ZZ$1,0))</f>
        <v/>
      </c>
      <c r="D28" s="38" t="inlineStr">
        <is>
          <t>All</t>
        </is>
      </c>
      <c r="E28" s="38" t="inlineStr">
        <is>
          <t>Greenfield, Brownfield, Rollout, Migration, Upgrade</t>
        </is>
      </c>
      <c r="F28" s="38" t="inlineStr">
        <is>
          <t>All</t>
        </is>
      </c>
      <c r="G28" s="38" t="inlineStr">
        <is>
          <t>Yes</t>
        </is>
      </c>
      <c r="H28" s="38" t="inlineStr">
        <is>
          <t>All = tüm seçeneklerde göster; birden fazla değer için virgül kullanın.</t>
        </is>
      </c>
    </row>
    <row r="29" ht="15" customHeight="1" s="39">
      <c r="A29" s="38" t="n">
        <v>28</v>
      </c>
      <c r="B29" s="38">
        <f>INDEX(Translations!$D:$ZZ, MATCH(166,Translations!$A:$A,0), MATCH('Project Information'!$C$4,Translations!$D$1:$ZZ$1,0))</f>
        <v/>
      </c>
      <c r="C29" s="38">
        <f>INDEX(Translations!$D:$ZZ, MATCH(191,Translations!$A:$A,0), MATCH('Project Information'!$C$4,Translations!$D$1:$ZZ$1,0))</f>
        <v/>
      </c>
      <c r="D29" s="38" t="inlineStr">
        <is>
          <t>All</t>
        </is>
      </c>
      <c r="E29" s="38" t="inlineStr">
        <is>
          <t>Greenfield, Brownfield, Rollout, Migration, Upgrade</t>
        </is>
      </c>
      <c r="F29" s="38" t="inlineStr">
        <is>
          <t>All</t>
        </is>
      </c>
      <c r="G29" s="38" t="inlineStr">
        <is>
          <t>Yes</t>
        </is>
      </c>
      <c r="H29" s="38" t="inlineStr">
        <is>
          <t>All = tüm seçeneklerde göster; birden fazla değer için virgül kullanın.</t>
        </is>
      </c>
    </row>
    <row r="30" ht="15" customHeight="1" s="39">
      <c r="A30" s="38" t="n">
        <v>29</v>
      </c>
      <c r="B30" s="38">
        <f>INDEX(Translations!$D:$ZZ, MATCH(166,Translations!$A:$A,0), MATCH('Project Information'!$C$4,Translations!$D$1:$ZZ$1,0))</f>
        <v/>
      </c>
      <c r="C30" s="38">
        <f>INDEX(Translations!$D:$ZZ, MATCH(195,Translations!$A:$A,0), MATCH('Project Information'!$C$4,Translations!$D$1:$ZZ$1,0))</f>
        <v/>
      </c>
      <c r="D30" s="38" t="inlineStr">
        <is>
          <t>All</t>
        </is>
      </c>
      <c r="E30" s="38" t="inlineStr">
        <is>
          <t>Greenfield, Brownfield, Rollout, Migration, Upgrade</t>
        </is>
      </c>
      <c r="F30" s="38" t="inlineStr">
        <is>
          <t>All</t>
        </is>
      </c>
      <c r="G30" s="38" t="inlineStr">
        <is>
          <t>Yes</t>
        </is>
      </c>
      <c r="H30" s="38" t="inlineStr">
        <is>
          <t>All = tüm seçeneklerde göster; birden fazla değer için virgül kullanın.</t>
        </is>
      </c>
    </row>
    <row r="31" ht="15" customHeight="1" s="39">
      <c r="A31" s="38" t="n">
        <v>30</v>
      </c>
      <c r="B31" s="38">
        <f>INDEX(Translations!$D:$ZZ, MATCH(166,Translations!$A:$A,0), MATCH('Project Information'!$C$4,Translations!$D$1:$ZZ$1,0))</f>
        <v/>
      </c>
      <c r="C31" s="38">
        <f>INDEX(Translations!$D:$ZZ, MATCH(197,Translations!$A:$A,0), MATCH('Project Information'!$C$4,Translations!$D$1:$ZZ$1,0))</f>
        <v/>
      </c>
      <c r="D31" s="38" t="inlineStr">
        <is>
          <t>All</t>
        </is>
      </c>
      <c r="E31" s="38" t="inlineStr">
        <is>
          <t>Greenfield, Brownfield, Rollout, Migration, Upgrade</t>
        </is>
      </c>
      <c r="F31" s="38" t="inlineStr">
        <is>
          <t>All</t>
        </is>
      </c>
      <c r="G31" s="38" t="inlineStr">
        <is>
          <t>Yes</t>
        </is>
      </c>
      <c r="H31" s="38" t="inlineStr">
        <is>
          <t>All = tüm seçeneklerde göster; birden fazla değer için virgül kullanın.</t>
        </is>
      </c>
    </row>
    <row r="32" ht="15" customHeight="1" s="39">
      <c r="A32" s="38" t="n">
        <v>31</v>
      </c>
      <c r="B32" s="38">
        <f>INDEX(Translations!$D:$ZZ, MATCH(166,Translations!$A:$A,0), MATCH('Project Information'!$C$4,Translations!$D$1:$ZZ$1,0))</f>
        <v/>
      </c>
      <c r="C32" s="38">
        <f>INDEX(Translations!$D:$ZZ, MATCH(199,Translations!$A:$A,0), MATCH('Project Information'!$C$4,Translations!$D$1:$ZZ$1,0))</f>
        <v/>
      </c>
      <c r="D32" s="38" t="inlineStr">
        <is>
          <t>All</t>
        </is>
      </c>
      <c r="E32" s="38" t="inlineStr">
        <is>
          <t>Greenfield, Brownfield, Rollout, Migration, Upgrade</t>
        </is>
      </c>
      <c r="F32" s="38" t="inlineStr">
        <is>
          <t>All</t>
        </is>
      </c>
      <c r="G32" s="38" t="inlineStr">
        <is>
          <t>Yes</t>
        </is>
      </c>
      <c r="H32" s="38" t="inlineStr">
        <is>
          <t>All = tüm seçeneklerde göster; birden fazla değer için virgül kullanın.</t>
        </is>
      </c>
    </row>
    <row r="33" ht="15" customHeight="1" s="39">
      <c r="A33" s="38" t="n">
        <v>32</v>
      </c>
      <c r="B33" s="38">
        <f>INDEX(Translations!$D:$ZZ, MATCH(166,Translations!$A:$A,0), MATCH('Project Information'!$C$4,Translations!$D$1:$ZZ$1,0))</f>
        <v/>
      </c>
      <c r="C33" s="38">
        <f>INDEX(Translations!$D:$ZZ, MATCH(255,Translations!$A:$A,0), MATCH('Project Information'!$C$4,Translations!$D$1:$ZZ$1,0))</f>
        <v/>
      </c>
      <c r="D33" s="38" t="inlineStr">
        <is>
          <t>All</t>
        </is>
      </c>
      <c r="E33" s="38" t="inlineStr">
        <is>
          <t>Greenfield, Brownfield, Rollout, Migration, Upgrade</t>
        </is>
      </c>
      <c r="F33" s="38" t="inlineStr">
        <is>
          <t>All</t>
        </is>
      </c>
      <c r="G33" s="38" t="inlineStr">
        <is>
          <t>Yes</t>
        </is>
      </c>
      <c r="H33" s="38" t="inlineStr">
        <is>
          <t>All = tüm seçeneklerde göster; birden fazla değer için virgül kullanın.</t>
        </is>
      </c>
    </row>
    <row r="34" ht="15" customHeight="1" s="39">
      <c r="A34" s="38" t="n">
        <v>33</v>
      </c>
      <c r="B34" s="38">
        <f>INDEX(Translations!$D:$ZZ, MATCH(166,Translations!$A:$A,0), MATCH('Project Information'!$C$4,Translations!$D$1:$ZZ$1,0))</f>
        <v/>
      </c>
      <c r="C34" s="38">
        <f>INDEX(Translations!$D:$ZZ, MATCH(203,Translations!$A:$A,0), MATCH('Project Information'!$C$4,Translations!$D$1:$ZZ$1,0))</f>
        <v/>
      </c>
      <c r="D34" s="38" t="inlineStr">
        <is>
          <t>İlaç, Kimya</t>
        </is>
      </c>
      <c r="E34" s="38" t="inlineStr">
        <is>
          <t>Greenfield, Brownfield, Rollout, Migration, Upgrade</t>
        </is>
      </c>
      <c r="F34" s="38" t="inlineStr">
        <is>
          <t>All</t>
        </is>
      </c>
      <c r="G34" s="38" t="inlineStr">
        <is>
          <t>Yes</t>
        </is>
      </c>
      <c r="H34" s="38" t="inlineStr">
        <is>
          <t>All = tüm seçeneklerde göster; birden fazla değer için virgül kullanın.</t>
        </is>
      </c>
    </row>
    <row r="35" ht="15" customHeight="1" s="39">
      <c r="A35" s="38" t="n">
        <v>34</v>
      </c>
      <c r="B35" s="38">
        <f>INDEX(Translations!$D:$ZZ, MATCH(166,Translations!$A:$A,0), MATCH('Project Information'!$C$4,Translations!$D$1:$ZZ$1,0))</f>
        <v/>
      </c>
      <c r="C35" s="38">
        <f>INDEX(Translations!$D:$ZZ, MATCH(207,Translations!$A:$A,0), MATCH('Project Information'!$C$4,Translations!$D$1:$ZZ$1,0))</f>
        <v/>
      </c>
      <c r="D35" s="38" t="inlineStr">
        <is>
          <t>All</t>
        </is>
      </c>
      <c r="E35" s="38" t="inlineStr">
        <is>
          <t>Greenfield, Brownfield, Rollout, Migration, Upgrade</t>
        </is>
      </c>
      <c r="F35" s="38" t="inlineStr">
        <is>
          <t>All</t>
        </is>
      </c>
      <c r="G35" s="38" t="inlineStr">
        <is>
          <t>Yes</t>
        </is>
      </c>
      <c r="H35" s="38" t="inlineStr">
        <is>
          <t>All = tüm seçeneklerde göster; birden fazla değer için virgül kullanın.</t>
        </is>
      </c>
    </row>
    <row r="36" ht="15" customHeight="1" s="39">
      <c r="A36" s="38" t="n">
        <v>35</v>
      </c>
      <c r="B36" s="38">
        <f>INDEX(Translations!$D:$ZZ, MATCH(166,Translations!$A:$A,0), MATCH('Project Information'!$C$4,Translations!$D$1:$ZZ$1,0))</f>
        <v/>
      </c>
      <c r="C36" s="38">
        <f>INDEX(Translations!$D:$ZZ, MATCH(217,Translations!$A:$A,0), MATCH('Project Information'!$C$4,Translations!$D$1:$ZZ$1,0))</f>
        <v/>
      </c>
      <c r="D36" s="38" t="inlineStr">
        <is>
          <t>All</t>
        </is>
      </c>
      <c r="E36" s="38" t="inlineStr">
        <is>
          <t>Greenfield, Brownfield, Rollout, Migration, Upgrade</t>
        </is>
      </c>
      <c r="F36" s="38" t="inlineStr">
        <is>
          <t>All</t>
        </is>
      </c>
      <c r="G36" s="38" t="inlineStr">
        <is>
          <t>Yes</t>
        </is>
      </c>
      <c r="H36" s="38" t="inlineStr">
        <is>
          <t>All = tüm seçeneklerde göster; birden fazla değer için virgül kullanın.</t>
        </is>
      </c>
    </row>
    <row r="37" ht="15" customHeight="1" s="39">
      <c r="A37" s="38" t="n">
        <v>36</v>
      </c>
      <c r="B37" s="38">
        <f>INDEX(Translations!$D:$ZZ, MATCH(166,Translations!$A:$A,0), MATCH('Project Information'!$C$4,Translations!$D$1:$ZZ$1,0))</f>
        <v/>
      </c>
      <c r="C37" s="38">
        <f>INDEX(Translations!$D:$ZZ, MATCH(219,Translations!$A:$A,0), MATCH('Project Information'!$C$4,Translations!$D$1:$ZZ$1,0))</f>
        <v/>
      </c>
      <c r="D37" s="38" t="inlineStr">
        <is>
          <t>All</t>
        </is>
      </c>
      <c r="E37" s="38" t="inlineStr">
        <is>
          <t>Greenfield, Brownfield, Rollout, Migration, Upgrade</t>
        </is>
      </c>
      <c r="F37" s="38" t="inlineStr">
        <is>
          <t>All</t>
        </is>
      </c>
      <c r="G37" s="38" t="inlineStr">
        <is>
          <t>Yes</t>
        </is>
      </c>
      <c r="H37" s="38" t="inlineStr">
        <is>
          <t>All = tüm seçeneklerde göster; birden fazla değer için virgül kullanın.</t>
        </is>
      </c>
    </row>
    <row r="38" ht="15" customHeight="1" s="39">
      <c r="A38" s="38" t="n">
        <v>37</v>
      </c>
      <c r="B38" s="38">
        <f>INDEX(Translations!$D:$ZZ, MATCH(166,Translations!$A:$A,0), MATCH('Project Information'!$C$4,Translations!$D$1:$ZZ$1,0))</f>
        <v/>
      </c>
      <c r="C38" s="38">
        <f>INDEX(Translations!$D:$ZZ, MATCH(221,Translations!$A:$A,0), MATCH('Project Information'!$C$4,Translations!$D$1:$ZZ$1,0))</f>
        <v/>
      </c>
      <c r="D38" s="38" t="inlineStr">
        <is>
          <t>All</t>
        </is>
      </c>
      <c r="E38" s="38" t="inlineStr">
        <is>
          <t>Greenfield, Brownfield, Rollout, Migration, Upgrade</t>
        </is>
      </c>
      <c r="F38" s="38" t="inlineStr">
        <is>
          <t>All</t>
        </is>
      </c>
      <c r="G38" s="38" t="inlineStr">
        <is>
          <t>Yes</t>
        </is>
      </c>
      <c r="H38" s="38" t="inlineStr">
        <is>
          <t>All = tüm seçeneklerde göster; birden fazla değer için virgül kullanın.</t>
        </is>
      </c>
    </row>
    <row r="39" ht="15" customHeight="1" s="39">
      <c r="A39" s="38" t="n">
        <v>38</v>
      </c>
      <c r="B39" s="38">
        <f>INDEX(Translations!$D:$ZZ, MATCH(166,Translations!$A:$A,0), MATCH('Project Information'!$C$4,Translations!$D$1:$ZZ$1,0))</f>
        <v/>
      </c>
      <c r="C39" s="38">
        <f>INDEX(Translations!$D:$ZZ, MATCH(222,Translations!$A:$A,0), MATCH('Project Information'!$C$4,Translations!$D$1:$ZZ$1,0))</f>
        <v/>
      </c>
      <c r="D39" s="38" t="inlineStr">
        <is>
          <t>All</t>
        </is>
      </c>
      <c r="E39" s="38" t="inlineStr">
        <is>
          <t>Greenfield, Brownfield, Rollout, Migration, Upgrade</t>
        </is>
      </c>
      <c r="F39" s="38" t="inlineStr">
        <is>
          <t>All</t>
        </is>
      </c>
      <c r="G39" s="38" t="inlineStr">
        <is>
          <t>Yes</t>
        </is>
      </c>
      <c r="H39" s="38" t="inlineStr">
        <is>
          <t>All = tüm seçeneklerde göster; birden fazla değer için virgül kullanın.</t>
        </is>
      </c>
    </row>
    <row r="40" ht="15" customHeight="1" s="39">
      <c r="A40" s="38" t="n">
        <v>39</v>
      </c>
      <c r="B40" s="38">
        <f>INDEX(Translations!$D:$ZZ, MATCH(166,Translations!$A:$A,0), MATCH('Project Information'!$C$4,Translations!$D$1:$ZZ$1,0))</f>
        <v/>
      </c>
      <c r="C40" s="38">
        <f>INDEX(Translations!$D:$ZZ, MATCH(234,Translations!$A:$A,0), MATCH('Project Information'!$C$4,Translations!$D$1:$ZZ$1,0))</f>
        <v/>
      </c>
      <c r="D40" s="38" t="inlineStr">
        <is>
          <t>All</t>
        </is>
      </c>
      <c r="E40" s="38" t="inlineStr">
        <is>
          <t>Greenfield, Brownfield, Rollout, Migration, Upgrade</t>
        </is>
      </c>
      <c r="F40" s="38" t="inlineStr">
        <is>
          <t>All</t>
        </is>
      </c>
      <c r="G40" s="38" t="inlineStr">
        <is>
          <t>Yes</t>
        </is>
      </c>
      <c r="H40" s="38" t="inlineStr">
        <is>
          <t>All = tüm seçeneklerde göster; birden fazla değer için virgül kullanın.</t>
        </is>
      </c>
    </row>
    <row r="41" ht="15" customHeight="1" s="39">
      <c r="A41" s="38" t="n">
        <v>40</v>
      </c>
      <c r="B41" s="38">
        <f>INDEX(Translations!$D:$ZZ, MATCH(166,Translations!$A:$A,0), MATCH('Project Information'!$C$4,Translations!$D$1:$ZZ$1,0))</f>
        <v/>
      </c>
      <c r="C41" s="38">
        <f>INDEX(Translations!$D:$ZZ, MATCH(244,Translations!$A:$A,0), MATCH('Project Information'!$C$4,Translations!$D$1:$ZZ$1,0))</f>
        <v/>
      </c>
      <c r="D41" s="38" t="inlineStr">
        <is>
          <t>All</t>
        </is>
      </c>
      <c r="E41" s="38" t="inlineStr">
        <is>
          <t>Greenfield, Brownfield, Rollout, Migration, Upgrade</t>
        </is>
      </c>
      <c r="F41" s="38" t="inlineStr">
        <is>
          <t>All</t>
        </is>
      </c>
      <c r="G41" s="38" t="inlineStr">
        <is>
          <t>Yes</t>
        </is>
      </c>
      <c r="H41" s="38" t="inlineStr">
        <is>
          <t>All = tüm seçeneklerde göster; birden fazla değer için virgül kullanın.</t>
        </is>
      </c>
    </row>
    <row r="42" ht="15" customHeight="1" s="39">
      <c r="A42" s="38" t="n">
        <v>41</v>
      </c>
      <c r="B42" s="38">
        <f>INDEX(Translations!$D:$ZZ, MATCH(166,Translations!$A:$A,0), MATCH('Project Information'!$C$4,Translations!$D$1:$ZZ$1,0))</f>
        <v/>
      </c>
      <c r="C42" s="38">
        <f>INDEX(Translations!$D:$ZZ, MATCH(263,Translations!$A:$A,0), MATCH('Project Information'!$C$4,Translations!$D$1:$ZZ$1,0))</f>
        <v/>
      </c>
      <c r="D42" s="38" t="inlineStr">
        <is>
          <t>All</t>
        </is>
      </c>
      <c r="E42" s="38" t="inlineStr">
        <is>
          <t>Greenfield, Brownfield, Rollout, Migration, Upgrade</t>
        </is>
      </c>
      <c r="F42" s="38" t="inlineStr">
        <is>
          <t>All</t>
        </is>
      </c>
      <c r="G42" s="38" t="inlineStr">
        <is>
          <t>Yes</t>
        </is>
      </c>
      <c r="H42" s="38" t="inlineStr">
        <is>
          <t>All = tüm seçeneklerde göster; birden fazla değer için virgül kullanın.</t>
        </is>
      </c>
    </row>
    <row r="43" ht="15" customHeight="1" s="39">
      <c r="A43" s="38" t="n">
        <v>42</v>
      </c>
      <c r="B43" s="38">
        <f>INDEX(Translations!$D:$ZZ, MATCH(171,Translations!$A:$A,0), MATCH('Project Information'!$C$4,Translations!$D$1:$ZZ$1,0))</f>
        <v/>
      </c>
      <c r="C43" s="38">
        <f>INDEX(Translations!$D:$ZZ, MATCH(169,Translations!$A:$A,0), MATCH('Project Information'!$C$4,Translations!$D$1:$ZZ$1,0))</f>
        <v/>
      </c>
      <c r="D43" s="38" t="inlineStr">
        <is>
          <t>All</t>
        </is>
      </c>
      <c r="E43" s="38" t="inlineStr">
        <is>
          <t>Greenfield, Brownfield, Rollout, Migration, Upgrade</t>
        </is>
      </c>
      <c r="F43" s="38" t="inlineStr">
        <is>
          <t>All</t>
        </is>
      </c>
      <c r="G43" s="38" t="inlineStr">
        <is>
          <t>Yes</t>
        </is>
      </c>
      <c r="H43" s="38" t="inlineStr">
        <is>
          <t>All = tüm seçeneklerde göster; birden fazla değer için virgül kullanın.</t>
        </is>
      </c>
    </row>
    <row r="44" ht="15" customHeight="1" s="39">
      <c r="A44" s="38" t="n">
        <v>43</v>
      </c>
      <c r="B44" s="38">
        <f>INDEX(Translations!$D:$ZZ, MATCH(171,Translations!$A:$A,0), MATCH('Project Information'!$C$4,Translations!$D$1:$ZZ$1,0))</f>
        <v/>
      </c>
      <c r="C44" s="38">
        <f>INDEX(Translations!$D:$ZZ, MATCH(173,Translations!$A:$A,0), MATCH('Project Information'!$C$4,Translations!$D$1:$ZZ$1,0))</f>
        <v/>
      </c>
      <c r="D44" s="38" t="inlineStr">
        <is>
          <t>All</t>
        </is>
      </c>
      <c r="E44" s="38" t="inlineStr">
        <is>
          <t>Greenfield, Brownfield, Rollout, Migration, Upgrade</t>
        </is>
      </c>
      <c r="F44" s="38" t="inlineStr">
        <is>
          <t>All</t>
        </is>
      </c>
      <c r="G44" s="38" t="inlineStr">
        <is>
          <t>Yes</t>
        </is>
      </c>
      <c r="H44" s="38" t="inlineStr">
        <is>
          <t>All = tüm seçeneklerde göster; birden fazla değer için virgül kullanın.</t>
        </is>
      </c>
    </row>
    <row r="45" ht="15" customHeight="1" s="39">
      <c r="A45" s="38" t="n">
        <v>44</v>
      </c>
      <c r="B45" s="38">
        <f>INDEX(Translations!$D:$ZZ, MATCH(171,Translations!$A:$A,0), MATCH('Project Information'!$C$4,Translations!$D$1:$ZZ$1,0))</f>
        <v/>
      </c>
      <c r="C45" s="38">
        <f>INDEX(Translations!$D:$ZZ, MATCH(175,Translations!$A:$A,0), MATCH('Project Information'!$C$4,Translations!$D$1:$ZZ$1,0))</f>
        <v/>
      </c>
      <c r="D45" s="38" t="inlineStr">
        <is>
          <t>All</t>
        </is>
      </c>
      <c r="E45" s="38" t="inlineStr">
        <is>
          <t>Greenfield, Brownfield, Rollout, Migration, Upgrade</t>
        </is>
      </c>
      <c r="F45" s="38" t="inlineStr">
        <is>
          <t>All</t>
        </is>
      </c>
      <c r="G45" s="38" t="inlineStr">
        <is>
          <t>Yes</t>
        </is>
      </c>
      <c r="H45" s="38" t="inlineStr">
        <is>
          <t>All = tüm seçeneklerde göster; birden fazla değer için virgül kullanın.</t>
        </is>
      </c>
    </row>
    <row r="46" ht="15" customHeight="1" s="39">
      <c r="A46" s="38" t="n">
        <v>45</v>
      </c>
      <c r="B46" s="38">
        <f>INDEX(Translations!$D:$ZZ, MATCH(171,Translations!$A:$A,0), MATCH('Project Information'!$C$4,Translations!$D$1:$ZZ$1,0))</f>
        <v/>
      </c>
      <c r="C46" s="38">
        <f>INDEX(Translations!$D:$ZZ, MATCH(201,Translations!$A:$A,0), MATCH('Project Information'!$C$4,Translations!$D$1:$ZZ$1,0))</f>
        <v/>
      </c>
      <c r="D46" s="38" t="inlineStr">
        <is>
          <t>Otomotiv</t>
        </is>
      </c>
      <c r="E46" s="38" t="inlineStr">
        <is>
          <t>Greenfield, Brownfield, Rollout, Migration, Upgrade</t>
        </is>
      </c>
      <c r="F46" s="38" t="inlineStr">
        <is>
          <t>All</t>
        </is>
      </c>
      <c r="G46" s="38" t="inlineStr">
        <is>
          <t>Yes</t>
        </is>
      </c>
      <c r="H46" s="38" t="inlineStr">
        <is>
          <t>All = tüm seçeneklerde göster; birden fazla değer için virgül kullanın.</t>
        </is>
      </c>
    </row>
    <row r="47" ht="15" customHeight="1" s="39">
      <c r="A47" s="38" t="n">
        <v>46</v>
      </c>
      <c r="B47" s="38">
        <f>INDEX(Translations!$D:$ZZ, MATCH(171,Translations!$A:$A,0), MATCH('Project Information'!$C$4,Translations!$D$1:$ZZ$1,0))</f>
        <v/>
      </c>
      <c r="C47" s="38">
        <f>INDEX(Translations!$D:$ZZ, MATCH(205,Translations!$A:$A,0), MATCH('Project Information'!$C$4,Translations!$D$1:$ZZ$1,0))</f>
        <v/>
      </c>
      <c r="D47" s="38" t="inlineStr">
        <is>
          <t>All</t>
        </is>
      </c>
      <c r="E47" s="38" t="inlineStr">
        <is>
          <t>Greenfield, Brownfield, Rollout, Migration, Upgrade</t>
        </is>
      </c>
      <c r="F47" s="38" t="inlineStr">
        <is>
          <t>All</t>
        </is>
      </c>
      <c r="G47" s="38" t="inlineStr">
        <is>
          <t>Yes</t>
        </is>
      </c>
      <c r="H47" s="38" t="inlineStr">
        <is>
          <t>All = tüm seçeneklerde göster; birden fazla değer için virgül kullanın.</t>
        </is>
      </c>
    </row>
    <row r="48" ht="15" customHeight="1" s="39">
      <c r="A48" s="38" t="n">
        <v>47</v>
      </c>
      <c r="B48" s="38">
        <f>INDEX(Translations!$D:$ZZ, MATCH(171,Translations!$A:$A,0), MATCH('Project Information'!$C$4,Translations!$D$1:$ZZ$1,0))</f>
        <v/>
      </c>
      <c r="C48" s="38">
        <f>INDEX(Translations!$D:$ZZ, MATCH(209,Translations!$A:$A,0), MATCH('Project Information'!$C$4,Translations!$D$1:$ZZ$1,0))</f>
        <v/>
      </c>
      <c r="D48" s="38" t="inlineStr">
        <is>
          <t>Demir &amp; Çelik</t>
        </is>
      </c>
      <c r="E48" s="38" t="inlineStr">
        <is>
          <t>Greenfield, Brownfield, Rollout, Migration, Upgrade</t>
        </is>
      </c>
      <c r="F48" s="38" t="inlineStr">
        <is>
          <t>All</t>
        </is>
      </c>
      <c r="G48" s="38" t="inlineStr">
        <is>
          <t>Yes</t>
        </is>
      </c>
      <c r="H48" s="38" t="inlineStr">
        <is>
          <t>All = tüm seçeneklerde göster; birden fazla değer için virgül kullanın.</t>
        </is>
      </c>
    </row>
    <row r="49" ht="15" customHeight="1" s="39">
      <c r="A49" s="38" t="n">
        <v>48</v>
      </c>
      <c r="B49" s="38">
        <f>INDEX(Translations!$D:$ZZ, MATCH(171,Translations!$A:$A,0), MATCH('Project Information'!$C$4,Translations!$D$1:$ZZ$1,0))</f>
        <v/>
      </c>
      <c r="C49" s="38">
        <f>INDEX(Translations!$D:$ZZ, MATCH(211,Translations!$A:$A,0), MATCH('Project Information'!$C$4,Translations!$D$1:$ZZ$1,0))</f>
        <v/>
      </c>
      <c r="D49" s="38" t="inlineStr">
        <is>
          <t>All</t>
        </is>
      </c>
      <c r="E49" s="38" t="inlineStr">
        <is>
          <t>Greenfield, Brownfield, Rollout, Migration, Upgrade</t>
        </is>
      </c>
      <c r="F49" s="38" t="inlineStr">
        <is>
          <t>All</t>
        </is>
      </c>
      <c r="G49" s="38" t="inlineStr">
        <is>
          <t>Yes</t>
        </is>
      </c>
      <c r="H49" s="38" t="inlineStr">
        <is>
          <t>All = tüm seçeneklerde göster; birden fazla değer için virgül kullanın.</t>
        </is>
      </c>
    </row>
    <row r="50" ht="15" customHeight="1" s="39">
      <c r="A50" s="38" t="n">
        <v>49</v>
      </c>
      <c r="B50" s="38">
        <f>INDEX(Translations!$D:$ZZ, MATCH(171,Translations!$A:$A,0), MATCH('Project Information'!$C$4,Translations!$D$1:$ZZ$1,0))</f>
        <v/>
      </c>
      <c r="C50" s="38">
        <f>INDEX(Translations!$D:$ZZ, MATCH(213,Translations!$A:$A,0), MATCH('Project Information'!$C$4,Translations!$D$1:$ZZ$1,0))</f>
        <v/>
      </c>
      <c r="D50" s="38" t="inlineStr">
        <is>
          <t>All</t>
        </is>
      </c>
      <c r="E50" s="38" t="inlineStr">
        <is>
          <t>Greenfield, Brownfield, Rollout, Migration, Upgrade</t>
        </is>
      </c>
      <c r="F50" s="38" t="inlineStr">
        <is>
          <t>All</t>
        </is>
      </c>
      <c r="G50" s="38" t="inlineStr">
        <is>
          <t>Yes</t>
        </is>
      </c>
      <c r="H50" s="38" t="inlineStr">
        <is>
          <t>All = tüm seçeneklerde göster; birden fazla değer için virgül kullanın.</t>
        </is>
      </c>
    </row>
    <row r="51" ht="15" customHeight="1" s="39">
      <c r="A51" s="38" t="n">
        <v>50</v>
      </c>
      <c r="B51" s="38">
        <f>INDEX(Translations!$D:$ZZ, MATCH(171,Translations!$A:$A,0), MATCH('Project Information'!$C$4,Translations!$D$1:$ZZ$1,0))</f>
        <v/>
      </c>
      <c r="C51" s="38">
        <f>INDEX(Translations!$D:$ZZ, MATCH(215,Translations!$A:$A,0), MATCH('Project Information'!$C$4,Translations!$D$1:$ZZ$1,0))</f>
        <v/>
      </c>
      <c r="D51" s="38" t="inlineStr">
        <is>
          <t>All</t>
        </is>
      </c>
      <c r="E51" s="38" t="inlineStr">
        <is>
          <t>Greenfield, Brownfield, Rollout, Migration, Upgrade</t>
        </is>
      </c>
      <c r="F51" s="38" t="inlineStr">
        <is>
          <t>All</t>
        </is>
      </c>
      <c r="G51" s="38" t="inlineStr">
        <is>
          <t>Yes</t>
        </is>
      </c>
      <c r="H51" s="38" t="inlineStr">
        <is>
          <t>All = tüm seçeneklerde göster; birden fazla değer için virgül kullanın.</t>
        </is>
      </c>
    </row>
    <row r="52" ht="15" customHeight="1" s="39">
      <c r="A52" s="38" t="n">
        <v>51</v>
      </c>
      <c r="B52" s="38">
        <f>INDEX(Translations!$D:$ZZ, MATCH(171,Translations!$A:$A,0), MATCH('Project Information'!$C$4,Translations!$D$1:$ZZ$1,0))</f>
        <v/>
      </c>
      <c r="C52" s="38">
        <f>INDEX(Translations!$D:$ZZ, MATCH(224,Translations!$A:$A,0), MATCH('Project Information'!$C$4,Translations!$D$1:$ZZ$1,0))</f>
        <v/>
      </c>
      <c r="D52" s="38" t="inlineStr">
        <is>
          <t>All</t>
        </is>
      </c>
      <c r="E52" s="38" t="inlineStr">
        <is>
          <t>Greenfield, Brownfield, Rollout, Migration, Upgrade</t>
        </is>
      </c>
      <c r="F52" s="38" t="inlineStr">
        <is>
          <t>All</t>
        </is>
      </c>
      <c r="G52" s="38" t="inlineStr">
        <is>
          <t>Yes</t>
        </is>
      </c>
      <c r="H52" s="38" t="inlineStr">
        <is>
          <t>All = tüm seçeneklerde göster; birden fazla değer için virgül kullanın.</t>
        </is>
      </c>
    </row>
    <row r="53" ht="15" customHeight="1" s="39">
      <c r="A53" s="38" t="n">
        <v>52</v>
      </c>
      <c r="B53" s="38">
        <f>INDEX(Translations!$D:$ZZ, MATCH(171,Translations!$A:$A,0), MATCH('Project Information'!$C$4,Translations!$D$1:$ZZ$1,0))</f>
        <v/>
      </c>
      <c r="C53" s="38">
        <f>INDEX(Translations!$D:$ZZ, MATCH(225,Translations!$A:$A,0), MATCH('Project Information'!$C$4,Translations!$D$1:$ZZ$1,0))</f>
        <v/>
      </c>
      <c r="D53" s="38" t="inlineStr">
        <is>
          <t>All</t>
        </is>
      </c>
      <c r="E53" s="38" t="inlineStr">
        <is>
          <t>Greenfield, Brownfield, Rollout, Migration, Upgrade</t>
        </is>
      </c>
      <c r="F53" s="38" t="inlineStr">
        <is>
          <t>All</t>
        </is>
      </c>
      <c r="G53" s="38" t="inlineStr">
        <is>
          <t>Yes</t>
        </is>
      </c>
      <c r="H53" s="38" t="inlineStr">
        <is>
          <t>All = tüm seçeneklerde göster; birden fazla değer için virgül kullanın.</t>
        </is>
      </c>
    </row>
    <row r="54" ht="15" customHeight="1" s="39">
      <c r="A54" s="38" t="n">
        <v>53</v>
      </c>
      <c r="B54" s="38">
        <f>INDEX(Translations!$D:$ZZ, MATCH(171,Translations!$A:$A,0), MATCH('Project Information'!$C$4,Translations!$D$1:$ZZ$1,0))</f>
        <v/>
      </c>
      <c r="C54" s="38">
        <f>INDEX(Translations!$D:$ZZ, MATCH(227,Translations!$A:$A,0), MATCH('Project Information'!$C$4,Translations!$D$1:$ZZ$1,0))</f>
        <v/>
      </c>
      <c r="D54" s="38" t="inlineStr">
        <is>
          <t>All</t>
        </is>
      </c>
      <c r="E54" s="38" t="inlineStr">
        <is>
          <t>Greenfield, Brownfield, Rollout, Migration, Upgrade</t>
        </is>
      </c>
      <c r="F54" s="38" t="inlineStr">
        <is>
          <t>All</t>
        </is>
      </c>
      <c r="G54" s="38" t="inlineStr">
        <is>
          <t>Yes</t>
        </is>
      </c>
      <c r="H54" s="38" t="inlineStr">
        <is>
          <t>All = tüm seçeneklerde göster; birden fazla değer için virgül kullanın.</t>
        </is>
      </c>
    </row>
    <row r="55" ht="15" customHeight="1" s="39">
      <c r="A55" s="38" t="n">
        <v>54</v>
      </c>
      <c r="B55" s="38">
        <f>INDEX(Translations!$D:$ZZ, MATCH(171,Translations!$A:$A,0), MATCH('Project Information'!$C$4,Translations!$D$1:$ZZ$1,0))</f>
        <v/>
      </c>
      <c r="C55" s="38">
        <f>INDEX(Translations!$D:$ZZ, MATCH(229,Translations!$A:$A,0), MATCH('Project Information'!$C$4,Translations!$D$1:$ZZ$1,0))</f>
        <v/>
      </c>
      <c r="D55" s="38" t="inlineStr">
        <is>
          <t>All</t>
        </is>
      </c>
      <c r="E55" s="38" t="inlineStr">
        <is>
          <t>Greenfield, Brownfield, Rollout, Migration, Upgrade</t>
        </is>
      </c>
      <c r="F55" s="38" t="inlineStr">
        <is>
          <t>All</t>
        </is>
      </c>
      <c r="G55" s="38" t="inlineStr">
        <is>
          <t>Yes</t>
        </is>
      </c>
      <c r="H55" s="38" t="inlineStr">
        <is>
          <t>All = tüm seçeneklerde göster; birden fazla değer için virgül kullanın.</t>
        </is>
      </c>
    </row>
    <row r="56" ht="15" customHeight="1" s="39">
      <c r="A56" s="38" t="n">
        <v>55</v>
      </c>
      <c r="B56" s="38">
        <f>INDEX(Translations!$D:$ZZ, MATCH(171,Translations!$A:$A,0), MATCH('Project Information'!$C$4,Translations!$D$1:$ZZ$1,0))</f>
        <v/>
      </c>
      <c r="C56" s="38">
        <f>INDEX(Translations!$D:$ZZ, MATCH(233,Translations!$A:$A,0), MATCH('Project Information'!$C$4,Translations!$D$1:$ZZ$1,0))</f>
        <v/>
      </c>
      <c r="D56" s="38" t="inlineStr">
        <is>
          <t>All</t>
        </is>
      </c>
      <c r="E56" s="38" t="inlineStr">
        <is>
          <t>Greenfield, Brownfield, Rollout, Migration, Upgrade</t>
        </is>
      </c>
      <c r="F56" s="38" t="inlineStr">
        <is>
          <t>All</t>
        </is>
      </c>
      <c r="G56" s="38" t="inlineStr">
        <is>
          <t>Yes</t>
        </is>
      </c>
      <c r="H56" s="38" t="inlineStr">
        <is>
          <t>All = tüm seçeneklerde göster; birden fazla değer için virgül kullanın.</t>
        </is>
      </c>
    </row>
    <row r="57" ht="15" customHeight="1" s="39">
      <c r="A57" s="38" t="n">
        <v>56</v>
      </c>
      <c r="B57" s="38">
        <f>INDEX(Translations!$D:$ZZ, MATCH(171,Translations!$A:$A,0), MATCH('Project Information'!$C$4,Translations!$D$1:$ZZ$1,0))</f>
        <v/>
      </c>
      <c r="C57" s="38">
        <f>INDEX(Translations!$D:$ZZ, MATCH(237,Translations!$A:$A,0), MATCH('Project Information'!$C$4,Translations!$D$1:$ZZ$1,0))</f>
        <v/>
      </c>
      <c r="D57" s="38" t="inlineStr">
        <is>
          <t>All</t>
        </is>
      </c>
      <c r="E57" s="38" t="inlineStr">
        <is>
          <t>Greenfield, Brownfield, Rollout, Migration, Upgrade</t>
        </is>
      </c>
      <c r="F57" s="38" t="inlineStr">
        <is>
          <t>All</t>
        </is>
      </c>
      <c r="G57" s="38" t="inlineStr">
        <is>
          <t>Yes</t>
        </is>
      </c>
      <c r="H57" s="38" t="inlineStr">
        <is>
          <t>All = tüm seçeneklerde göster; birden fazla değer için virgül kullanın.</t>
        </is>
      </c>
    </row>
    <row r="58" ht="15" customHeight="1" s="39">
      <c r="A58" s="38" t="n">
        <v>57</v>
      </c>
      <c r="B58" s="38">
        <f>INDEX(Translations!$D:$ZZ, MATCH(171,Translations!$A:$A,0), MATCH('Project Information'!$C$4,Translations!$D$1:$ZZ$1,0))</f>
        <v/>
      </c>
      <c r="C58" s="38">
        <f>INDEX(Translations!$D:$ZZ, MATCH(274,Translations!$A:$A,0), MATCH('Project Information'!$C$4,Translations!$D$1:$ZZ$1,0))</f>
        <v/>
      </c>
      <c r="D58" s="38" t="inlineStr">
        <is>
          <t>Ambalaj, Demir &amp; Çelik</t>
        </is>
      </c>
      <c r="E58" s="38" t="inlineStr">
        <is>
          <t>Greenfield, Brownfield, Rollout, Migration, Upgrade</t>
        </is>
      </c>
      <c r="F58" s="38" t="inlineStr">
        <is>
          <t>All</t>
        </is>
      </c>
      <c r="G58" s="38" t="inlineStr">
        <is>
          <t>Yes</t>
        </is>
      </c>
      <c r="H58" s="38" t="inlineStr">
        <is>
          <t>All = tüm seçeneklerde göster; birden fazla değer için virgül kullanın.</t>
        </is>
      </c>
    </row>
    <row r="59" ht="15" customHeight="1" s="39">
      <c r="A59" s="38" t="n">
        <v>58</v>
      </c>
      <c r="B59" s="38">
        <f>INDEX(Translations!$D:$ZZ, MATCH(171,Translations!$A:$A,0), MATCH('Project Information'!$C$4,Translations!$D$1:$ZZ$1,0))</f>
        <v/>
      </c>
      <c r="C59" s="38">
        <f>INDEX(Translations!$D:$ZZ, MATCH(275,Translations!$A:$A,0), MATCH('Project Information'!$C$4,Translations!$D$1:$ZZ$1,0))</f>
        <v/>
      </c>
      <c r="D59" s="38" t="inlineStr">
        <is>
          <t>Konfeksiyon</t>
        </is>
      </c>
      <c r="E59" s="38" t="inlineStr">
        <is>
          <t>Greenfield, Brownfield, Rollout, Migration, Upgrade</t>
        </is>
      </c>
      <c r="F59" s="38" t="inlineStr">
        <is>
          <t>All</t>
        </is>
      </c>
      <c r="G59" s="38" t="inlineStr">
        <is>
          <t>Yes</t>
        </is>
      </c>
      <c r="H59" s="38" t="inlineStr">
        <is>
          <t>All = tüm seçeneklerde göster; birden fazla değer için virgül kullanın.</t>
        </is>
      </c>
    </row>
    <row r="60" ht="15" customHeight="1" s="39">
      <c r="A60" s="38" t="n">
        <v>59</v>
      </c>
      <c r="B60" s="38">
        <f>INDEX(Translations!$D:$ZZ, MATCH(171,Translations!$A:$A,0), MATCH('Project Information'!$C$4,Translations!$D$1:$ZZ$1,0))</f>
        <v/>
      </c>
      <c r="C60" s="38">
        <f>INDEX(Translations!$D:$ZZ, MATCH(239,Translations!$A:$A,0), MATCH('Project Information'!$C$4,Translations!$D$1:$ZZ$1,0))</f>
        <v/>
      </c>
      <c r="D60" s="38" t="inlineStr">
        <is>
          <t>All</t>
        </is>
      </c>
      <c r="E60" s="38" t="inlineStr">
        <is>
          <t>Greenfield, Brownfield, Rollout, Migration, Upgrade</t>
        </is>
      </c>
      <c r="F60" s="38" t="inlineStr">
        <is>
          <t>All</t>
        </is>
      </c>
      <c r="G60" s="38" t="inlineStr">
        <is>
          <t>Yes</t>
        </is>
      </c>
      <c r="H60" s="38" t="inlineStr">
        <is>
          <t>All = tüm seçeneklerde göster; birden fazla değer için virgül kullanın.</t>
        </is>
      </c>
    </row>
    <row r="61" ht="15" customHeight="1" s="39">
      <c r="A61" s="38" t="n">
        <v>60</v>
      </c>
      <c r="B61" s="38">
        <f>INDEX(Translations!$D:$ZZ, MATCH(171,Translations!$A:$A,0), MATCH('Project Information'!$C$4,Translations!$D$1:$ZZ$1,0))</f>
        <v/>
      </c>
      <c r="C61" s="38">
        <f>INDEX(Translations!$D:$ZZ, MATCH(240,Translations!$A:$A,0), MATCH('Project Information'!$C$4,Translations!$D$1:$ZZ$1,0))</f>
        <v/>
      </c>
      <c r="D61" s="38" t="inlineStr">
        <is>
          <t>All</t>
        </is>
      </c>
      <c r="E61" s="38" t="inlineStr">
        <is>
          <t>Greenfield, Brownfield, Rollout, Migration, Upgrade</t>
        </is>
      </c>
      <c r="F61" s="38" t="inlineStr">
        <is>
          <t>All</t>
        </is>
      </c>
      <c r="G61" s="38" t="inlineStr">
        <is>
          <t>Yes</t>
        </is>
      </c>
      <c r="H61" s="38" t="inlineStr">
        <is>
          <t>All = tüm seçeneklerde göster; birden fazla değer için virgül kullanın.</t>
        </is>
      </c>
    </row>
    <row r="62" ht="15" customHeight="1" s="39">
      <c r="A62" s="38" t="n">
        <v>61</v>
      </c>
      <c r="B62" s="38">
        <f>INDEX(Translations!$D:$ZZ, MATCH(171,Translations!$A:$A,0), MATCH('Project Information'!$C$4,Translations!$D$1:$ZZ$1,0))</f>
        <v/>
      </c>
      <c r="C62" s="38">
        <f>INDEX(Translations!$D:$ZZ, MATCH(241,Translations!$A:$A,0), MATCH('Project Information'!$C$4,Translations!$D$1:$ZZ$1,0))</f>
        <v/>
      </c>
      <c r="D62" s="38" t="inlineStr">
        <is>
          <t>All</t>
        </is>
      </c>
      <c r="E62" s="38" t="inlineStr">
        <is>
          <t>Greenfield, Brownfield, Rollout, Migration, Upgrade</t>
        </is>
      </c>
      <c r="F62" s="38" t="inlineStr">
        <is>
          <t>All</t>
        </is>
      </c>
      <c r="G62" s="38" t="inlineStr">
        <is>
          <t>Yes</t>
        </is>
      </c>
      <c r="H62" s="38" t="inlineStr">
        <is>
          <t>All = tüm seçeneklerde göster; birden fazla değer için virgül kullanın.</t>
        </is>
      </c>
    </row>
    <row r="63" ht="15" customHeight="1" s="39">
      <c r="A63" s="38" t="n">
        <v>62</v>
      </c>
      <c r="B63" s="38">
        <f>INDEX(Translations!$D:$ZZ, MATCH(171,Translations!$A:$A,0), MATCH('Project Information'!$C$4,Translations!$D$1:$ZZ$1,0))</f>
        <v/>
      </c>
      <c r="C63" s="38">
        <f>INDEX(Translations!$D:$ZZ, MATCH(242,Translations!$A:$A,0), MATCH('Project Information'!$C$4,Translations!$D$1:$ZZ$1,0))</f>
        <v/>
      </c>
      <c r="D63" s="38" t="inlineStr">
        <is>
          <t>Ambalaj, Demir &amp; Çelik</t>
        </is>
      </c>
      <c r="E63" s="38" t="inlineStr">
        <is>
          <t>Greenfield, Brownfield, Rollout, Migration, Upgrade</t>
        </is>
      </c>
      <c r="F63" s="38" t="inlineStr">
        <is>
          <t>All</t>
        </is>
      </c>
      <c r="G63" s="38" t="inlineStr">
        <is>
          <t>Yes</t>
        </is>
      </c>
      <c r="H63" s="38" t="inlineStr">
        <is>
          <t>All = tüm seçeneklerde göster; birden fazla değer için virgül kullanın.</t>
        </is>
      </c>
    </row>
    <row r="64" ht="15" customHeight="1" s="39">
      <c r="A64" s="38" t="n">
        <v>63</v>
      </c>
      <c r="B64" s="38">
        <f>INDEX(Translations!$D:$ZZ, MATCH(171,Translations!$A:$A,0), MATCH('Project Information'!$C$4,Translations!$D$1:$ZZ$1,0))</f>
        <v/>
      </c>
      <c r="C64" s="38">
        <f>INDEX(Translations!$D:$ZZ, MATCH(248,Translations!$A:$A,0), MATCH('Project Information'!$C$4,Translations!$D$1:$ZZ$1,0))</f>
        <v/>
      </c>
      <c r="D64" s="38" t="inlineStr">
        <is>
          <t>All</t>
        </is>
      </c>
      <c r="E64" s="38" t="inlineStr">
        <is>
          <t>Greenfield, Brownfield, Rollout, Migration, Upgrade</t>
        </is>
      </c>
      <c r="F64" s="38" t="inlineStr">
        <is>
          <t>All</t>
        </is>
      </c>
      <c r="G64" s="38" t="inlineStr">
        <is>
          <t>Yes</t>
        </is>
      </c>
      <c r="H64" s="38" t="inlineStr">
        <is>
          <t>All = tüm seçeneklerde göster; birden fazla değer için virgül kullanın.</t>
        </is>
      </c>
    </row>
    <row r="65" ht="15" customHeight="1" s="39">
      <c r="A65" s="38" t="n">
        <v>64</v>
      </c>
      <c r="B65" s="38">
        <f>INDEX(Translations!$D:$ZZ, MATCH(171,Translations!$A:$A,0), MATCH('Project Information'!$C$4,Translations!$D$1:$ZZ$1,0))</f>
        <v/>
      </c>
      <c r="C65" s="38">
        <f>INDEX(Translations!$D:$ZZ, MATCH(251,Translations!$A:$A,0), MATCH('Project Information'!$C$4,Translations!$D$1:$ZZ$1,0))</f>
        <v/>
      </c>
      <c r="D65" s="38" t="inlineStr">
        <is>
          <t>All</t>
        </is>
      </c>
      <c r="E65" s="38" t="inlineStr">
        <is>
          <t>Greenfield, Brownfield, Rollout, Migration, Upgrade</t>
        </is>
      </c>
      <c r="F65" s="38" t="inlineStr">
        <is>
          <t>All</t>
        </is>
      </c>
      <c r="G65" s="38" t="inlineStr">
        <is>
          <t>Yes</t>
        </is>
      </c>
      <c r="H65" s="38" t="inlineStr">
        <is>
          <t>All = tüm seçeneklerde göster; birden fazla değer için virgül kullanın.</t>
        </is>
      </c>
    </row>
    <row r="66" ht="15" customHeight="1" s="39">
      <c r="A66" s="38" t="n">
        <v>65</v>
      </c>
      <c r="B66" s="38">
        <f>INDEX(Translations!$D:$ZZ, MATCH(171,Translations!$A:$A,0), MATCH('Project Information'!$C$4,Translations!$D$1:$ZZ$1,0))</f>
        <v/>
      </c>
      <c r="C66" s="38">
        <f>INDEX(Translations!$D:$ZZ, MATCH(267,Translations!$A:$A,0), MATCH('Project Information'!$C$4,Translations!$D$1:$ZZ$1,0))</f>
        <v/>
      </c>
      <c r="D66" s="38" t="inlineStr">
        <is>
          <t>İlaç</t>
        </is>
      </c>
      <c r="E66" s="38" t="inlineStr">
        <is>
          <t>Greenfield, Brownfield, Rollout, Migration, Upgrade</t>
        </is>
      </c>
      <c r="F66" s="38" t="inlineStr">
        <is>
          <t>All</t>
        </is>
      </c>
      <c r="G66" s="38" t="inlineStr">
        <is>
          <t>Yes</t>
        </is>
      </c>
      <c r="H66" s="38" t="inlineStr">
        <is>
          <t>All = tüm seçeneklerde göster; birden fazla değer için virgül kullanın.</t>
        </is>
      </c>
    </row>
    <row r="67" ht="15" customHeight="1" s="39">
      <c r="A67" s="38" t="n">
        <v>66</v>
      </c>
      <c r="B67" s="38">
        <f>INDEX(Translations!$D:$ZZ, MATCH(166,Translations!$A:$A,0), MATCH('Project Information'!$C$4,Translations!$D$1:$ZZ$1,0))</f>
        <v/>
      </c>
      <c r="C67" s="38">
        <f>INDEX(Translations!$D:$ZZ, MATCH(1025,Translations!$A:$A,0), MATCH('Project Information'!$C$4,Translations!$D$1:$ZZ$1,0))</f>
        <v/>
      </c>
      <c r="D67" s="38" t="inlineStr">
        <is>
          <t>All</t>
        </is>
      </c>
      <c r="E67" s="38" t="inlineStr">
        <is>
          <t>Conversion</t>
        </is>
      </c>
      <c r="F67" s="38" t="inlineStr">
        <is>
          <t>All</t>
        </is>
      </c>
      <c r="G67" s="38" t="inlineStr">
        <is>
          <t>Yes</t>
        </is>
      </c>
      <c r="H67" s="38" t="inlineStr">
        <is>
          <t>All = tüm seçeneklerde göster; birden fazla değer için virgül kullanın.</t>
        </is>
      </c>
    </row>
    <row r="68" ht="15" customHeight="1" s="39">
      <c r="A68" s="38" t="n">
        <v>67</v>
      </c>
      <c r="B68" s="38">
        <f>INDEX(Translations!$D:$ZZ, MATCH(166,Translations!$A:$A,0), MATCH('Project Information'!$C$4,Translations!$D$1:$ZZ$1,0))</f>
        <v/>
      </c>
      <c r="C68" s="38">
        <f>INDEX(Translations!$D:$ZZ, MATCH(1027,Translations!$A:$A,0), MATCH('Project Information'!$C$4,Translations!$D$1:$ZZ$1,0))</f>
        <v/>
      </c>
      <c r="D68" s="38" t="inlineStr">
        <is>
          <t>All</t>
        </is>
      </c>
      <c r="E68" s="38" t="inlineStr">
        <is>
          <t>Conversion</t>
        </is>
      </c>
      <c r="F68" s="38" t="inlineStr">
        <is>
          <t>All</t>
        </is>
      </c>
      <c r="G68" s="38" t="inlineStr">
        <is>
          <t>Yes</t>
        </is>
      </c>
      <c r="H68" s="38" t="inlineStr">
        <is>
          <t>All = tüm seçeneklerde göster; birden fazla değer için virgül kullanın.</t>
        </is>
      </c>
    </row>
    <row r="69" ht="15" customHeight="1" s="39">
      <c r="A69" s="38" t="n">
        <v>68</v>
      </c>
      <c r="B69" s="38">
        <f>INDEX(Translations!$D:$ZZ, MATCH(166,Translations!$A:$A,0), MATCH('Project Information'!$C$4,Translations!$D$1:$ZZ$1,0))</f>
        <v/>
      </c>
      <c r="C69" s="38">
        <f>INDEX(Translations!$D:$ZZ, MATCH(1029,Translations!$A:$A,0), MATCH('Project Information'!$C$4,Translations!$D$1:$ZZ$1,0))</f>
        <v/>
      </c>
      <c r="D69" s="38" t="inlineStr">
        <is>
          <t>All</t>
        </is>
      </c>
      <c r="E69" s="38" t="inlineStr">
        <is>
          <t>Conversion</t>
        </is>
      </c>
      <c r="F69" s="38" t="inlineStr">
        <is>
          <t>All</t>
        </is>
      </c>
      <c r="G69" s="38" t="inlineStr">
        <is>
          <t>Yes</t>
        </is>
      </c>
      <c r="H69" s="38" t="inlineStr">
        <is>
          <t>All = tüm seçeneklerde göster; birden fazla değer için virgül kullanın.</t>
        </is>
      </c>
    </row>
    <row r="70" ht="15" customHeight="1" s="39">
      <c r="A70" s="38" t="n">
        <v>69</v>
      </c>
      <c r="B70" s="38">
        <f>INDEX(Translations!$D:$ZZ, MATCH(166,Translations!$A:$A,0), MATCH('Project Information'!$C$4,Translations!$D$1:$ZZ$1,0))</f>
        <v/>
      </c>
      <c r="C70" s="38">
        <f>INDEX(Translations!$D:$ZZ, MATCH(1031,Translations!$A:$A,0), MATCH('Project Information'!$C$4,Translations!$D$1:$ZZ$1,0))</f>
        <v/>
      </c>
      <c r="D70" s="38" t="inlineStr">
        <is>
          <t>All</t>
        </is>
      </c>
      <c r="E70" s="38" t="inlineStr">
        <is>
          <t>Conversion</t>
        </is>
      </c>
      <c r="F70" s="38" t="inlineStr">
        <is>
          <t>All</t>
        </is>
      </c>
      <c r="G70" s="38" t="inlineStr">
        <is>
          <t>Yes</t>
        </is>
      </c>
      <c r="H70" s="38" t="inlineStr">
        <is>
          <t>All = tüm seçeneklerde göster; birden fazla değer için virgül kullanın.</t>
        </is>
      </c>
    </row>
    <row r="71" ht="15" customHeight="1" s="39">
      <c r="A71" s="38" t="n">
        <v>70</v>
      </c>
      <c r="B71" s="38">
        <f>INDEX(Translations!$D:$ZZ, MATCH(166,Translations!$A:$A,0), MATCH('Project Information'!$C$4,Translations!$D$1:$ZZ$1,0))</f>
        <v/>
      </c>
      <c r="C71" s="38">
        <f>INDEX(Translations!$D:$ZZ, MATCH(1033,Translations!$A:$A,0), MATCH('Project Information'!$C$4,Translations!$D$1:$ZZ$1,0))</f>
        <v/>
      </c>
      <c r="D71" s="38" t="inlineStr">
        <is>
          <t>All</t>
        </is>
      </c>
      <c r="E71" s="38" t="inlineStr">
        <is>
          <t>Conversion</t>
        </is>
      </c>
      <c r="F71" s="38" t="inlineStr">
        <is>
          <t>All</t>
        </is>
      </c>
      <c r="G71" s="38" t="inlineStr">
        <is>
          <t>Yes</t>
        </is>
      </c>
      <c r="H71" s="38" t="inlineStr">
        <is>
          <t>All = tüm seçeneklerde göster; birden fazla değer için virgül kullanın.</t>
        </is>
      </c>
    </row>
    <row r="72" ht="15" customHeight="1" s="39">
      <c r="A72" s="38" t="n">
        <v>71</v>
      </c>
      <c r="B72" s="38">
        <f>INDEX(Translations!$D:$ZZ, MATCH(166,Translations!$A:$A,0), MATCH('Project Information'!$C$4,Translations!$D$1:$ZZ$1,0))</f>
        <v/>
      </c>
      <c r="C72" s="38">
        <f>INDEX(Translations!$D:$ZZ, MATCH(1035,Translations!$A:$A,0), MATCH('Project Information'!$C$4,Translations!$D$1:$ZZ$1,0))</f>
        <v/>
      </c>
      <c r="D72" s="38" t="inlineStr">
        <is>
          <t>All</t>
        </is>
      </c>
      <c r="E72" s="38" t="inlineStr">
        <is>
          <t>Conversion</t>
        </is>
      </c>
      <c r="F72" s="38" t="inlineStr">
        <is>
          <t>All</t>
        </is>
      </c>
      <c r="G72" s="38" t="inlineStr">
        <is>
          <t>Yes</t>
        </is>
      </c>
      <c r="H72" s="38" t="inlineStr">
        <is>
          <t>All = tüm seçeneklerde göster; birden fazla değer için virgül kullanın.</t>
        </is>
      </c>
    </row>
    <row r="73" ht="15" customHeight="1" s="39">
      <c r="A73" s="38" t="n">
        <v>72</v>
      </c>
      <c r="B73" s="38">
        <f>INDEX(Translations!$D:$ZZ, MATCH(166,Translations!$A:$A,0), MATCH('Project Information'!$C$4,Translations!$D$1:$ZZ$1,0))</f>
        <v/>
      </c>
      <c r="C73" s="38">
        <f>INDEX(Translations!$D:$ZZ, MATCH(1037,Translations!$A:$A,0), MATCH('Project Information'!$C$4,Translations!$D$1:$ZZ$1,0))</f>
        <v/>
      </c>
      <c r="D73" s="38" t="inlineStr">
        <is>
          <t>All</t>
        </is>
      </c>
      <c r="E73" s="38" t="inlineStr">
        <is>
          <t>Conversion</t>
        </is>
      </c>
      <c r="F73" s="38" t="inlineStr">
        <is>
          <t>All</t>
        </is>
      </c>
      <c r="G73" s="38" t="inlineStr">
        <is>
          <t>Yes</t>
        </is>
      </c>
      <c r="H73" s="38" t="inlineStr">
        <is>
          <t>All = tüm seçeneklerde göster; birden fazla değer için virgül kullanın.</t>
        </is>
      </c>
    </row>
    <row r="74" ht="15" customHeight="1" s="39">
      <c r="A74" s="38" t="n">
        <v>73</v>
      </c>
      <c r="B74" s="38">
        <f>INDEX(Translations!$D:$ZZ, MATCH(166,Translations!$A:$A,0), MATCH('Project Information'!$C$4,Translations!$D$1:$ZZ$1,0))</f>
        <v/>
      </c>
      <c r="C74" s="38">
        <f>INDEX(Translations!$D:$ZZ, MATCH(1039,Translations!$A:$A,0), MATCH('Project Information'!$C$4,Translations!$D$1:$ZZ$1,0))</f>
        <v/>
      </c>
      <c r="D74" s="38" t="inlineStr">
        <is>
          <t>All</t>
        </is>
      </c>
      <c r="E74" s="38" t="inlineStr">
        <is>
          <t>Conversion</t>
        </is>
      </c>
      <c r="F74" s="38" t="inlineStr">
        <is>
          <t>All</t>
        </is>
      </c>
      <c r="G74" s="38" t="inlineStr">
        <is>
          <t>Yes</t>
        </is>
      </c>
      <c r="H74" s="38" t="inlineStr">
        <is>
          <t>All = tüm seçeneklerde göster; birden fazla değer için virgül kullanın.</t>
        </is>
      </c>
    </row>
    <row r="75" ht="15" customHeight="1" s="39">
      <c r="A75" s="38" t="n">
        <v>74</v>
      </c>
      <c r="B75" s="38">
        <f>INDEX(Translations!$D:$ZZ, MATCH(166,Translations!$A:$A,0), MATCH('Project Information'!$C$4,Translations!$D$1:$ZZ$1,0))</f>
        <v/>
      </c>
      <c r="C75" s="38">
        <f>INDEX(Translations!$D:$ZZ, MATCH(1041,Translations!$A:$A,0), MATCH('Project Information'!$C$4,Translations!$D$1:$ZZ$1,0))</f>
        <v/>
      </c>
      <c r="D75" s="38" t="inlineStr">
        <is>
          <t>All</t>
        </is>
      </c>
      <c r="E75" s="38" t="inlineStr">
        <is>
          <t>Conversion</t>
        </is>
      </c>
      <c r="F75" s="38" t="inlineStr">
        <is>
          <t>All</t>
        </is>
      </c>
      <c r="G75" s="38" t="inlineStr">
        <is>
          <t>Yes</t>
        </is>
      </c>
      <c r="H75" s="38" t="inlineStr">
        <is>
          <t>All = tüm seçeneklerde göster; birden fazla değer için virgül kullanın.</t>
        </is>
      </c>
    </row>
    <row r="76" ht="15" customHeight="1" s="39">
      <c r="A76" s="38" t="n">
        <v>75</v>
      </c>
      <c r="B76" s="38">
        <f>INDEX(Translations!$D:$ZZ, MATCH(166,Translations!$A:$A,0), MATCH('Project Information'!$C$4,Translations!$D$1:$ZZ$1,0))</f>
        <v/>
      </c>
      <c r="C76" s="38">
        <f>INDEX(Translations!$D:$ZZ, MATCH(1043,Translations!$A:$A,0), MATCH('Project Information'!$C$4,Translations!$D$1:$ZZ$1,0))</f>
        <v/>
      </c>
      <c r="D76" s="38" t="inlineStr">
        <is>
          <t>All</t>
        </is>
      </c>
      <c r="E76" s="38" t="inlineStr">
        <is>
          <t>Conversion</t>
        </is>
      </c>
      <c r="F76" s="38" t="inlineStr">
        <is>
          <t>All</t>
        </is>
      </c>
      <c r="G76" s="38" t="inlineStr">
        <is>
          <t>Yes</t>
        </is>
      </c>
      <c r="H76" s="38" t="inlineStr">
        <is>
          <t>All = tüm seçeneklerde göster; birden fazla değer için virgül kullanın.</t>
        </is>
      </c>
    </row>
  </sheetData>
  <autoFilter ref="A1:H70"/>
  <dataValidations count="1">
    <dataValidation sqref="G2:G70" showDropDown="0" showInputMessage="0" showErrorMessage="0" allowBlank="0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&amp;C&amp;"Aptos,Regular"&amp;12&amp;K008000 RESTRICTED&amp;1#_x000d_&amp;"Aptos Narrow,Regular"&amp;11 _x000d_  RESTRICTED#_x000d_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2026-06-19T19:51:06Z</dcterms:created>
  <dcterms:modified xmlns:dcterms="http://purl.org/dc/terms/" xmlns:xsi="http://www.w3.org/2001/XMLSchema-instance" xsi:type="dcterms:W3CDTF">2026-06-24T19:45:36Z</dcterms:modified>
  <cp:lastModifiedBy>Turcan, Ufuk</cp:lastModifiedBy>
  <cp:revision>0</cp:revision>
</cp:coreProperties>
</file>